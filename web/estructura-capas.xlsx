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/>
  <mc:AlternateContent xmlns:mc="http://schemas.openxmlformats.org/markup-compatibility/2006">
    <mc:Choice Requires="x15">
      <x15ac:absPath xmlns:x15ac="http://schemas.microsoft.com/office/spreadsheetml/2010/11/ac" url="C:\AMMA\Clientes\Marbella DTI\13 TEC\SITMA - Capa Turismo\web\"/>
    </mc:Choice>
  </mc:AlternateContent>
  <xr:revisionPtr revIDLastSave="0" documentId="13_ncr:1_{4AB9108A-1E7C-451C-BD02-FE9BBB6F784F}" xr6:coauthVersionLast="47" xr6:coauthVersionMax="47" xr10:uidLastSave="{00000000-0000-0000-0000-000000000000}"/>
  <bookViews>
    <workbookView xWindow="384" yWindow="384" windowWidth="17280" windowHeight="8880" xr2:uid="{00000000-000D-0000-FFFF-FFFF00000000}"/>
  </bookViews>
  <sheets>
    <sheet name="Estructura" sheetId="1" r:id="rId1"/>
    <sheet name="Elementos" sheetId="2" r:id="rId2"/>
    <sheet name="Resumen por capa" sheetId="3" r:id="rId3"/>
  </sheets>
  <definedNames>
    <definedName name="_xlnm._FilterDatabase" localSheetId="1" hidden="1">Elementos!$A$4:$P$2180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22" i="3" l="1"/>
  <c r="E22" i="3"/>
  <c r="D22" i="3"/>
  <c r="C22" i="3"/>
  <c r="B22" i="3"/>
  <c r="A22" i="3"/>
  <c r="F21" i="3"/>
  <c r="E21" i="3"/>
  <c r="D21" i="3"/>
  <c r="C21" i="3"/>
  <c r="B21" i="3"/>
  <c r="A21" i="3"/>
  <c r="F20" i="3"/>
  <c r="E20" i="3"/>
  <c r="D20" i="3"/>
  <c r="C20" i="3"/>
  <c r="B20" i="3"/>
  <c r="A20" i="3"/>
  <c r="F19" i="3"/>
  <c r="E19" i="3"/>
  <c r="D19" i="3"/>
  <c r="C19" i="3"/>
  <c r="B19" i="3"/>
  <c r="A19" i="3"/>
  <c r="F18" i="3"/>
  <c r="E18" i="3"/>
  <c r="D18" i="3"/>
  <c r="C18" i="3"/>
  <c r="B18" i="3"/>
  <c r="A18" i="3"/>
  <c r="F17" i="3"/>
  <c r="E17" i="3"/>
  <c r="D17" i="3"/>
  <c r="C17" i="3"/>
  <c r="B17" i="3"/>
  <c r="A17" i="3"/>
  <c r="F16" i="3"/>
  <c r="E16" i="3"/>
  <c r="D16" i="3"/>
  <c r="C16" i="3"/>
  <c r="B16" i="3"/>
  <c r="A16" i="3"/>
  <c r="F15" i="3"/>
  <c r="E15" i="3"/>
  <c r="D15" i="3"/>
  <c r="C15" i="3"/>
  <c r="B15" i="3"/>
  <c r="A15" i="3"/>
  <c r="G14" i="3"/>
  <c r="F14" i="3"/>
  <c r="E14" i="3"/>
  <c r="D14" i="3"/>
  <c r="C14" i="3"/>
  <c r="B14" i="3"/>
  <c r="A14" i="3"/>
  <c r="F13" i="3"/>
  <c r="E13" i="3"/>
  <c r="D13" i="3"/>
  <c r="C13" i="3"/>
  <c r="B13" i="3"/>
  <c r="A13" i="3"/>
  <c r="F12" i="3"/>
  <c r="E12" i="3"/>
  <c r="D12" i="3"/>
  <c r="C12" i="3"/>
  <c r="B12" i="3"/>
  <c r="A12" i="3"/>
  <c r="F11" i="3"/>
  <c r="E11" i="3"/>
  <c r="D11" i="3"/>
  <c r="C11" i="3"/>
  <c r="B11" i="3"/>
  <c r="A11" i="3"/>
  <c r="F10" i="3"/>
  <c r="E10" i="3"/>
  <c r="D10" i="3"/>
  <c r="C10" i="3"/>
  <c r="B10" i="3"/>
  <c r="A10" i="3"/>
  <c r="F9" i="3"/>
  <c r="E9" i="3"/>
  <c r="D9" i="3"/>
  <c r="C9" i="3"/>
  <c r="B9" i="3"/>
  <c r="A9" i="3"/>
  <c r="F8" i="3"/>
  <c r="E8" i="3"/>
  <c r="D8" i="3"/>
  <c r="C8" i="3"/>
  <c r="B8" i="3"/>
  <c r="A8" i="3"/>
  <c r="F7" i="3"/>
  <c r="E7" i="3"/>
  <c r="D7" i="3"/>
  <c r="C7" i="3"/>
  <c r="B7" i="3"/>
  <c r="A7" i="3"/>
  <c r="F6" i="3"/>
  <c r="E6" i="3"/>
  <c r="D6" i="3"/>
  <c r="C6" i="3"/>
  <c r="B6" i="3"/>
  <c r="A6" i="3"/>
  <c r="F5" i="3"/>
  <c r="E5" i="3"/>
  <c r="D5" i="3"/>
  <c r="C5" i="3"/>
  <c r="B5" i="3"/>
  <c r="A5" i="3"/>
  <c r="F4" i="3"/>
  <c r="E4" i="3"/>
  <c r="D4" i="3"/>
  <c r="C4" i="3"/>
  <c r="C23" i="3" s="1"/>
  <c r="B4" i="3"/>
  <c r="A4" i="3"/>
  <c r="L1914" i="2"/>
  <c r="I22" i="3" s="1"/>
  <c r="K1914" i="2"/>
  <c r="H22" i="3" s="1"/>
  <c r="J1914" i="2"/>
  <c r="G22" i="3" s="1"/>
  <c r="C1914" i="2"/>
  <c r="L1838" i="2"/>
  <c r="I21" i="3" s="1"/>
  <c r="K1838" i="2"/>
  <c r="H21" i="3" s="1"/>
  <c r="J1838" i="2"/>
  <c r="G21" i="3" s="1"/>
  <c r="C1838" i="2"/>
  <c r="L1706" i="2"/>
  <c r="I20" i="3" s="1"/>
  <c r="K1706" i="2"/>
  <c r="H20" i="3" s="1"/>
  <c r="J1706" i="2"/>
  <c r="G20" i="3" s="1"/>
  <c r="C1706" i="2"/>
  <c r="L1696" i="2"/>
  <c r="I19" i="3" s="1"/>
  <c r="K1696" i="2"/>
  <c r="H19" i="3" s="1"/>
  <c r="J1696" i="2"/>
  <c r="G19" i="3" s="1"/>
  <c r="C1696" i="2"/>
  <c r="L1489" i="2"/>
  <c r="I18" i="3" s="1"/>
  <c r="K1489" i="2"/>
  <c r="H18" i="3" s="1"/>
  <c r="J1489" i="2"/>
  <c r="G18" i="3" s="1"/>
  <c r="C1489" i="2"/>
  <c r="L1372" i="2"/>
  <c r="I17" i="3" s="1"/>
  <c r="K1372" i="2"/>
  <c r="H17" i="3" s="1"/>
  <c r="J1372" i="2"/>
  <c r="G17" i="3" s="1"/>
  <c r="C1372" i="2"/>
  <c r="L1264" i="2"/>
  <c r="I16" i="3" s="1"/>
  <c r="K1264" i="2"/>
  <c r="H16" i="3" s="1"/>
  <c r="J1264" i="2"/>
  <c r="G16" i="3" s="1"/>
  <c r="C1264" i="2"/>
  <c r="L1177" i="2"/>
  <c r="I15" i="3" s="1"/>
  <c r="K1177" i="2"/>
  <c r="H15" i="3" s="1"/>
  <c r="J1177" i="2"/>
  <c r="G15" i="3" s="1"/>
  <c r="C1177" i="2"/>
  <c r="L1117" i="2"/>
  <c r="I14" i="3" s="1"/>
  <c r="K1117" i="2"/>
  <c r="H14" i="3" s="1"/>
  <c r="J1117" i="2"/>
  <c r="C1117" i="2"/>
  <c r="L1101" i="2"/>
  <c r="I13" i="3" s="1"/>
  <c r="K1101" i="2"/>
  <c r="H13" i="3" s="1"/>
  <c r="J1101" i="2"/>
  <c r="G13" i="3" s="1"/>
  <c r="C1101" i="2"/>
  <c r="L998" i="2"/>
  <c r="I12" i="3" s="1"/>
  <c r="K998" i="2"/>
  <c r="H12" i="3" s="1"/>
  <c r="J998" i="2"/>
  <c r="G12" i="3" s="1"/>
  <c r="C998" i="2"/>
  <c r="L921" i="2"/>
  <c r="I11" i="3" s="1"/>
  <c r="K921" i="2"/>
  <c r="H11" i="3" s="1"/>
  <c r="J921" i="2"/>
  <c r="G11" i="3" s="1"/>
  <c r="C921" i="2"/>
  <c r="L882" i="2"/>
  <c r="I10" i="3" s="1"/>
  <c r="K882" i="2"/>
  <c r="H10" i="3" s="1"/>
  <c r="J882" i="2"/>
  <c r="G10" i="3" s="1"/>
  <c r="C882" i="2"/>
  <c r="L795" i="2"/>
  <c r="I9" i="3" s="1"/>
  <c r="K795" i="2"/>
  <c r="H9" i="3" s="1"/>
  <c r="J795" i="2"/>
  <c r="G9" i="3" s="1"/>
  <c r="C795" i="2"/>
  <c r="L527" i="2"/>
  <c r="I8" i="3" s="1"/>
  <c r="K527" i="2"/>
  <c r="H8" i="3" s="1"/>
  <c r="J527" i="2"/>
  <c r="G8" i="3" s="1"/>
  <c r="C527" i="2"/>
  <c r="L219" i="2"/>
  <c r="I7" i="3" s="1"/>
  <c r="K219" i="2"/>
  <c r="H7" i="3" s="1"/>
  <c r="J219" i="2"/>
  <c r="G7" i="3" s="1"/>
  <c r="C219" i="2"/>
  <c r="L179" i="2"/>
  <c r="I6" i="3" s="1"/>
  <c r="K179" i="2"/>
  <c r="H6" i="3" s="1"/>
  <c r="J179" i="2"/>
  <c r="G6" i="3" s="1"/>
  <c r="C179" i="2"/>
  <c r="L128" i="2"/>
  <c r="I5" i="3" s="1"/>
  <c r="K128" i="2"/>
  <c r="H5" i="3" s="1"/>
  <c r="J128" i="2"/>
  <c r="G5" i="3" s="1"/>
  <c r="C128" i="2"/>
  <c r="L5" i="2"/>
  <c r="L2182" i="2" s="1"/>
  <c r="K5" i="2"/>
  <c r="J5" i="2"/>
  <c r="G4" i="3" s="1"/>
  <c r="C5" i="2"/>
  <c r="C152" i="1"/>
  <c r="A152" i="1"/>
  <c r="C151" i="1"/>
  <c r="A151" i="1"/>
  <c r="C150" i="1"/>
  <c r="A150" i="1"/>
  <c r="C149" i="1"/>
  <c r="A149" i="1"/>
  <c r="C148" i="1"/>
  <c r="A148" i="1"/>
  <c r="C147" i="1"/>
  <c r="A147" i="1"/>
  <c r="C146" i="1"/>
  <c r="A146" i="1"/>
  <c r="B145" i="1"/>
  <c r="A145" i="1"/>
  <c r="C144" i="1"/>
  <c r="A144" i="1"/>
  <c r="C143" i="1"/>
  <c r="A143" i="1"/>
  <c r="C142" i="1"/>
  <c r="A142" i="1"/>
  <c r="C141" i="1"/>
  <c r="A141" i="1"/>
  <c r="C140" i="1"/>
  <c r="A140" i="1"/>
  <c r="C139" i="1"/>
  <c r="A139" i="1"/>
  <c r="B138" i="1"/>
  <c r="A138" i="1"/>
  <c r="C137" i="1"/>
  <c r="A137" i="1"/>
  <c r="C136" i="1"/>
  <c r="A136" i="1"/>
  <c r="C135" i="1"/>
  <c r="A135" i="1"/>
  <c r="C134" i="1"/>
  <c r="A134" i="1"/>
  <c r="C133" i="1"/>
  <c r="A133" i="1"/>
  <c r="C132" i="1"/>
  <c r="A132" i="1"/>
  <c r="B131" i="1"/>
  <c r="A131" i="1"/>
  <c r="C130" i="1"/>
  <c r="A130" i="1"/>
  <c r="C129" i="1"/>
  <c r="A129" i="1"/>
  <c r="B128" i="1"/>
  <c r="A128" i="1"/>
  <c r="C127" i="1"/>
  <c r="A127" i="1"/>
  <c r="C126" i="1"/>
  <c r="A126" i="1"/>
  <c r="C125" i="1"/>
  <c r="A125" i="1"/>
  <c r="C124" i="1"/>
  <c r="A124" i="1"/>
  <c r="C123" i="1"/>
  <c r="A123" i="1"/>
  <c r="C122" i="1"/>
  <c r="A122" i="1"/>
  <c r="C121" i="1"/>
  <c r="A121" i="1"/>
  <c r="C120" i="1"/>
  <c r="A120" i="1"/>
  <c r="C119" i="1"/>
  <c r="A119" i="1"/>
  <c r="C118" i="1"/>
  <c r="A118" i="1"/>
  <c r="C117" i="1"/>
  <c r="A117" i="1"/>
  <c r="C116" i="1"/>
  <c r="A116" i="1"/>
  <c r="B115" i="1"/>
  <c r="A115" i="1"/>
  <c r="C114" i="1"/>
  <c r="A114" i="1"/>
  <c r="C113" i="1"/>
  <c r="A113" i="1"/>
  <c r="C112" i="1"/>
  <c r="A112" i="1"/>
  <c r="C111" i="1"/>
  <c r="A111" i="1"/>
  <c r="C110" i="1"/>
  <c r="A110" i="1"/>
  <c r="B109" i="1"/>
  <c r="A109" i="1"/>
  <c r="C108" i="1"/>
  <c r="A108" i="1"/>
  <c r="C107" i="1"/>
  <c r="A107" i="1"/>
  <c r="C106" i="1"/>
  <c r="A106" i="1"/>
  <c r="C105" i="1"/>
  <c r="A105" i="1"/>
  <c r="C104" i="1"/>
  <c r="A104" i="1"/>
  <c r="B103" i="1"/>
  <c r="A103" i="1"/>
  <c r="C102" i="1"/>
  <c r="A102" i="1"/>
  <c r="C101" i="1"/>
  <c r="A101" i="1"/>
  <c r="D100" i="1"/>
  <c r="A100" i="1"/>
  <c r="D99" i="1"/>
  <c r="A99" i="1"/>
  <c r="C98" i="1"/>
  <c r="A98" i="1"/>
  <c r="D97" i="1"/>
  <c r="A97" i="1"/>
  <c r="D96" i="1"/>
  <c r="A96" i="1"/>
  <c r="C95" i="1"/>
  <c r="A95" i="1"/>
  <c r="C94" i="1"/>
  <c r="A94" i="1"/>
  <c r="C93" i="1"/>
  <c r="A93" i="1"/>
  <c r="B92" i="1"/>
  <c r="A92" i="1"/>
  <c r="C91" i="1"/>
  <c r="A91" i="1"/>
  <c r="C90" i="1"/>
  <c r="A90" i="1"/>
  <c r="C89" i="1"/>
  <c r="A89" i="1"/>
  <c r="C88" i="1"/>
  <c r="A88" i="1"/>
  <c r="D87" i="1"/>
  <c r="A87" i="1"/>
  <c r="D86" i="1"/>
  <c r="A86" i="1"/>
  <c r="D85" i="1"/>
  <c r="A85" i="1"/>
  <c r="D84" i="1"/>
  <c r="A84" i="1"/>
  <c r="C83" i="1"/>
  <c r="A83" i="1"/>
  <c r="B82" i="1"/>
  <c r="A82" i="1"/>
  <c r="C81" i="1"/>
  <c r="A81" i="1"/>
  <c r="B80" i="1"/>
  <c r="A80" i="1"/>
  <c r="C79" i="1"/>
  <c r="A79" i="1"/>
  <c r="C78" i="1"/>
  <c r="A78" i="1"/>
  <c r="C77" i="1"/>
  <c r="A77" i="1"/>
  <c r="D76" i="1"/>
  <c r="A76" i="1"/>
  <c r="D75" i="1"/>
  <c r="A75" i="1"/>
  <c r="C74" i="1"/>
  <c r="A74" i="1"/>
  <c r="C73" i="1"/>
  <c r="A73" i="1"/>
  <c r="C72" i="1"/>
  <c r="A72" i="1"/>
  <c r="C71" i="1"/>
  <c r="A71" i="1"/>
  <c r="C70" i="1"/>
  <c r="A70" i="1"/>
  <c r="B69" i="1"/>
  <c r="A69" i="1"/>
  <c r="C68" i="1"/>
  <c r="A68" i="1"/>
  <c r="C67" i="1"/>
  <c r="A67" i="1"/>
  <c r="C66" i="1"/>
  <c r="A66" i="1"/>
  <c r="B65" i="1"/>
  <c r="A65" i="1"/>
  <c r="C64" i="1"/>
  <c r="A64" i="1"/>
  <c r="C63" i="1"/>
  <c r="A63" i="1"/>
  <c r="B62" i="1"/>
  <c r="A62" i="1"/>
  <c r="C61" i="1"/>
  <c r="A61" i="1"/>
  <c r="C60" i="1"/>
  <c r="A60" i="1"/>
  <c r="D59" i="1"/>
  <c r="A59" i="1"/>
  <c r="D58" i="1"/>
  <c r="A58" i="1"/>
  <c r="D57" i="1"/>
  <c r="A57" i="1"/>
  <c r="C56" i="1"/>
  <c r="A56" i="1"/>
  <c r="D55" i="1"/>
  <c r="A55" i="1"/>
  <c r="D54" i="1"/>
  <c r="A54" i="1"/>
  <c r="D53" i="1"/>
  <c r="A53" i="1"/>
  <c r="D52" i="1"/>
  <c r="A52" i="1"/>
  <c r="C51" i="1"/>
  <c r="A51" i="1"/>
  <c r="B50" i="1"/>
  <c r="A50" i="1"/>
  <c r="C49" i="1"/>
  <c r="A49" i="1"/>
  <c r="C48" i="1"/>
  <c r="A48" i="1"/>
  <c r="C47" i="1"/>
  <c r="A47" i="1"/>
  <c r="D46" i="1"/>
  <c r="A46" i="1"/>
  <c r="D45" i="1"/>
  <c r="A45" i="1"/>
  <c r="D44" i="1"/>
  <c r="A44" i="1"/>
  <c r="D43" i="1"/>
  <c r="A43" i="1"/>
  <c r="C42" i="1"/>
  <c r="A42" i="1"/>
  <c r="D41" i="1"/>
  <c r="A41" i="1"/>
  <c r="D40" i="1"/>
  <c r="A40" i="1"/>
  <c r="D39" i="1"/>
  <c r="A39" i="1"/>
  <c r="D38" i="1"/>
  <c r="A38" i="1"/>
  <c r="D37" i="1"/>
  <c r="A37" i="1"/>
  <c r="D36" i="1"/>
  <c r="A36" i="1"/>
  <c r="D35" i="1"/>
  <c r="A35" i="1"/>
  <c r="D34" i="1"/>
  <c r="A34" i="1"/>
  <c r="D33" i="1"/>
  <c r="A33" i="1"/>
  <c r="D32" i="1"/>
  <c r="A32" i="1"/>
  <c r="D31" i="1"/>
  <c r="A31" i="1"/>
  <c r="C30" i="1"/>
  <c r="A30" i="1"/>
  <c r="B29" i="1"/>
  <c r="A29" i="1"/>
  <c r="C28" i="1"/>
  <c r="A28" i="1"/>
  <c r="C27" i="1"/>
  <c r="A27" i="1"/>
  <c r="C26" i="1"/>
  <c r="A26" i="1"/>
  <c r="C25" i="1"/>
  <c r="A25" i="1"/>
  <c r="C24" i="1"/>
  <c r="A24" i="1"/>
  <c r="C23" i="1"/>
  <c r="A23" i="1"/>
  <c r="C22" i="1"/>
  <c r="A22" i="1"/>
  <c r="C21" i="1"/>
  <c r="A21" i="1"/>
  <c r="B20" i="1"/>
  <c r="A20" i="1"/>
  <c r="C19" i="1"/>
  <c r="A19" i="1"/>
  <c r="C18" i="1"/>
  <c r="A18" i="1"/>
  <c r="C17" i="1"/>
  <c r="A17" i="1"/>
  <c r="C16" i="1"/>
  <c r="A16" i="1"/>
  <c r="B15" i="1"/>
  <c r="A15" i="1"/>
  <c r="C14" i="1"/>
  <c r="A14" i="1"/>
  <c r="C13" i="1"/>
  <c r="A13" i="1"/>
  <c r="B12" i="1"/>
  <c r="A12" i="1"/>
  <c r="C11" i="1"/>
  <c r="A11" i="1"/>
  <c r="C10" i="1"/>
  <c r="A10" i="1"/>
  <c r="C9" i="1"/>
  <c r="A9" i="1"/>
  <c r="D8" i="1"/>
  <c r="A8" i="1"/>
  <c r="D7" i="1"/>
  <c r="A7" i="1"/>
  <c r="D6" i="1"/>
  <c r="A6" i="1"/>
  <c r="C5" i="1"/>
  <c r="A5" i="1"/>
  <c r="B4" i="1"/>
  <c r="A4" i="1"/>
  <c r="D23" i="3" l="1"/>
  <c r="E23" i="3"/>
  <c r="F23" i="3"/>
  <c r="K2182" i="2"/>
  <c r="H4" i="3"/>
  <c r="H23" i="3" s="1"/>
  <c r="G23" i="3"/>
  <c r="I4" i="3"/>
  <c r="I23" i="3" s="1"/>
  <c r="J2182" i="2"/>
</calcChain>
</file>

<file path=xl/sharedStrings.xml><?xml version="1.0" encoding="utf-8"?>
<sst xmlns="http://schemas.openxmlformats.org/spreadsheetml/2006/main" count="16479" uniqueCount="9123">
  <si>
    <t>Estructura del visor: capas y subcapas</t>
  </si>
  <si>
    <t>Código</t>
  </si>
  <si>
    <t>Capa</t>
  </si>
  <si>
    <t>Subcapa</t>
  </si>
  <si>
    <t>Sub-subcapa</t>
  </si>
  <si>
    <t>Estructura de capas y subcapas del visor</t>
  </si>
  <si>
    <t>Marbella · AMMA Consulting · catálogo generado el 2026-10-21. Use los botones 1-2-3-4 del margen izquierdo para plegar o desplegar las ramas (4 = todo desplegado, con cada elemento y sus coordenadas).</t>
  </si>
  <si>
    <t>Elemento</t>
  </si>
  <si>
    <t>Coordenadas (lat, lon · WGS84)</t>
  </si>
  <si>
    <t>Nivel</t>
  </si>
  <si>
    <t>Tipo</t>
  </si>
  <si>
    <t>Geometría</t>
  </si>
  <si>
    <t>Elementos en el mapa</t>
  </si>
  <si>
    <t>Sin ubicación</t>
  </si>
  <si>
    <t>Recursos en la web</t>
  </si>
  <si>
    <t>Descripción / dirección</t>
  </si>
  <si>
    <t>Fuente</t>
  </si>
  <si>
    <t>Pendiente / aviso</t>
  </si>
  <si>
    <t>Página de la web</t>
  </si>
  <si>
    <t>01</t>
  </si>
  <si>
    <t>Playas y puertos</t>
  </si>
  <si>
    <t>Litoral, playas y puertos.</t>
  </si>
  <si>
    <t>https://turismo.marbella.es/vive/mar.html</t>
  </si>
  <si>
    <t>01.01</t>
  </si>
  <si>
    <t>Playas</t>
  </si>
  <si>
    <t>De la web</t>
  </si>
  <si>
    <t>polígono</t>
  </si>
  <si>
    <t>Las playas de la web, con su Bandera Azul (ADEAC 2026), la Q de Calidad y la S de Sostenibilidad Turística (ICTE).</t>
  </si>
  <si>
    <t>turismo.marbella.es; OpenStreetMap (ODbL); Bandera Azul: ADEAC 2026; Q y S: ICTE</t>
  </si>
  <si>
    <t>https://turismo.marbella.es/vive/mar/playas.html</t>
  </si>
  <si>
    <t>01.01.001</t>
  </si>
  <si>
    <t>Artola / Cabopino</t>
  </si>
  <si>
    <t>36.484913, -4.744251</t>
  </si>
  <si>
    <t>C/ de la Playa s/n</t>
  </si>
  <si>
    <t>turismo.marbella.es; arena: OpenStreetMap (ODbL)</t>
  </si>
  <si>
    <t>https://turismo.marbella.es/vive/mar/playas/calahonda-2.html</t>
  </si>
  <si>
    <t>01.01.002</t>
  </si>
  <si>
    <t>Calahonda</t>
  </si>
  <si>
    <t>36.485811, -4.736509</t>
  </si>
  <si>
    <t>punto</t>
  </si>
  <si>
    <t>turismo.marbella.es</t>
  </si>
  <si>
    <t>https://turismo.marbella.es/vive/mar/playas/calahonda.html</t>
  </si>
  <si>
    <t>01.01.003</t>
  </si>
  <si>
    <t>Casablanca</t>
  </si>
  <si>
    <t>36.505634, -4.912087</t>
  </si>
  <si>
    <t>Urbanización Marbellamar</t>
  </si>
  <si>
    <t>https://turismo.marbella.es/vive/mar/playas/casablanca.html</t>
  </si>
  <si>
    <t>01.01.004</t>
  </si>
  <si>
    <t>Cortijo Blanco</t>
  </si>
  <si>
    <t>36.482409, -4.965203</t>
  </si>
  <si>
    <t>Urbanización El Rodeo. San Pedro Alcántara</t>
  </si>
  <si>
    <t>https://turismo.marbella.es/vive/mar/playas/cortijo-blanco-rodeito.html</t>
  </si>
  <si>
    <t>01.01.005</t>
  </si>
  <si>
    <t>El Alicate</t>
  </si>
  <si>
    <t>36.498591, -4.813746</t>
  </si>
  <si>
    <t>Urbanización Costabella</t>
  </si>
  <si>
    <t>https://turismo.marbella.es/vive/mar/playas/el-alicate.html</t>
  </si>
  <si>
    <t>01.01.006</t>
  </si>
  <si>
    <t>El Ancón</t>
  </si>
  <si>
    <t>36.499896, -4.934154</t>
  </si>
  <si>
    <t>Urbanización El Ancón</t>
  </si>
  <si>
    <t>https://turismo.marbella.es/vive/mar/playas/el-ancon.html</t>
  </si>
  <si>
    <t>01.01.007</t>
  </si>
  <si>
    <t>El Cable</t>
  </si>
  <si>
    <t>36.507409, -4.869082</t>
  </si>
  <si>
    <t>C/ Isaac Peral s/n</t>
  </si>
  <si>
    <t>https://turismo.marbella.es/vive/mar/playas/el-cable.html</t>
  </si>
  <si>
    <t>01.01.008</t>
  </si>
  <si>
    <t>El Faro</t>
  </si>
  <si>
    <t>36.506637, -4.890549</t>
  </si>
  <si>
    <t>Avda. Duque de Ahumada (Puerto Deportivo de Marbella)</t>
  </si>
  <si>
    <t>https://turismo.marbella.es/vive/mar/playas/el-faro.html</t>
  </si>
  <si>
    <t>01.01.009</t>
  </si>
  <si>
    <t>El Pinillo</t>
  </si>
  <si>
    <t>36.506077, -4.852757</t>
  </si>
  <si>
    <t>CN. 340, km 184</t>
  </si>
  <si>
    <t>https://turismo.marbella.es/vive/mar/playas/el-pinillo.html</t>
  </si>
  <si>
    <t>01.01.010</t>
  </si>
  <si>
    <t>El Realejo</t>
  </si>
  <si>
    <t>36.503566, -4.843864</t>
  </si>
  <si>
    <t>A-7 Km. 184,5 (Torre Real)</t>
  </si>
  <si>
    <t>https://turismo.marbella.es/vive/mar/playas/el-realejo-bahia-marbella.html</t>
  </si>
  <si>
    <t>01.01.011</t>
  </si>
  <si>
    <t>Guadalmina</t>
  </si>
  <si>
    <t>36.463870, -5.000061</t>
  </si>
  <si>
    <t>CN-340 P.K. 186,7 - Marbella</t>
  </si>
  <si>
    <t>https://turismo.marbella.es/vive/mar/playas/guadalmina.html</t>
  </si>
  <si>
    <t>01.01.012</t>
  </si>
  <si>
    <t>La Bajadilla</t>
  </si>
  <si>
    <t>36.507591, -4.877502</t>
  </si>
  <si>
    <t>C/ Fuengirola s/n</t>
  </si>
  <si>
    <t>https://turismo.marbella.es/vive/mar/playas/la-bajadilla.html</t>
  </si>
  <si>
    <t>01.01.013</t>
  </si>
  <si>
    <t>La Fontanilla</t>
  </si>
  <si>
    <t>36.507120, -4.894820</t>
  </si>
  <si>
    <t>Paseo Marítimo</t>
  </si>
  <si>
    <t>https://turismo.marbella.es/vive/mar/playas/la-fontanilla.html</t>
  </si>
  <si>
    <t>01.01.014</t>
  </si>
  <si>
    <t>La Salida</t>
  </si>
  <si>
    <t>36.473649, -4.983847</t>
  </si>
  <si>
    <t>San Pedro Alcántara</t>
  </si>
  <si>
    <t>https://turismo.marbella.es/vive/mar/playas/san-pedro-alcantara-la-salida.html</t>
  </si>
  <si>
    <t>01.01.015</t>
  </si>
  <si>
    <t>La Venus</t>
  </si>
  <si>
    <t>36.506567, -4.886926</t>
  </si>
  <si>
    <t>Avda. Duque de Ahumada</t>
  </si>
  <si>
    <t>https://turismo.marbella.es/vive/mar/playas/la-venus.html</t>
  </si>
  <si>
    <t>01.01.016</t>
  </si>
  <si>
    <t>La Víbora</t>
  </si>
  <si>
    <t>36.489903, -4.776043</t>
  </si>
  <si>
    <t>Urbanización Marbesa</t>
  </si>
  <si>
    <t>https://turismo.marbella.es/vive/mar/playas/la-vivora.html</t>
  </si>
  <si>
    <t>01.01.017</t>
  </si>
  <si>
    <t>Las Adelfas - Los Monteros</t>
  </si>
  <si>
    <t>36.502086, -4.836219</t>
  </si>
  <si>
    <t>C/ Monteros s/n. Los Monteros, Marbella</t>
  </si>
  <si>
    <t>https://turismo.marbella.es/vive/mar/playas/las-adelfas.html</t>
  </si>
  <si>
    <t>01.01.018</t>
  </si>
  <si>
    <t>Las Cañas</t>
  </si>
  <si>
    <t>36.485439, -4.754396</t>
  </si>
  <si>
    <t>Urbanización Artola</t>
  </si>
  <si>
    <t>https://turismo.marbella.es/vive/mar/playas/las-canas.html</t>
  </si>
  <si>
    <t>01.01.019</t>
  </si>
  <si>
    <t>Las Chapas</t>
  </si>
  <si>
    <t>36.487802, -4.766352</t>
  </si>
  <si>
    <t>https://turismo.marbella.es/vive/mar/playas/las-chapas.html</t>
  </si>
  <si>
    <t>01.01.020</t>
  </si>
  <si>
    <t>Linda Vista</t>
  </si>
  <si>
    <t>36.469137, -4.990934</t>
  </si>
  <si>
    <t>CN-340 Km 186,7 - Marbella</t>
  </si>
  <si>
    <t>https://turismo.marbella.es/vive/mar/playas/linda-vista.html</t>
  </si>
  <si>
    <t>01.01.021</t>
  </si>
  <si>
    <t>Nagüeles</t>
  </si>
  <si>
    <t>36.504355, -4.915590</t>
  </si>
  <si>
    <t>Avda. Príncipe Alfonso de Hohenlohe s/n</t>
  </si>
  <si>
    <t>https://turismo.marbella.es/vive/mar/playas/nagueeles.html</t>
  </si>
  <si>
    <t>01.01.022</t>
  </si>
  <si>
    <t>Nueva Andalucía</t>
  </si>
  <si>
    <t>36.484970, -4.957632</t>
  </si>
  <si>
    <t>Avda. de Lola Flores s/n</t>
  </si>
  <si>
    <t>https://turismo.marbella.es/vive/mar/playas/nueva-andalucia-el-duque.html</t>
  </si>
  <si>
    <t>01.01.023</t>
  </si>
  <si>
    <t>Puerto Banús - Levante</t>
  </si>
  <si>
    <t>36.490032, -4.948167</t>
  </si>
  <si>
    <t>Avda. de las Naciones Unidas s/n</t>
  </si>
  <si>
    <t>https://turismo.marbella.es/vive/mar/playas/puerto-banus.html</t>
  </si>
  <si>
    <t>01.01.024</t>
  </si>
  <si>
    <t>Real de Zaragoza</t>
  </si>
  <si>
    <t>36.495357, -4.799027</t>
  </si>
  <si>
    <t>Urbanización Real de Zaragoza</t>
  </si>
  <si>
    <t>https://turismo.marbella.es/vive/mar/playas/real-de-zaragoza.html</t>
  </si>
  <si>
    <t>01.01.025</t>
  </si>
  <si>
    <t>Río Verde</t>
  </si>
  <si>
    <t>36.497065, -4.940333</t>
  </si>
  <si>
    <t>Calle del Río s/n</t>
  </si>
  <si>
    <t>https://turismo.marbella.es/vive/mar/playas/rio-verde.html</t>
  </si>
  <si>
    <t>01.01.026</t>
  </si>
  <si>
    <t>Ventura del Mar</t>
  </si>
  <si>
    <t>36.480761, -4.969089</t>
  </si>
  <si>
    <t>Playa Ventura del Mar, Calle La Saleta.</t>
  </si>
  <si>
    <t>https://turismo.marbella.es/vive/mar/playas/ventura-del-mar.html</t>
  </si>
  <si>
    <t>01.01.01</t>
  </si>
  <si>
    <t>Con Q de Calidad Turística</t>
  </si>
  <si>
    <t>Playas con la Q de Calidad Turística (registro del ICTE).</t>
  </si>
  <si>
    <t>turismo.marbella.es; ICTE</t>
  </si>
  <si>
    <t>01.01.01.001</t>
  </si>
  <si>
    <t>01.01.01.002</t>
  </si>
  <si>
    <t>01.01.01.003</t>
  </si>
  <si>
    <t>01.01.01.004</t>
  </si>
  <si>
    <t>01.01.01.005</t>
  </si>
  <si>
    <t>01.01.01.006</t>
  </si>
  <si>
    <t>01.01.01.007</t>
  </si>
  <si>
    <t>01.01.01.008</t>
  </si>
  <si>
    <t>01.01.01.009</t>
  </si>
  <si>
    <t>01.01.01.010</t>
  </si>
  <si>
    <t>01.01.01.011</t>
  </si>
  <si>
    <t>01.01.01.012</t>
  </si>
  <si>
    <t>01.01.01.013</t>
  </si>
  <si>
    <t>01.01.01.014</t>
  </si>
  <si>
    <t>01.01.01.015</t>
  </si>
  <si>
    <t>01.01.01.016</t>
  </si>
  <si>
    <t>01.01.01.017</t>
  </si>
  <si>
    <t>01.01.01.018</t>
  </si>
  <si>
    <t>01.01.01.019</t>
  </si>
  <si>
    <t>01.01.01.020</t>
  </si>
  <si>
    <t>01.01.01.021</t>
  </si>
  <si>
    <t>01.01.01.022</t>
  </si>
  <si>
    <t>01.01.02</t>
  </si>
  <si>
    <t>Con S de Sostenibilidad Turística</t>
  </si>
  <si>
    <t>Playas con la S de Sostenibilidad Turística (registro del ICTE).</t>
  </si>
  <si>
    <t>01.01.02.001</t>
  </si>
  <si>
    <t>01.01.02.002</t>
  </si>
  <si>
    <t>01.01.02.003</t>
  </si>
  <si>
    <t>01.01.02.004</t>
  </si>
  <si>
    <t>01.01.02.005</t>
  </si>
  <si>
    <t>01.01.02.006</t>
  </si>
  <si>
    <t>01.01.02.007</t>
  </si>
  <si>
    <t>01.01.02.008</t>
  </si>
  <si>
    <t>01.01.02.009</t>
  </si>
  <si>
    <t>01.01.02.010</t>
  </si>
  <si>
    <t>01.01.02.011</t>
  </si>
  <si>
    <t>01.01.02.012</t>
  </si>
  <si>
    <t>01.01.02.013</t>
  </si>
  <si>
    <t>01.01.02.014</t>
  </si>
  <si>
    <t>01.01.02.015</t>
  </si>
  <si>
    <t>01.01.02.016</t>
  </si>
  <si>
    <t>01.01.02.017</t>
  </si>
  <si>
    <t>01.01.02.018</t>
  </si>
  <si>
    <t>01.01.02.019</t>
  </si>
  <si>
    <t>01.01.02.020</t>
  </si>
  <si>
    <t>01.01.02.021</t>
  </si>
  <si>
    <t>01.01.02.022</t>
  </si>
  <si>
    <t>01.01.03</t>
  </si>
  <si>
    <t>Accesibles</t>
  </si>
  <si>
    <t>Playas con certificado de accesibilidad universal UNE 170001-2.</t>
  </si>
  <si>
    <t>turismo.marbella.es; Ayuntamiento de Marbella (certificado UNE 170001-2)</t>
  </si>
  <si>
    <t>01.01.03.001</t>
  </si>
  <si>
    <t>01.01.03.002</t>
  </si>
  <si>
    <t>01.01.03.003</t>
  </si>
  <si>
    <t>01.01.03.004</t>
  </si>
  <si>
    <t>01.02</t>
  </si>
  <si>
    <t>Puertos</t>
  </si>
  <si>
    <t>Puertos José Banús, Virgen del Carmen (puerto deportivo de Marbella), Marina La Bajadilla y Cabopino.</t>
  </si>
  <si>
    <t>turismo.marbella.es; OpenStreetMap (ODbL)</t>
  </si>
  <si>
    <t>https://turismo.marbella.es/vive/mar/puertos.html</t>
  </si>
  <si>
    <t>01.02.001</t>
  </si>
  <si>
    <t>Puerto Banús</t>
  </si>
  <si>
    <t>36.486314, -4.951795</t>
  </si>
  <si>
    <t>Torre de control de Puerto Banús 29600 Marbella (Málaga)</t>
  </si>
  <si>
    <t>https://turismo.marbella.es/index.php?option=com_content&amp;view=article&amp;id=157</t>
  </si>
  <si>
    <t>01.02.002</t>
  </si>
  <si>
    <t>Puerto de Cabopino</t>
  </si>
  <si>
    <t>36.484329, -4.739959</t>
  </si>
  <si>
    <t>Crta. N-340, km 202. Urb. Cabopino - 29600 Marbella (Málaga)</t>
  </si>
  <si>
    <t>https://turismo.marbella.es/index.php?option=com_content&amp;view=article&amp;id=1321</t>
  </si>
  <si>
    <t>01.02.003</t>
  </si>
  <si>
    <t>Puerto Marina La Bajadilla</t>
  </si>
  <si>
    <t>36.507860, -4.874784</t>
  </si>
  <si>
    <t>Calle Puerto Pesquero, S/N (Pol. Ind. la Ermita) C.P. 29603 Marbella</t>
  </si>
  <si>
    <t>https://turismo.marbella.es/index.php?option=com_content&amp;view=article&amp;id=162</t>
  </si>
  <si>
    <t>01.02.004</t>
  </si>
  <si>
    <t>Puerto Virgen del Carmen (Puerto deportivo de Marbella)</t>
  </si>
  <si>
    <t>36.505698, -4.889396</t>
  </si>
  <si>
    <t>Paseo Maritimo. Avda. Duque de Ahumada, s/n. Edif. Capitanía - 29601 Marbella (Málaga)</t>
  </si>
  <si>
    <t>https://turismo.marbella.es/index.php?option=com_content&amp;view=article&amp;id=164</t>
  </si>
  <si>
    <t>01.03</t>
  </si>
  <si>
    <t>Clubs de playa</t>
  </si>
  <si>
    <t>Clubs de playa (beach clubs) con restauración, hamacas y servicios.</t>
  </si>
  <si>
    <t>https://turismo.marbella.es/vive/mar/clubs-de-playa.html</t>
  </si>
  <si>
    <t>01.03.001</t>
  </si>
  <si>
    <t>Amare Beach Club</t>
  </si>
  <si>
    <t>36.508237, -4.881168</t>
  </si>
  <si>
    <t>Avenida de Severo Ochoa 25</t>
  </si>
  <si>
    <t>https://turismo.marbella.es/index.php?option=com_content&amp;view=article&amp;id=731</t>
  </si>
  <si>
    <t>01.03.002</t>
  </si>
  <si>
    <t>Ammo</t>
  </si>
  <si>
    <t>36.478463, -4.977159</t>
  </si>
  <si>
    <t>Bodas Urb. Castiglione, s/n 29670 San Pedro Alcántara</t>
  </si>
  <si>
    <t>https://turismo.marbella.es/index.php?option=com_content&amp;view=article&amp;id=2498</t>
  </si>
  <si>
    <t>01.03.003</t>
  </si>
  <si>
    <t>Amú Beach Club   - Gran Marbella Resort &amp; Beach club</t>
  </si>
  <si>
    <t>36.492996, -4.786835</t>
  </si>
  <si>
    <t>Bodas Autovía del Mediterráneo Km 1034A, 29604 Marbella.</t>
  </si>
  <si>
    <t>https://turismo.marbella.es/index.php?option=com_content&amp;view=article&amp;id=736</t>
  </si>
  <si>
    <t>01.03.004</t>
  </si>
  <si>
    <t>Astoria Beach Club</t>
  </si>
  <si>
    <t>36.489314, -4.771137</t>
  </si>
  <si>
    <t>Avda. Hacienda Playa s/n 29604 Marbella</t>
  </si>
  <si>
    <t>https://turismo.marbella.es/index.php?option=com_content&amp;view=article&amp;id=8304</t>
  </si>
  <si>
    <t>01.03.005</t>
  </si>
  <si>
    <t>Aüa Playa</t>
  </si>
  <si>
    <t>36.499336, -4.936959</t>
  </si>
  <si>
    <t>Urbanización Villa Parra Palomeras, 90D, 29602 Marbella</t>
  </si>
  <si>
    <t>https://turismo.marbella.es/index.php?option=com_content&amp;view=article&amp;id=2517</t>
  </si>
  <si>
    <t>01.03.006</t>
  </si>
  <si>
    <t>Balagan Beach Salon</t>
  </si>
  <si>
    <t>36.476356, -4.981098</t>
  </si>
  <si>
    <t>Arrabal Puerto San Pedro, 29670 Marbella.</t>
  </si>
  <si>
    <t>https://turismo.marbella.es/index.php?option=com_content&amp;view=article&amp;id=7706</t>
  </si>
  <si>
    <t>01.03.007</t>
  </si>
  <si>
    <t>Barbillón</t>
  </si>
  <si>
    <t>36.468782, -4.992632</t>
  </si>
  <si>
    <t>Urb. Guadalmina Baja, C. 3, 318, 29670 Marbella</t>
  </si>
  <si>
    <t>https://turismo.marbella.es/index.php?option=com_content&amp;view=article&amp;id=5585</t>
  </si>
  <si>
    <t>01.03.008</t>
  </si>
  <si>
    <t>Bounty Beach</t>
  </si>
  <si>
    <t>36.507816, -4.864195</t>
  </si>
  <si>
    <t>OpenStreetMap (ODbL)</t>
  </si>
  <si>
    <t>https://newbountybeach.com</t>
  </si>
  <si>
    <t>01.03.009</t>
  </si>
  <si>
    <t>Chambao</t>
  </si>
  <si>
    <t>36.496490, -4.941523</t>
  </si>
  <si>
    <t>Bodas Urbanización Coral Beach, N-340, km 176, 29602 Marbella</t>
  </si>
  <si>
    <t>https://turismo.marbella.es/index.php?option=com_content&amp;view=article&amp;id=740</t>
  </si>
  <si>
    <t>01.03.010</t>
  </si>
  <si>
    <t>Chiringuito Macaao Beach Club</t>
  </si>
  <si>
    <t>36.469515, -4.991392</t>
  </si>
  <si>
    <t>https://macaaobeach.com/</t>
  </si>
  <si>
    <t>01.03.011</t>
  </si>
  <si>
    <t>Dune Beach</t>
  </si>
  <si>
    <t>36.498569, -4.811964</t>
  </si>
  <si>
    <t>Avda. Miguel de Cervantes s/n Urb. Costa Bella - 29604 Marbella.</t>
  </si>
  <si>
    <t>https://turismo.marbella.es/index.php?option=com_content&amp;view=article&amp;id=5520</t>
  </si>
  <si>
    <t>01.03.012</t>
  </si>
  <si>
    <t>El Ancla</t>
  </si>
  <si>
    <t>36.470152, -4.990166</t>
  </si>
  <si>
    <t>Avda. Carmen Sevilla s/n Urb. Linda Vista Playa 29670 San Pedro Alcántara</t>
  </si>
  <si>
    <t>https://turismo.marbella.es/index.php?option=com_content&amp;view=article&amp;id=7707</t>
  </si>
  <si>
    <t>01.03.013</t>
  </si>
  <si>
    <t>Kova Beach Club</t>
  </si>
  <si>
    <t>36.485725, -4.956301</t>
  </si>
  <si>
    <t>7</t>
  </si>
  <si>
    <t>https://kovabeachclub.com/</t>
  </si>
  <si>
    <t>01.03.014</t>
  </si>
  <si>
    <t>La Cabane Dolce &amp; Gabanna</t>
  </si>
  <si>
    <t>36.506049, -4.824557</t>
  </si>
  <si>
    <t>Bodas C/ Jabalí, 7 29603 Marbella</t>
  </si>
  <si>
    <t>https://turismo.marbella.es/index.php?option=com_content&amp;view=article&amp;id=737</t>
  </si>
  <si>
    <t>01.03.015</t>
  </si>
  <si>
    <t>La Plage Casanis</t>
  </si>
  <si>
    <t>36.493069, -4.787964</t>
  </si>
  <si>
    <t>Bodas Urb. Golden Beach. s/n. Salida 190, Playa Real de Zaragoza 29604 Marbella</t>
  </si>
  <si>
    <t>https://turismo.marbella.es/index.php?option=com_content&amp;view=article&amp;id=2513</t>
  </si>
  <si>
    <t>01.03.016</t>
  </si>
  <si>
    <t>La Sala by the Sea</t>
  </si>
  <si>
    <t>36.484412, -4.961604</t>
  </si>
  <si>
    <t>Avda. José Banús. Urb. Villa Marina - 29660 Marbella</t>
  </si>
  <si>
    <t>https://turismo.marbella.es/index.php?option=com_content&amp;view=article&amp;id=742</t>
  </si>
  <si>
    <t>01.03.017</t>
  </si>
  <si>
    <t>Lucía Summer Club</t>
  </si>
  <si>
    <t>36.492793, -4.771447</t>
  </si>
  <si>
    <t>Bodas Hotel Don Carlos Marbella A-7, km 1033 29604 Elviria - Marbella</t>
  </si>
  <si>
    <t>Ubicación aproximada, obtenida a partir de la dirección</t>
  </si>
  <si>
    <t>https://turismo.marbella.es/index.php?option=com_content&amp;view=article&amp;id=734</t>
  </si>
  <si>
    <t>01.03.018</t>
  </si>
  <si>
    <t>Marriott's Marbella Beach Club</t>
  </si>
  <si>
    <t>36.490326, -4.770843</t>
  </si>
  <si>
    <t>01.03.019</t>
  </si>
  <si>
    <t>MC Beach</t>
  </si>
  <si>
    <t>36.504619, -4.916315</t>
  </si>
  <si>
    <t>Bodas Marbella Club Hotel, Golf Resort &amp; Spa (5*) Bulevar Príncipe Alfonso de Hohenlohe, s/n 29602 Marbella</t>
  </si>
  <si>
    <t>https://turismo.marbella.es/index.php?option=com_content&amp;view=article&amp;id=743</t>
  </si>
  <si>
    <t>01.03.020</t>
  </si>
  <si>
    <t>Merendero Cristina nikki beach</t>
  </si>
  <si>
    <t>36.491473, -4.780510</t>
  </si>
  <si>
    <t>01.03.021</t>
  </si>
  <si>
    <t>Nao Pool Club &amp; Restaurant</t>
  </si>
  <si>
    <t>36.495528, -4.964085</t>
  </si>
  <si>
    <t>Calle Los Tilos</t>
  </si>
  <si>
    <t>https://turismo.marbella.es/index.php?option=com_content&amp;view=article&amp;id=6007</t>
  </si>
  <si>
    <t>01.03.022</t>
  </si>
  <si>
    <t>Nikki Beach</t>
  </si>
  <si>
    <t>36.489686, -4.773009</t>
  </si>
  <si>
    <t>Bodas Playa Hotel Don Carlos A-7 km 1033 29604 Marbella</t>
  </si>
  <si>
    <t>https://turismo.marbella.es/index.php?option=com_content&amp;view=article&amp;id=738</t>
  </si>
  <si>
    <t>01.03.023</t>
  </si>
  <si>
    <t>Nosso Summer Club</t>
  </si>
  <si>
    <t>36.499211, -4.815201</t>
  </si>
  <si>
    <t>Bodas Av. del Limonar, 124, 29604 Marbella, Málaga</t>
  </si>
  <si>
    <t>https://turismo.marbella.es/index.php?option=com_content&amp;view=article&amp;id=2510</t>
  </si>
  <si>
    <t>01.03.024</t>
  </si>
  <si>
    <t>Ocean Club</t>
  </si>
  <si>
    <t>36.485349, -4.959225</t>
  </si>
  <si>
    <t>Avda. Lola Flores s/n 29660 Puerto Banús</t>
  </si>
  <si>
    <t>https://turismo.marbella.es/index.php?option=com_content&amp;view=article&amp;id=744</t>
  </si>
  <si>
    <t>01.03.025</t>
  </si>
  <si>
    <t>Orange Beach Club</t>
  </si>
  <si>
    <t>36.489604, -4.771990</t>
  </si>
  <si>
    <t>01.03.026</t>
  </si>
  <si>
    <t>Puente Romano Beach Club</t>
  </si>
  <si>
    <t>36.501578, -4.922832</t>
  </si>
  <si>
    <t>Bulevar Principe Alfonso von Hohenlohe, s/n, 29602 Marbella.</t>
  </si>
  <si>
    <t>https://turismo.marbella.es/index.php?option=com_content&amp;view=article&amp;id=5818</t>
  </si>
  <si>
    <t>01.03.027</t>
  </si>
  <si>
    <t>Salvaje SLVJ Marbella</t>
  </si>
  <si>
    <t>36.485849, -4.956675</t>
  </si>
  <si>
    <t>Conjunto Benabolá, 7 29660 Puerto Banús</t>
  </si>
  <si>
    <t>https://turismo.marbella.es/index.php?option=com_content&amp;view=article&amp;id=4615</t>
  </si>
  <si>
    <t>01.03.028</t>
  </si>
  <si>
    <t>Seasoul Restaurant &amp; Beach Club</t>
  </si>
  <si>
    <t>36.496564, -4.941710</t>
  </si>
  <si>
    <t>01.03.029</t>
  </si>
  <si>
    <t>The Point</t>
  </si>
  <si>
    <t>36.507247, -4.855881</t>
  </si>
  <si>
    <t>A-7, km 1041 Playa El Pinillo - 29603 Marbella</t>
  </si>
  <si>
    <t>https://turismo.marbella.es/index.php?option=com_content&amp;view=article&amp;id=2501</t>
  </si>
  <si>
    <t>01.03.030</t>
  </si>
  <si>
    <t>Trocadero Arena</t>
  </si>
  <si>
    <t>36.504455, -4.844329</t>
  </si>
  <si>
    <t>https://grupotrocadero.com/trocadero-arena/</t>
  </si>
  <si>
    <t>01.03.031</t>
  </si>
  <si>
    <t>Trocadero Beach Bar</t>
  </si>
  <si>
    <t>36.505418, -4.913861</t>
  </si>
  <si>
    <t>https://grupotrocadero.com/restaurantes/trocadero-playa/</t>
  </si>
  <si>
    <t>01.04</t>
  </si>
  <si>
    <t>Salvamento y socorrismo</t>
  </si>
  <si>
    <t>Complementaria</t>
  </si>
  <si>
    <t>Puestos de salvamento y socorrismo en playa (complementaria).</t>
  </si>
  <si>
    <t>01.04.001</t>
  </si>
  <si>
    <t>Puesto de socorrismo</t>
  </si>
  <si>
    <t>36.496139, -4.800932</t>
  </si>
  <si>
    <t>01.04.002</t>
  </si>
  <si>
    <t>36.501907, -4.833683</t>
  </si>
  <si>
    <t>01.04.003</t>
  </si>
  <si>
    <t>36.484450, -4.743184</t>
  </si>
  <si>
    <t>01.04.004</t>
  </si>
  <si>
    <t>36.484808, -4.743051</t>
  </si>
  <si>
    <t>01.04.005</t>
  </si>
  <si>
    <t>36.506843, -4.890498</t>
  </si>
  <si>
    <t>01.04.006</t>
  </si>
  <si>
    <t>36.506716, -4.887122</t>
  </si>
  <si>
    <t>02</t>
  </si>
  <si>
    <t>Náutica</t>
  </si>
  <si>
    <t>Actividades náuticas y zonas de submarinismo.</t>
  </si>
  <si>
    <t>02.01</t>
  </si>
  <si>
    <t>Actividades náuticas</t>
  </si>
  <si>
    <t>Empresas y clubes de actividades náuticas: motos de agua, vela, buceo, paddle surf, esquí acuático.</t>
  </si>
  <si>
    <t>turismo.marbella.es; OpenStreetMap (ODbL); Registro de Turismo de Andalucía (OpenRTA)</t>
  </si>
  <si>
    <t>https://turismo.marbella.es/vive/mar/actividades-nauticas.html</t>
  </si>
  <si>
    <t>02.01.001</t>
  </si>
  <si>
    <t>Aquatime</t>
  </si>
  <si>
    <t>36.506417, -4.889648</t>
  </si>
  <si>
    <t>Puerto Deportivo Virgen del Carmen, local 22 29602 Marbella</t>
  </si>
  <si>
    <t>https://turismo.marbella.es/index.php?option=com_content&amp;view=article&amp;id=110</t>
  </si>
  <si>
    <t>02.01.002</t>
  </si>
  <si>
    <t>Cableski Marbella &amp; Wakeboard Center</t>
  </si>
  <si>
    <t>36.490359, -5.002085</t>
  </si>
  <si>
    <t>Urb. Guadalmina Alta. Parque de las Medranas. 29678 San Pedro Alcántara</t>
  </si>
  <si>
    <t>https://turismo.marbella.es/index.php?option=com_content&amp;view=article&amp;id=126</t>
  </si>
  <si>
    <t>02.01.003</t>
  </si>
  <si>
    <t>COIS</t>
  </si>
  <si>
    <t>36.508053, -4.874987</t>
  </si>
  <si>
    <t>Puerto Deportivo local 3. 29602 Marbella</t>
  </si>
  <si>
    <t>https://turismo.marbella.es/index.php?option=com_content&amp;view=article&amp;id=3677</t>
  </si>
  <si>
    <t>02.01.004</t>
  </si>
  <si>
    <t>Hollywood Watersports</t>
  </si>
  <si>
    <t>36.483275, -4.963769</t>
  </si>
  <si>
    <t>Playa El Rodeíto - 29660 Puerto Banús</t>
  </si>
  <si>
    <t>https://turismo.marbella.es/index.php?option=com_content&amp;view=article&amp;id=345</t>
  </si>
  <si>
    <t>02.01.005</t>
  </si>
  <si>
    <t>Host Super Six</t>
  </si>
  <si>
    <t>36.493035, -4.776332</t>
  </si>
  <si>
    <t>Av. Concha Nácar, 8</t>
  </si>
  <si>
    <t>https://airbtc.online/properties/host-super-six/</t>
  </si>
  <si>
    <t>02.01.006</t>
  </si>
  <si>
    <t>Jet Ski Puerto Banús</t>
  </si>
  <si>
    <t>Muelle de Levante</t>
  </si>
  <si>
    <t>La web no publica su ubicación</t>
  </si>
  <si>
    <t>https://turismo.marbella.es/index.php?option=com_content&amp;view=article&amp;id=8238</t>
  </si>
  <si>
    <t>02.01.007</t>
  </si>
  <si>
    <t>Jetboat Marbella</t>
  </si>
  <si>
    <t>36.506480, -4.888417</t>
  </si>
  <si>
    <t>Puerto Deportivo Virgen del Carmen Pantalán 4, Amarre 401 - 29602 Marbella</t>
  </si>
  <si>
    <t>https://turismo.marbella.es/index.php?option=com_content&amp;view=article&amp;id=112</t>
  </si>
  <si>
    <t>02.01.008</t>
  </si>
  <si>
    <t>Jetdream Adventure Puerto Banus</t>
  </si>
  <si>
    <t>36.488857, -4.954740</t>
  </si>
  <si>
    <t>Muelle de Levante, Atraque 820-821, Puerto Banus, 29660 Marbella</t>
  </si>
  <si>
    <t>https://turismo.marbella.es/index.php?option=com_content&amp;view=article&amp;id=4464</t>
  </si>
  <si>
    <t>02.01.009</t>
  </si>
  <si>
    <t>Marbella Diving Club</t>
  </si>
  <si>
    <t>36.502823, -4.920508</t>
  </si>
  <si>
    <t>Diseminado Von Bismark, 2, 29602 Marbella</t>
  </si>
  <si>
    <t>https://turismo.marbella.es/index.php?option=com_content&amp;view=article&amp;id=7130</t>
  </si>
  <si>
    <t>02.01.010</t>
  </si>
  <si>
    <t>Marbella Jet Ski Rentals</t>
  </si>
  <si>
    <t>36.495967, -4.801527</t>
  </si>
  <si>
    <t>A-7, km 189, 29604, Marbella - Frente al Hotel Marbella Playa</t>
  </si>
  <si>
    <t>https://turismo.marbella.es/index.php?option=com_content&amp;view=article&amp;id=113</t>
  </si>
  <si>
    <t>02.01.011</t>
  </si>
  <si>
    <t>Marbella Jetski</t>
  </si>
  <si>
    <t>36.506492, -4.889153</t>
  </si>
  <si>
    <t>Pantalán num. 200 Puerto Deportivo - 29602 Marbella</t>
  </si>
  <si>
    <t>https://turismo.marbella.es/index.php?option=com_content&amp;view=article&amp;id=3911</t>
  </si>
  <si>
    <t>02.01.012</t>
  </si>
  <si>
    <t>Marbella Sports Boat</t>
  </si>
  <si>
    <t>36.506751, -4.889475</t>
  </si>
  <si>
    <t>Puerto Deportivo Virgen del Carmen, Local 45 - 29602 Marbella</t>
  </si>
  <si>
    <t>https://turismo.marbella.es/index.php?option=com_content&amp;view=article&amp;id=120</t>
  </si>
  <si>
    <t>02.01.013</t>
  </si>
  <si>
    <t>Marbella Supercharger</t>
  </si>
  <si>
    <t>36.504945, -4.925107</t>
  </si>
  <si>
    <t>https://www.tesla.com/findus/location/supercharger/29922</t>
  </si>
  <si>
    <t>02.01.014</t>
  </si>
  <si>
    <t>Nalusur Marbella</t>
  </si>
  <si>
    <t>36.506785, -4.887938</t>
  </si>
  <si>
    <t>Club Marítimo Virgen del Carmen Marbella, Puerto Deportivo - 29602 Marbella</t>
  </si>
  <si>
    <t>https://turismo.marbella.es/index.php?option=com_content&amp;view=article&amp;id=121</t>
  </si>
  <si>
    <t>02.01.015</t>
  </si>
  <si>
    <t>Paddelsurf Marbella</t>
  </si>
  <si>
    <t>36.505474, -4.843189</t>
  </si>
  <si>
    <t>C/ Madera, 9 , Polígono La Ermita - 29603 Marbella</t>
  </si>
  <si>
    <t>https://turismo.marbella.es/index.php?option=com_content&amp;view=article&amp;id=3913</t>
  </si>
  <si>
    <t>02.01.016</t>
  </si>
  <si>
    <t>Parking Supermercado Maskom</t>
  </si>
  <si>
    <t>36.483771, -4.990223</t>
  </si>
  <si>
    <t>02.01.017</t>
  </si>
  <si>
    <t>Real Club Marítimo Marbella</t>
  </si>
  <si>
    <t>36.506515, -4.887893</t>
  </si>
  <si>
    <t>Puerto Deportivo Virgen del Carmen s/n - 29602 Marbella</t>
  </si>
  <si>
    <t>https://turismo.marbella.es/index.php?option=com_content&amp;view=article&amp;id=123</t>
  </si>
  <si>
    <t>02.01.018</t>
  </si>
  <si>
    <t>Samoa Surf Shop</t>
  </si>
  <si>
    <t>36.508611, -4.911597</t>
  </si>
  <si>
    <t>Urb. Marbellamar, 8 - 29602 Marbella</t>
  </si>
  <si>
    <t>https://turismo.marbella.es/index.php?option=com_content&amp;view=article&amp;id=125</t>
  </si>
  <si>
    <t>02.01.019</t>
  </si>
  <si>
    <t>Scandi Supermarket</t>
  </si>
  <si>
    <t>36.499391, -4.971767</t>
  </si>
  <si>
    <t>02.01.020</t>
  </si>
  <si>
    <t>Simply Diving</t>
  </si>
  <si>
    <t>36.528417, -4.881905</t>
  </si>
  <si>
    <t>Lugar Puerto Deportivo De Marbella Pta/Letra 37 Compl.Dom. Centro Comercial Club Marítimo, Local 37</t>
  </si>
  <si>
    <t>Registro de Turismo de Andalucía (OpenRTA)</t>
  </si>
  <si>
    <t>02.01.021</t>
  </si>
  <si>
    <t>36.506801, -4.889552</t>
  </si>
  <si>
    <t>Puerto Deportivo de Marbella local 52 29600 - Marbella</t>
  </si>
  <si>
    <t>https://turismo.marbella.es/index.php?option=com_content&amp;view=article&amp;id=152</t>
  </si>
  <si>
    <t>02.01.022</t>
  </si>
  <si>
    <t>Souvenirs Supermarket</t>
  </si>
  <si>
    <t>36.485207, -4.976950</t>
  </si>
  <si>
    <t>02.01.023</t>
  </si>
  <si>
    <t>Sporting Beach</t>
  </si>
  <si>
    <t>36.494974, -4.784463</t>
  </si>
  <si>
    <t>Ctra. A7 km. 1034A - 29604 Marbella</t>
  </si>
  <si>
    <t>https://turismo.marbella.es/index.php?option=com_content&amp;view=article&amp;id=364</t>
  </si>
  <si>
    <t>02.01.024</t>
  </si>
  <si>
    <t>Super Express</t>
  </si>
  <si>
    <t>36.510577, -4.893409</t>
  </si>
  <si>
    <t>02.01.025</t>
  </si>
  <si>
    <t>Super Garage Marbella</t>
  </si>
  <si>
    <t>36.495608, -4.953264</t>
  </si>
  <si>
    <t>02.01.026</t>
  </si>
  <si>
    <t>Super Mercado Asia</t>
  </si>
  <si>
    <t>36.510026, -4.892859</t>
  </si>
  <si>
    <t>02.01.027</t>
  </si>
  <si>
    <t>Super Sol</t>
  </si>
  <si>
    <t>36.509660, -4.910481</t>
  </si>
  <si>
    <t>02.01.028</t>
  </si>
  <si>
    <t>Supera Miraflores</t>
  </si>
  <si>
    <t>36.515438, -4.889843</t>
  </si>
  <si>
    <t>Av. Mayorazgo 296001</t>
  </si>
  <si>
    <t>https://www.centrosupera.com/miraflores/</t>
  </si>
  <si>
    <t>02.01.029</t>
  </si>
  <si>
    <t>Supercor</t>
  </si>
  <si>
    <t>36.500659, -4.800665</t>
  </si>
  <si>
    <t>02.01.030</t>
  </si>
  <si>
    <t>36.507886, -4.898134</t>
  </si>
  <si>
    <t>02.01.031</t>
  </si>
  <si>
    <t>36.493010, -4.965657</t>
  </si>
  <si>
    <t>02.01.032</t>
  </si>
  <si>
    <t>36.499789, -4.961099</t>
  </si>
  <si>
    <t>02.01.033</t>
  </si>
  <si>
    <t>36.496458, -4.992672</t>
  </si>
  <si>
    <t>02.01.034</t>
  </si>
  <si>
    <t>36.487874, -4.956806</t>
  </si>
  <si>
    <t>02.01.035</t>
  </si>
  <si>
    <t>Supercor Exprés</t>
  </si>
  <si>
    <t>36.507928, -4.883736</t>
  </si>
  <si>
    <t>Avenida de Ramón y Cajal 12</t>
  </si>
  <si>
    <t>https://supercor.es</t>
  </si>
  <si>
    <t>02.01.036</t>
  </si>
  <si>
    <t>36.495836, -4.774580</t>
  </si>
  <si>
    <t>Coto de los Dolores</t>
  </si>
  <si>
    <t>02.01.037</t>
  </si>
  <si>
    <t>Superdry</t>
  </si>
  <si>
    <t>36.485573, -4.954345</t>
  </si>
  <si>
    <t>02.01.038</t>
  </si>
  <si>
    <t>Supermercado Paquita</t>
  </si>
  <si>
    <t>36.485201, -4.976996</t>
  </si>
  <si>
    <t>02.01.039</t>
  </si>
  <si>
    <t>Supersol</t>
  </si>
  <si>
    <t>36.493150, -4.960376</t>
  </si>
  <si>
    <t>02.01.040</t>
  </si>
  <si>
    <t>The Food Co British Supermarket</t>
  </si>
  <si>
    <t>36.474057, -5.004666</t>
  </si>
  <si>
    <t>https://www.thefoodco.es/</t>
  </si>
  <si>
    <t>02.01.041</t>
  </si>
  <si>
    <t>36.495812, -4.952395</t>
  </si>
  <si>
    <t>https://www.thefoodco.es</t>
  </si>
  <si>
    <t>02.01.042</t>
  </si>
  <si>
    <t>The Point Jet Ski</t>
  </si>
  <si>
    <t>36.507360, -4.855935</t>
  </si>
  <si>
    <t>https://turismo.marbella.es/index.php?option=com_content&amp;view=article&amp;id=3915</t>
  </si>
  <si>
    <t>02.01.043</t>
  </si>
  <si>
    <t>Water Sports Banús</t>
  </si>
  <si>
    <t>36.492724, -4.945515</t>
  </si>
  <si>
    <t>Paseo Alberto Vidiella Tudores (Playa Levante) 29660 Nueva Andalucía</t>
  </si>
  <si>
    <t>https://turismo.marbella.es/index.php?option=com_content&amp;view=article&amp;id=156</t>
  </si>
  <si>
    <t>02.02</t>
  </si>
  <si>
    <t>Zonas de submarinismo</t>
  </si>
  <si>
    <t>Zonas de inmersión: El Galeón, La Torre, Las Bóvedas, Pimpollo y Roqueillos.</t>
  </si>
  <si>
    <t>https://turismo.marbella.es/vive/mar/buceo.html</t>
  </si>
  <si>
    <t>02.02.001</t>
  </si>
  <si>
    <t>El Galeón</t>
  </si>
  <si>
    <t>36.471676, -4.985281</t>
  </si>
  <si>
    <t>https://turismo.marbella.es/index.php?option=com_content&amp;view=article&amp;id=5953</t>
  </si>
  <si>
    <t>02.02.002</t>
  </si>
  <si>
    <t>La Torre</t>
  </si>
  <si>
    <t>36.504837, -4.868202</t>
  </si>
  <si>
    <t>Fuera del término municipal de Marbella</t>
  </si>
  <si>
    <t>https://turismo.marbella.es/index.php?option=com_content&amp;view=article&amp;id=5954</t>
  </si>
  <si>
    <t>02.02.003</t>
  </si>
  <si>
    <t>Las Bóvedas</t>
  </si>
  <si>
    <t>36.401614, -4.984944</t>
  </si>
  <si>
    <t>https://turismo.marbella.es/index.php?option=com_content&amp;view=article&amp;id=5955</t>
  </si>
  <si>
    <t>02.02.004</t>
  </si>
  <si>
    <t>Pimpollo</t>
  </si>
  <si>
    <t>36.484614, -4.919433</t>
  </si>
  <si>
    <t>https://turismo.marbella.es/index.php?option=com_content&amp;view=article&amp;id=5956</t>
  </si>
  <si>
    <t>02.02.005</t>
  </si>
  <si>
    <t>Roqueillos</t>
  </si>
  <si>
    <t>https://turismo.marbella.es/index.php?option=com_content&amp;view=article&amp;id=5957</t>
  </si>
  <si>
    <t>03</t>
  </si>
  <si>
    <t>Golf</t>
  </si>
  <si>
    <t>Campos de golf y servicios al golfista.</t>
  </si>
  <si>
    <t>https://turismo.marbella.es/vive/golf.html</t>
  </si>
  <si>
    <t>03.01</t>
  </si>
  <si>
    <t>Campos de golf</t>
  </si>
  <si>
    <t>Los campos de golf del término, cada uno con su ficha.</t>
  </si>
  <si>
    <t>https://turismo.marbella.es/vive/golf/aloha-club-de-golf.html
https://turismo.marbella.es/vive/golf/banus-executive-golf.html
https://turismo.marbella.es/vive/golf/cabopino-golf-marbella.html
https://turismo.marbella.es/vive/golf/greenlife-golf.html
https://turismo.marbella.es/vive/golf/higueron-marbella-golf-resort.html
https://turismo.marbella.es/vive/golf/la-quinta-golf-cc.html
https://turismo.marbella.es/vive/golf/los-naranjos-golf-club.html
https://turismo.marbella.es/vive/golf/magna-marbella-golf.html
https://turismo.marbella.es/vive/golf/real-club-de-golf-guadalmina-norte.html
https://turismo.marbella.es/vive/golf/real-club-de-golf-guadalmina-sur.html
https://turismo.marbella.es/vive/golf/real-club-de-golf-las-brisas.html
https://turismo.marbella.es/vive/golf/rio-real.html
https://turismo.marbella.es/vive/golf/santa-clara-golf.html
https://turismo.marbella.es/vive/golf/santa-maria-golf-club.html</t>
  </si>
  <si>
    <t>03.01.001</t>
  </si>
  <si>
    <t>Aloha Club de Golf</t>
  </si>
  <si>
    <t>36.511475, -4.960791</t>
  </si>
  <si>
    <t>Urbanización Aloha Golf</t>
  </si>
  <si>
    <t>https://turismo.marbella.es/vive/golf/aloha-club-de-golf.html</t>
  </si>
  <si>
    <t>03.01.002</t>
  </si>
  <si>
    <t>Banús Executive Golf</t>
  </si>
  <si>
    <t>36.503429, -4.949685</t>
  </si>
  <si>
    <t>https://turismo.marbella.es/vive/golf/banus-executive-golf.html</t>
  </si>
  <si>
    <t>03.01.003</t>
  </si>
  <si>
    <t>Cabopino Golf Marbella</t>
  </si>
  <si>
    <t>36.494433, -4.740750</t>
  </si>
  <si>
    <t>Urbanización Artola Alta</t>
  </si>
  <si>
    <t>https://turismo.marbella.es/vive/golf/cabopino-golf-marbella.html</t>
  </si>
  <si>
    <t>03.01.004</t>
  </si>
  <si>
    <t>Golf La Dama de Noche</t>
  </si>
  <si>
    <t>36.501385, -4.949512</t>
  </si>
  <si>
    <t>Calle Camino del Ángel</t>
  </si>
  <si>
    <t>http://www.golfdamadenoche.es/</t>
  </si>
  <si>
    <t>03.01.005</t>
  </si>
  <si>
    <t>Greenlife Golf</t>
  </si>
  <si>
    <t>36.505559, -4.779035</t>
  </si>
  <si>
    <t>Avenida de las Cumbres</t>
  </si>
  <si>
    <t>https://turismo.marbella.es/vive/golf/greenlife-golf.html</t>
  </si>
  <si>
    <t>03.01.006</t>
  </si>
  <si>
    <t>Higuerón Marbella Golf Resort</t>
  </si>
  <si>
    <t>36.513253, -4.812753</t>
  </si>
  <si>
    <t>https://turismo.marbella.es/vive/golf/higueron-marbella-golf-resort.html</t>
  </si>
  <si>
    <t>03.01.007</t>
  </si>
  <si>
    <t>La Quinta Golf &amp; CC</t>
  </si>
  <si>
    <t>36.514061, -4.996272</t>
  </si>
  <si>
    <t>Urbanización La Quinta Golf</t>
  </si>
  <si>
    <t>https://turismo.marbella.es/vive/golf/la-quinta-golf-cc.html</t>
  </si>
  <si>
    <t>03.01.008</t>
  </si>
  <si>
    <t>Los Naranjos Golf Club</t>
  </si>
  <si>
    <t>36.510602, -4.979613</t>
  </si>
  <si>
    <t>Plaza Cibeles</t>
  </si>
  <si>
    <t>https://turismo.marbella.es/vive/golf/los-naranjos-golf-club.html</t>
  </si>
  <si>
    <t>03.01.009</t>
  </si>
  <si>
    <t>Magna Marbella Golf</t>
  </si>
  <si>
    <t>36.505547, -4.979022</t>
  </si>
  <si>
    <t>Calle Calderón de la Barca</t>
  </si>
  <si>
    <t>https://turismo.marbella.es/vive/golf/magna-marbella-golf.html</t>
  </si>
  <si>
    <t>03.01.010</t>
  </si>
  <si>
    <t>Marbella Golf Country Club</t>
  </si>
  <si>
    <t>36.511667, -4.812256</t>
  </si>
  <si>
    <t>Carretera de Cádiz, N-340</t>
  </si>
  <si>
    <t>https://www.marbellagolf.com/</t>
  </si>
  <si>
    <t>03.01.011</t>
  </si>
  <si>
    <t>Real Club de Golf Guadalmina Norte</t>
  </si>
  <si>
    <t>36.480381, -5.005613</t>
  </si>
  <si>
    <t>https://turismo.marbella.es/vive/golf/real-club-de-golf-guadalmina-norte.html</t>
  </si>
  <si>
    <t>03.01.012</t>
  </si>
  <si>
    <t>Real Club de Golf Guadalmina Sur</t>
  </si>
  <si>
    <t>36.486968, -5.006265</t>
  </si>
  <si>
    <t>A7</t>
  </si>
  <si>
    <t>https://turismo.marbella.es/vive/golf/real-club-de-golf-guadalmina-sur.html</t>
  </si>
  <si>
    <t>03.01.013</t>
  </si>
  <si>
    <t>Real Club de Golf Las Brisas</t>
  </si>
  <si>
    <t>36.506439, -4.969068</t>
  </si>
  <si>
    <t>Calle Londres 1</t>
  </si>
  <si>
    <t>https://turismo.marbella.es/vive/golf/real-club-de-golf-las-brisas.html</t>
  </si>
  <si>
    <t>03.01.014</t>
  </si>
  <si>
    <t>Río Real Golf</t>
  </si>
  <si>
    <t>36.510104, -4.843798</t>
  </si>
  <si>
    <t>Urbanización Golf Rio Real</t>
  </si>
  <si>
    <t>https://turismo.marbella.es/vive/golf/rio-real.html</t>
  </si>
  <si>
    <t>03.01.015</t>
  </si>
  <si>
    <t>Santa Clara Golf</t>
  </si>
  <si>
    <t>36.509957, -4.824382</t>
  </si>
  <si>
    <t>Carretera N-340 Málaga Cádiz</t>
  </si>
  <si>
    <t>https://turismo.marbella.es/vive/golf/santa-clara-golf.html</t>
  </si>
  <si>
    <t>03.01.016</t>
  </si>
  <si>
    <t>Santa María Golf Club</t>
  </si>
  <si>
    <t>36.509991, -4.768026</t>
  </si>
  <si>
    <t>https://turismo.marbella.es/vive/golf/santa-maria-golf-club.html</t>
  </si>
  <si>
    <t>03.02</t>
  </si>
  <si>
    <t>Academias y escuelas de golf</t>
  </si>
  <si>
    <t>Academias, escuelas y campos de prácticas.</t>
  </si>
  <si>
    <t>https://turismo.marbella.es/vive/golf/academias-y-escuelas-de-golf.html</t>
  </si>
  <si>
    <t>03.02.001</t>
  </si>
  <si>
    <t>Academia Club de Golf de Marbella</t>
  </si>
  <si>
    <t>36.512221, -4.895368</t>
  </si>
  <si>
    <t>Sede: C/ Jacinto Benavente, s/n. (Fuente)</t>
  </si>
  <si>
    <t>https://turismo.marbella.es/index.php?option=com_content&amp;view=article&amp;id=37</t>
  </si>
  <si>
    <t>03.02.002</t>
  </si>
  <si>
    <t>Academia de Golf Río Real</t>
  </si>
  <si>
    <t>36.514882, -4.844959</t>
  </si>
  <si>
    <t>Urbanización Golf Río Real s/n A-7, Km. 1040 - 29603 Marbella</t>
  </si>
  <si>
    <t>https://turismo.marbella.es/index.php?option=com_content&amp;view=article&amp;id=35</t>
  </si>
  <si>
    <t>03.02.003</t>
  </si>
  <si>
    <t>Academia Los Naranjos Golf Club</t>
  </si>
  <si>
    <t>turismo.marbella.es; turismo.marbella.es; OpenStreetMap (ODbL)</t>
  </si>
  <si>
    <t>https://turismo.marbella.es/index.php?option=com_content&amp;view=article&amp;id=36</t>
  </si>
  <si>
    <t>03.02.004</t>
  </si>
  <si>
    <t>Cabopino Golf Academy</t>
  </si>
  <si>
    <t>36.494172, -4.740256</t>
  </si>
  <si>
    <t>A-7, km 1031. Urb. Artola Alta, s/n 29604 Marbella</t>
  </si>
  <si>
    <t>https://turismo.marbella.es/index.php?option=com_content&amp;view=article&amp;id=7379</t>
  </si>
  <si>
    <t>03.02.005</t>
  </si>
  <si>
    <t>Driving Range</t>
  </si>
  <si>
    <t>36.515459, -4.844433</t>
  </si>
  <si>
    <t>03.02.006</t>
  </si>
  <si>
    <t>Escuela Club de Golf Aloha</t>
  </si>
  <si>
    <t>36.511461, -4.959223</t>
  </si>
  <si>
    <t>Urbanización Aloha Nueva Andalucía</t>
  </si>
  <si>
    <t>https://turismo.marbella.es/index.php?option=com_content&amp;view=article&amp;id=39</t>
  </si>
  <si>
    <t>03.02.007</t>
  </si>
  <si>
    <t>Escuela de golf de San Pedro Golf Club</t>
  </si>
  <si>
    <t>36.485488, -5.001743</t>
  </si>
  <si>
    <t>Camino de Guadalmina s/n Tee de prácticas San Pedro (Las Medranas) San Pedro Alcántara</t>
  </si>
  <si>
    <t>https://turismo.marbella.es/index.php?option=com_content&amp;view=article&amp;id=46</t>
  </si>
  <si>
    <t>03.02.008</t>
  </si>
  <si>
    <t>Escuela de golf de Santa Clara Golf Marbella</t>
  </si>
  <si>
    <t>36.507870, -4.818416</t>
  </si>
  <si>
    <t>A-7, km 1038 - Calle Sand, 17 29603 Marbella</t>
  </si>
  <si>
    <t>https://turismo.marbella.es/index.php?option=com_content&amp;view=article&amp;id=47</t>
  </si>
  <si>
    <t>03.02.009</t>
  </si>
  <si>
    <t>Escuela de Golf La Quinta</t>
  </si>
  <si>
    <t>36.513155, -4.994557</t>
  </si>
  <si>
    <t>Urb. La Quinta – Avda. Tomás Pascual, 22 29679 Nueva Andalucía Marbella</t>
  </si>
  <si>
    <t>https://turismo.marbella.es/index.php?option=com_content&amp;view=article&amp;id=40</t>
  </si>
  <si>
    <t>03.02.010</t>
  </si>
  <si>
    <t>Escuela de golf Magna Marbella Golf</t>
  </si>
  <si>
    <t>36.504883, -4.976572</t>
  </si>
  <si>
    <t>C/ Calderón de la Barca s/n Conjunto Magna Marbella - Nueva Andalucía</t>
  </si>
  <si>
    <t>https://turismo.marbella.es/index.php?option=com_content&amp;view=article&amp;id=44</t>
  </si>
  <si>
    <t>03.02.011</t>
  </si>
  <si>
    <t>Escuela Real Club de Golf Guadalmina</t>
  </si>
  <si>
    <t>36.480061, -5.005577</t>
  </si>
  <si>
    <t>A-7, km 1055 Urb. Guadalmina Alta 29678 San Pedro Alcántara Marbella</t>
  </si>
  <si>
    <t>https://turismo.marbella.es/index.php?option=com_content&amp;view=article&amp;id=42</t>
  </si>
  <si>
    <t>03.02.012</t>
  </si>
  <si>
    <t>Greenlife Golf Academy</t>
  </si>
  <si>
    <t>https://turismo.marbella.es/index.php?option=com_content&amp;view=article&amp;id=43</t>
  </si>
  <si>
    <t>03.02.013</t>
  </si>
  <si>
    <t>Greenlife Golf Driving Range</t>
  </si>
  <si>
    <t>36.509959, -4.780802</t>
  </si>
  <si>
    <t>03.02.014</t>
  </si>
  <si>
    <t>Marbella Golf Academy</t>
  </si>
  <si>
    <t>36.511361, -4.811497</t>
  </si>
  <si>
    <t>Marbella Golf Country Club A-7, km 1037 29604 Marbella</t>
  </si>
  <si>
    <t>https://turismo.marbella.es/index.php?option=com_content&amp;view=article&amp;id=45</t>
  </si>
  <si>
    <t>03.02.015</t>
  </si>
  <si>
    <t>The Range Marbella (Escuela municipal de golf)</t>
  </si>
  <si>
    <t>36.510229, -4.952597</t>
  </si>
  <si>
    <t>Urb. Los Olivos, 1 Nueva Andalucía 29660 Marbella</t>
  </si>
  <si>
    <t>https://turismo.marbella.es/index.php?option=com_content&amp;view=article&amp;id=8105</t>
  </si>
  <si>
    <t>03.03</t>
  </si>
  <si>
    <t>Tiendas de golf</t>
  </si>
  <si>
    <t>Tiendas especializadas en golf.</t>
  </si>
  <si>
    <t>https://turismo.marbella.es/vive/golf/tiendas-de-golf.html</t>
  </si>
  <si>
    <t>03.03.001</t>
  </si>
  <si>
    <t>Fairway+Blue</t>
  </si>
  <si>
    <t>36.487125, -4.955796</t>
  </si>
  <si>
    <t>Av José Banús, Nueva Andalucía, 29660 Marbella.</t>
  </si>
  <si>
    <t>https://turismo.marbella.es/index.php?option=com_content&amp;view=article&amp;id=27</t>
  </si>
  <si>
    <t>03.03.002</t>
  </si>
  <si>
    <t>Golf Us Marbella</t>
  </si>
  <si>
    <t>36.485811, -4.973594</t>
  </si>
  <si>
    <t>C.C. Azalea Beach A-7, km 1052 29660 Nueva Andalucía Marbella</t>
  </si>
  <si>
    <t>https://turismo.marbella.es/index.php?option=com_content&amp;view=article&amp;id=49</t>
  </si>
  <si>
    <t>03.04</t>
  </si>
  <si>
    <t>Alquiler de equipos de golf</t>
  </si>
  <si>
    <t>Alquiler de palos y material.</t>
  </si>
  <si>
    <t>https://turismo.marbella.es/vive/golf/alquiler-de-equipos-de-golf.html</t>
  </si>
  <si>
    <t>03.04.001</t>
  </si>
  <si>
    <t>Golf Service</t>
  </si>
  <si>
    <t>36.489091, -4.964571</t>
  </si>
  <si>
    <t>https://turismo.marbella.es/vive/golf/alquiler-de-equipos-de-golf/golf-service.html</t>
  </si>
  <si>
    <t>03.04.002</t>
  </si>
  <si>
    <t>Test and Rent - Golf Sets</t>
  </si>
  <si>
    <t>36.508785, -4.941173</t>
  </si>
  <si>
    <t>https://turismo.marbella.es/vive/golf/alquiler-de-equipos-de-golf/test-and-rent-golf-sets.html</t>
  </si>
  <si>
    <t>04</t>
  </si>
  <si>
    <t>Gastronomía</t>
  </si>
  <si>
    <t>Restauración, distinciones y producto local.</t>
  </si>
  <si>
    <t>https://turismo.marbella.es/vive/gastronomia.html</t>
  </si>
  <si>
    <t>04.01</t>
  </si>
  <si>
    <t>Estrellas Michelin</t>
  </si>
  <si>
    <t>Restaurantes con Estrella MICHELIN (edición 2026).</t>
  </si>
  <si>
    <t>Guía MICHELIN España 2026; turismo.marbella.es</t>
  </si>
  <si>
    <t>https://turismo.marbella.es/vive/gastronomia/estrellas-michelin.html</t>
  </si>
  <si>
    <t>04.01.001</t>
  </si>
  <si>
    <t>BACK</t>
  </si>
  <si>
    <t>36.509140, -4.894560</t>
  </si>
  <si>
    <t>Calle Pablo Casals 8</t>
  </si>
  <si>
    <t>turismo.marbella.es; Guía MICHELIN España 2026 (guide.michelin.com)</t>
  </si>
  <si>
    <t>https://turismo.marbella.es/index.php?option=com_content&amp;view=article&amp;id=6676</t>
  </si>
  <si>
    <t>04.01.002</t>
  </si>
  <si>
    <t>Messina</t>
  </si>
  <si>
    <t>36.508645, -4.880167</t>
  </si>
  <si>
    <t>Avenida Severo Ochoa 12</t>
  </si>
  <si>
    <t>https://turismo.marbella.es/index.php?option=com_content&amp;view=article&amp;id=370</t>
  </si>
  <si>
    <t>04.01.003</t>
  </si>
  <si>
    <t>Nintai</t>
  </si>
  <si>
    <t>36.509801, -4.899634</t>
  </si>
  <si>
    <t>Calle Ramón Gómez de la Serna 18</t>
  </si>
  <si>
    <t>https://turismo.marbella.es/index.php?option=com_content&amp;view=article&amp;id=4146</t>
  </si>
  <si>
    <t>04.01.004</t>
  </si>
  <si>
    <t>Skina</t>
  </si>
  <si>
    <t>36.511786, -4.901089</t>
  </si>
  <si>
    <t>Cánovas del Castillo 9</t>
  </si>
  <si>
    <t>https://turismo.marbella.es/index.php?option=com_content&amp;view=article&amp;id=371</t>
  </si>
  <si>
    <t>04.02</t>
  </si>
  <si>
    <t>Soles Repsol</t>
  </si>
  <si>
    <t>Restaurantes con Sol Repsol (edición 2026).</t>
  </si>
  <si>
    <t>Guía Repsol 2026; turismo.marbella.es</t>
  </si>
  <si>
    <t>https://turismo.marbella.es/vive/gastronomia/soles-repsol.html</t>
  </si>
  <si>
    <t>04.02.001</t>
  </si>
  <si>
    <t>Areia</t>
  </si>
  <si>
    <t>36.509643, -4.898724</t>
  </si>
  <si>
    <t>Calle Ramón Gómez de la Serna 23</t>
  </si>
  <si>
    <t>turismo.marbella.es; Guía Repsol 2026 (listado publicado por Bonviveur)</t>
  </si>
  <si>
    <t>https://turismo.marbella.es/index.php?option=com_content&amp;view=article&amp;id=6048</t>
  </si>
  <si>
    <t>04.02.002</t>
  </si>
  <si>
    <t>Guía Repsol 2026 (listado publicado por Bonviveur)</t>
  </si>
  <si>
    <t>04.02.003</t>
  </si>
  <si>
    <t>El Lago</t>
  </si>
  <si>
    <t>36.506090, -4.779480</t>
  </si>
  <si>
    <t>Avenida de las Cumbres (Greenlife Golf, Elviria)</t>
  </si>
  <si>
    <t>https://turismo.marbella.es/index.php?option=com_content&amp;view=article&amp;id=7012</t>
  </si>
  <si>
    <t>04.02.004</t>
  </si>
  <si>
    <t>Kava</t>
  </si>
  <si>
    <t>36.508120, -4.887480</t>
  </si>
  <si>
    <t>Avenida Antonio Belón</t>
  </si>
  <si>
    <t>https://turismo.marbella.es/index.php?option=com_content&amp;view=article&amp;id=7070</t>
  </si>
  <si>
    <t>04.02.005</t>
  </si>
  <si>
    <t>La Milla</t>
  </si>
  <si>
    <t>36.502800, -4.921500</t>
  </si>
  <si>
    <t>Playa de Nagüeles, Urbanización Los Verdiales</t>
  </si>
  <si>
    <t>Ubicación aproximada (playa de Nagüeles, entre Marbella Club y Puente Romano)</t>
  </si>
  <si>
    <t>https://turismo.marbella.es/index.php?option=com_content&amp;view=article&amp;id=630</t>
  </si>
  <si>
    <t>04.02.006</t>
  </si>
  <si>
    <t>Leña las Brasas x Dani Garcia</t>
  </si>
  <si>
    <t>36.503810, -4.924950</t>
  </si>
  <si>
    <t>Bulevar Príncipe Alfonso de Hohenlohe (Puente Romano)</t>
  </si>
  <si>
    <t>https://turismo.marbella.es/index.php?option=com_content&amp;view=article&amp;id=6051</t>
  </si>
  <si>
    <t>04.02.007</t>
  </si>
  <si>
    <t>Lobito de Mar</t>
  </si>
  <si>
    <t>36.505200, -4.922800</t>
  </si>
  <si>
    <t>Bulevar Príncipe Alfonso de Hohenlohe 178</t>
  </si>
  <si>
    <t>Ubicación aproximada: verificar</t>
  </si>
  <si>
    <t>04.02.008</t>
  </si>
  <si>
    <t>36.507781, -4.917043</t>
  </si>
  <si>
    <t>Soles Repsol Bulevar Príncipe Alfonso de Hohenlohe, 178 - 29602 Marbella</t>
  </si>
  <si>
    <t>https://turismo.marbella.es/index.php?option=com_content&amp;view=article&amp;id=6014</t>
  </si>
  <si>
    <t>04.02.009</t>
  </si>
  <si>
    <t>04.02.010</t>
  </si>
  <si>
    <t>Ta-Kumi</t>
  </si>
  <si>
    <t>36.509080, -4.896630</t>
  </si>
  <si>
    <t>Calle Gregorio Marañón 4</t>
  </si>
  <si>
    <t>https://turismo.marbella.es/index.php?option=com_content&amp;view=article&amp;id=6047</t>
  </si>
  <si>
    <t>04.03</t>
  </si>
  <si>
    <t>Saboreando Marbella</t>
  </si>
  <si>
    <t>Propuesta gastronómica «Saboreando Marbella»: producto, bodegas y lugares donde probarlo.</t>
  </si>
  <si>
    <t>https://turismo.marbella.es/vive/gastronomia/saboreando.html</t>
  </si>
  <si>
    <t>04.03.001</t>
  </si>
  <si>
    <t>Bakoa</t>
  </si>
  <si>
    <t>36.510116, -4.884271</t>
  </si>
  <si>
    <t>Pl. de la Iglesia, 5, 29601 Marbella.</t>
  </si>
  <si>
    <t>https://turismo.marbella.es/index.php?option=com_content&amp;view=article&amp;id=8048</t>
  </si>
  <si>
    <t>04.03.002</t>
  </si>
  <si>
    <t>Casa Pablo</t>
  </si>
  <si>
    <t>36.509900, -4.893559</t>
  </si>
  <si>
    <t>C/ Ramón Gómez de la Serna, 2, 29602 Marbella</t>
  </si>
  <si>
    <t>https://turismo.marbella.es/index.php?option=com_content&amp;view=article&amp;id=372</t>
  </si>
  <si>
    <t>04.03.003</t>
  </si>
  <si>
    <t>Ktando Alnoda</t>
  </si>
  <si>
    <t>36.511285, -4.886600</t>
  </si>
  <si>
    <t>C/ Francisco de Quevedo Mercado Central. Puesto 80 29601 Marbella</t>
  </si>
  <si>
    <t>https://turismo.marbella.es/index.php?option=com_content&amp;view=article&amp;id=6827</t>
  </si>
  <si>
    <t>04.03.004</t>
  </si>
  <si>
    <t>La Bodega de La Fonda</t>
  </si>
  <si>
    <t>36.512555, -4.885064</t>
  </si>
  <si>
    <t>Pl. Santo Cristo, 6, 29601 Marbella,.</t>
  </si>
  <si>
    <t>https://turismo.marbella.es/index.php?option=com_content&amp;view=article&amp;id=8375</t>
  </si>
  <si>
    <t>04.03.005</t>
  </si>
  <si>
    <t>La Fonda Heritage Restaurante</t>
  </si>
  <si>
    <t>36.512336, -4.885231</t>
  </si>
  <si>
    <t>Plaza Santo Cristo 9 &amp; 10, Marbella 29601</t>
  </si>
  <si>
    <t>https://turismo.marbella.es/index.php?option=com_content&amp;view=article&amp;id=7151</t>
  </si>
  <si>
    <t>04.03.006</t>
  </si>
  <si>
    <t>Maruja Limoon Marbella</t>
  </si>
  <si>
    <t>36.510092, -4.884370</t>
  </si>
  <si>
    <t>Pl. de la Iglesia, 2, 29601 Marbella.</t>
  </si>
  <si>
    <t>https://turismo.marbella.es/index.php?option=com_content&amp;view=article&amp;id=7668</t>
  </si>
  <si>
    <t>04.03.007</t>
  </si>
  <si>
    <t>Mediodía, Champagne &amp; Ostras</t>
  </si>
  <si>
    <t>36.511320, -4.886911</t>
  </si>
  <si>
    <t>Mercado Central Avenida Mercado. Puestos 67-68, 29601 Marbella.</t>
  </si>
  <si>
    <t>https://turismo.marbella.es/index.php?option=com_content&amp;view=article&amp;id=8377</t>
  </si>
  <si>
    <t>04.03.008</t>
  </si>
  <si>
    <t>Nene Málaga</t>
  </si>
  <si>
    <t>36.511313, -4.886921</t>
  </si>
  <si>
    <t>C. Francisco de Quevedo, 29601 Marbella.</t>
  </si>
  <si>
    <t>https://turismo.marbella.es/index.php?option=com_content&amp;view=article&amp;id=8376</t>
  </si>
  <si>
    <t>04.03.009</t>
  </si>
  <si>
    <t>Perita Marbella</t>
  </si>
  <si>
    <t>36.510753, -4.886237</t>
  </si>
  <si>
    <t>Calle Peral, 16, 29601 Marbella</t>
  </si>
  <si>
    <t>https://turismo.marbella.es/index.php?option=com_content&amp;view=article&amp;id=8378</t>
  </si>
  <si>
    <t>04.03.010</t>
  </si>
  <si>
    <t>Vinacoteca Castillejos</t>
  </si>
  <si>
    <t>36.510685, -4.886570</t>
  </si>
  <si>
    <t>C/ Castillejos, 4 - 29601 Marbella</t>
  </si>
  <si>
    <t>https://turismo.marbella.es/index.php?option=com_content&amp;view=article&amp;id=382</t>
  </si>
  <si>
    <t>04.03.011</t>
  </si>
  <si>
    <t>Π-Coteos del Sur</t>
  </si>
  <si>
    <t>36.510427, -4.885722</t>
  </si>
  <si>
    <t>Calle Buitrago, 1 - 29601 Marbella.</t>
  </si>
  <si>
    <t>https://turismo.marbella.es/index.php?option=com_content&amp;view=article&amp;id=8379</t>
  </si>
  <si>
    <t>04.04</t>
  </si>
  <si>
    <t>Restaurantes destacados</t>
  </si>
  <si>
    <t>Restaurantes destacados.</t>
  </si>
  <si>
    <t>https://turismo.marbella.es/vive/gastronomia/restaurantes-destacados.html</t>
  </si>
  <si>
    <t>04.04.001</t>
  </si>
  <si>
    <t>11:11 Société  Mexican &amp; Mid East</t>
  </si>
  <si>
    <t>36.509656, -4.899588</t>
  </si>
  <si>
    <t>C. Estébanez Calderón, 19, 29602 Marbella.</t>
  </si>
  <si>
    <t>https://turismo.marbella.es/index.php?option=com_content&amp;view=article&amp;id=7674</t>
  </si>
  <si>
    <t>04.04.002</t>
  </si>
  <si>
    <t>Alquimia by  Les Roches</t>
  </si>
  <si>
    <t>36.511392, -4.956498</t>
  </si>
  <si>
    <t>Urbanización los Pinos del Ángel, 5F, 29660 Marbella</t>
  </si>
  <si>
    <t>https://turismo.marbella.es/index.php?option=com_content&amp;view=article&amp;id=7170</t>
  </si>
  <si>
    <t>04.04.003</t>
  </si>
  <si>
    <t>Angus Marbella-SteakHouse</t>
  </si>
  <si>
    <t>36.507193, -4.888417</t>
  </si>
  <si>
    <t>Av. Duque de Ahumada, 9, 29602 Marbella</t>
  </si>
  <si>
    <t>https://turismo.marbella.es/index.php?option=com_content&amp;view=article&amp;id=7046</t>
  </si>
  <si>
    <t>04.04.004</t>
  </si>
  <si>
    <t>36.509479, -4.897875</t>
  </si>
  <si>
    <t>Soles Repsol Ramón Gómez de la Serna, 23. 29600 Marbella</t>
  </si>
  <si>
    <t>04.04.005</t>
  </si>
  <si>
    <t>Arrozante La Casa del Arroz</t>
  </si>
  <si>
    <t>36.489137, -4.955373</t>
  </si>
  <si>
    <t>Hotel Occidental Puerto Banús. Avda. Rotary Internacional s/n, 29660 Marbella</t>
  </si>
  <si>
    <t>https://turismo.marbella.es/index.php?option=com_content&amp;view=article&amp;id=6034</t>
  </si>
  <si>
    <t>04.04.006</t>
  </si>
  <si>
    <t>04.04.007</t>
  </si>
  <si>
    <t>Boho Club</t>
  </si>
  <si>
    <t>36.498181, -4.943569</t>
  </si>
  <si>
    <t>Urb. Lomas de Río Verde 29 - 29602 Marbella</t>
  </si>
  <si>
    <t>https://turismo.marbella.es/index.php?option=com_content&amp;view=article&amp;id=6098</t>
  </si>
  <si>
    <t>04.04.008</t>
  </si>
  <si>
    <t>Breathe</t>
  </si>
  <si>
    <t>36.490349, -4.958069</t>
  </si>
  <si>
    <t>Calle Los Lirios s/n, 29660 Marbella.</t>
  </si>
  <si>
    <t>https://turismo.marbella.es/index.php?option=com_content&amp;view=article&amp;id=6058</t>
  </si>
  <si>
    <t>04.04.009</t>
  </si>
  <si>
    <t>Bungalow</t>
  </si>
  <si>
    <t>36.507527, -4.894211</t>
  </si>
  <si>
    <t>Paseo Marítimo, 1 29602 Marbella</t>
  </si>
  <si>
    <t>https://turismo.marbella.es/index.php?option=com_content&amp;view=article&amp;id=6037</t>
  </si>
  <si>
    <t>04.04.010</t>
  </si>
  <si>
    <t>Bungalow 21</t>
  </si>
  <si>
    <t>36.500351, -4.944061</t>
  </si>
  <si>
    <t>Lomas de Río Verde 144, 29602 Marbella.</t>
  </si>
  <si>
    <t>https://turismo.marbella.es/index.php?option=com_content&amp;view=article&amp;id=8325</t>
  </si>
  <si>
    <t>04.04.011</t>
  </si>
  <si>
    <t>Candeal</t>
  </si>
  <si>
    <t>36.509732, -4.882109</t>
  </si>
  <si>
    <t>Pl. Blas Infante, 1, Bajo, 29601 Marbella</t>
  </si>
  <si>
    <t>https://turismo.marbella.es/index.php?option=com_content&amp;view=article&amp;id=8181</t>
  </si>
  <si>
    <t>04.04.012</t>
  </si>
  <si>
    <t>Casa Curro Group</t>
  </si>
  <si>
    <t>36.509664, -4.885396</t>
  </si>
  <si>
    <t>C/ Pantaleón, 5, 29601 Marbella</t>
  </si>
  <si>
    <t>https://turismo.marbella.es/index.php?option=com_content&amp;view=article&amp;id=8182</t>
  </si>
  <si>
    <t>04.04.013</t>
  </si>
  <si>
    <t>Casa de la Era Marbella</t>
  </si>
  <si>
    <t>36.525731, -4.882524</t>
  </si>
  <si>
    <t>Carretera a Ojén, Km 1 (Frente a la Cañada)</t>
  </si>
  <si>
    <t>https://turismo.marbella.es/index.php?option=com_content&amp;view=article&amp;id=7614</t>
  </si>
  <si>
    <t>04.04.014</t>
  </si>
  <si>
    <t>Casa Eladio</t>
  </si>
  <si>
    <t>36.511179, -4.884725</t>
  </si>
  <si>
    <t>C/ Virgen de los Dolores, 6 29601 Marbella</t>
  </si>
  <si>
    <t>https://turismo.marbella.es/index.php?option=com_content&amp;view=article&amp;id=6041</t>
  </si>
  <si>
    <t>04.04.015</t>
  </si>
  <si>
    <t>Casanis Bistrot</t>
  </si>
  <si>
    <t>36.511494, -4.885249</t>
  </si>
  <si>
    <t>Calle Ancha 8</t>
  </si>
  <si>
    <t>https://turismo.marbella.es/index.php?option=com_content&amp;view=article&amp;id=6033</t>
  </si>
  <si>
    <t>04.04.016</t>
  </si>
  <si>
    <t>Celicioso</t>
  </si>
  <si>
    <t>36.504245, -4.925149</t>
  </si>
  <si>
    <t>Hotel Puente Romano Bulevar Príncipe Alfonso de Hohenlohe, s/n 29602 Marbella</t>
  </si>
  <si>
    <t>https://turismo.marbella.es/index.php?option=com_content&amp;view=article&amp;id=7664</t>
  </si>
  <si>
    <t>04.04.017</t>
  </si>
  <si>
    <t>Cipriani</t>
  </si>
  <si>
    <t>36.503509, -4.924799</t>
  </si>
  <si>
    <t>Bulevar del Príncipe Alfonso de Hohenlohe</t>
  </si>
  <si>
    <t>https://turismo.marbella.es/index.php?option=com_content&amp;view=article&amp;id=7020</t>
  </si>
  <si>
    <t>04.04.018</t>
  </si>
  <si>
    <t>COYA</t>
  </si>
  <si>
    <t>36.503814, -4.925669</t>
  </si>
  <si>
    <t>Av. Bulevar Príncipe Alfonso de Hohenlohe</t>
  </si>
  <si>
    <t>https://turismo.marbella.es/index.php?option=com_content&amp;view=article&amp;id=6036</t>
  </si>
  <si>
    <t>04.04.019</t>
  </si>
  <si>
    <t>Da Bruno A Cabopino</t>
  </si>
  <si>
    <t>36.488918, -4.742699</t>
  </si>
  <si>
    <t>A-7, km 194,7 - 29604 Marbella</t>
  </si>
  <si>
    <t>https://turismo.marbella.es/index.php?option=com_content&amp;view=article&amp;id=6096</t>
  </si>
  <si>
    <t>04.04.020</t>
  </si>
  <si>
    <t>Da Bruno Sul Mare</t>
  </si>
  <si>
    <t>36.507153, -4.892936</t>
  </si>
  <si>
    <t>Calle Alcalde Francisco Romero</t>
  </si>
  <si>
    <t>https://turismo.marbella.es/index.php?option=com_content&amp;view=article&amp;id=6095</t>
  </si>
  <si>
    <t>04.04.021</t>
  </si>
  <si>
    <t>DaRe Gastrobar</t>
  </si>
  <si>
    <t>36.499391, -4.815157</t>
  </si>
  <si>
    <t>C/ Virgen del Pilar, 6 . 29602 Marbella</t>
  </si>
  <si>
    <t>https://turismo.marbella.es/index.php?option=com_content&amp;view=article&amp;id=6046</t>
  </si>
  <si>
    <t>04.04.022</t>
  </si>
  <si>
    <t>Dorsia Marbella</t>
  </si>
  <si>
    <t>36.500255, -4.960149</t>
  </si>
  <si>
    <t>Av. del Prado, 3, 29660 Marbella</t>
  </si>
  <si>
    <t>https://turismo.marbella.es/index.php?option=com_content&amp;view=article&amp;id=6045</t>
  </si>
  <si>
    <t>04.04.023</t>
  </si>
  <si>
    <t>https://turismo.marbella.es/index.php?option=com_content&amp;view=article&amp;id=735</t>
  </si>
  <si>
    <t>04.04.024</t>
  </si>
  <si>
    <t>El Cortijo de Ramiro</t>
  </si>
  <si>
    <t>36.465657, -5.002122</t>
  </si>
  <si>
    <t>Urb Guadalmina baja Calle 11, 29768 San Pedro de Alcántara.</t>
  </si>
  <si>
    <t>https://turismo.marbella.es/index.php?option=com_content&amp;view=article&amp;id=7972</t>
  </si>
  <si>
    <t>04.04.025</t>
  </si>
  <si>
    <t>El Gaucho de Banús - Argentinian Grill &amp; International</t>
  </si>
  <si>
    <t>36.485223, -4.954146</t>
  </si>
  <si>
    <t>Calle Muelle, C. Benabola, 9, 29660 Marbella.</t>
  </si>
  <si>
    <t>https://turismo.marbella.es/index.php?option=com_content&amp;view=article&amp;id=7637</t>
  </si>
  <si>
    <t>04.04.026</t>
  </si>
  <si>
    <t>El Grill</t>
  </si>
  <si>
    <t>36.506707, -4.918995</t>
  </si>
  <si>
    <t>Av. Bulevar Príncipe Alfonso de Hohenlohe, s/n, Hotel Marbella Club 29602 Marbella</t>
  </si>
  <si>
    <t>https://turismo.marbella.es/index.php?option=com_content&amp;view=article&amp;id=7021</t>
  </si>
  <si>
    <t>04.04.027</t>
  </si>
  <si>
    <t>El Grill de Marbella Club</t>
  </si>
  <si>
    <t>36.506885, -4.918905</t>
  </si>
  <si>
    <t>Av. Bulevar Príncipe Alfonso de Hohenlohe, s/n, 29602 Marbella</t>
  </si>
  <si>
    <t>https://turismo.marbella.es/index.php?option=com_content&amp;view=article&amp;id=7169</t>
  </si>
  <si>
    <t>04.04.028</t>
  </si>
  <si>
    <t>36.505900, -4.779300</t>
  </si>
  <si>
    <t>Soles Repsol Avd. Marco Polo s/n, 29604 Marbella</t>
  </si>
  <si>
    <t>04.04.029</t>
  </si>
  <si>
    <t>El Mirador de Cabopino Golf</t>
  </si>
  <si>
    <t>36.493974, -4.740364</t>
  </si>
  <si>
    <t>A-7, km 194 – Urb. Artola Alta, s/n - 29604 Marbella</t>
  </si>
  <si>
    <t>https://turismo.marbella.es/index.php?option=com_content&amp;view=article&amp;id=6091</t>
  </si>
  <si>
    <t>04.04.030</t>
  </si>
  <si>
    <t>El Olivar at the Garden Pool</t>
  </si>
  <si>
    <t>36.506149, -4.918783</t>
  </si>
  <si>
    <t>Bulevar Príncipe Alfonso von, Hohenlohe s/n, 29602 Marbella</t>
  </si>
  <si>
    <t>https://turismo.marbella.es/index.php?option=com_content&amp;view=article&amp;id=7617</t>
  </si>
  <si>
    <t>04.04.031</t>
  </si>
  <si>
    <t>El Patio de Marbella Club</t>
  </si>
  <si>
    <t>36.506650, -4.918846</t>
  </si>
  <si>
    <t>https://turismo.marbella.es/index.php?option=com_content&amp;view=article&amp;id=7615</t>
  </si>
  <si>
    <t>04.04.032</t>
  </si>
  <si>
    <t>El Pimpi Marbella</t>
  </si>
  <si>
    <t>36.503912, -4.925590</t>
  </si>
  <si>
    <t>Bulevar Principe Alfonso von Hohenlohe, s/n,, 29602 Marbella</t>
  </si>
  <si>
    <t>https://turismo.marbella.es/index.php?option=com_content&amp;view=article&amp;id=7102</t>
  </si>
  <si>
    <t>04.04.033</t>
  </si>
  <si>
    <t>Enea Casa de Comidas</t>
  </si>
  <si>
    <t>36.510013, -4.885900</t>
  </si>
  <si>
    <t>C/ San Lázaro, 29601 Marbella</t>
  </si>
  <si>
    <t>https://turismo.marbella.es/index.php?option=com_content&amp;view=article&amp;id=7864</t>
  </si>
  <si>
    <t>04.04.034</t>
  </si>
  <si>
    <t>Entre Limones</t>
  </si>
  <si>
    <t>36.507090, -4.887406</t>
  </si>
  <si>
    <t>Av. Duque de Ahumada, P.º Marítimo, 2, local 6, 29602 Marbella.</t>
  </si>
  <si>
    <t>https://turismo.marbella.es/index.php?option=com_content&amp;view=article&amp;id=7669</t>
  </si>
  <si>
    <t>04.04.035</t>
  </si>
  <si>
    <t>Erre &amp; Urrechu</t>
  </si>
  <si>
    <t>36.508567, -4.902887</t>
  </si>
  <si>
    <t>C. José Meliá, 29602 Marbella</t>
  </si>
  <si>
    <t>https://turismo.marbella.es/index.php?option=com_content&amp;view=article&amp;id=6040</t>
  </si>
  <si>
    <t>04.04.036</t>
  </si>
  <si>
    <t>Finca Amalur</t>
  </si>
  <si>
    <t>36.510164, -4.860309</t>
  </si>
  <si>
    <t>Camino Cristo de los Molinos, s/n 29603 Marbella</t>
  </si>
  <si>
    <t>https://turismo.marbella.es/index.php?option=com_content&amp;view=article&amp;id=7616</t>
  </si>
  <si>
    <t>04.04.037</t>
  </si>
  <si>
    <t>Florentine</t>
  </si>
  <si>
    <t>36.505789, -4.923819</t>
  </si>
  <si>
    <t>BV Príncipe Alfonso Hohenlohe 7 Edificio Forum Mall Marbella - Local: Florentine, 29602 Marbella</t>
  </si>
  <si>
    <t>https://turismo.marbella.es/index.php?option=com_content&amp;view=article&amp;id=7125</t>
  </si>
  <si>
    <t>04.04.038</t>
  </si>
  <si>
    <t>GAIA</t>
  </si>
  <si>
    <t>36.504013, -4.924947</t>
  </si>
  <si>
    <t>Av. Bulevar Príncipe Alfonso de Hohenlohe, 29602 Marbella</t>
  </si>
  <si>
    <t>https://turismo.marbella.es/index.php?option=com_content&amp;view=article&amp;id=7168</t>
  </si>
  <si>
    <t>04.04.039</t>
  </si>
  <si>
    <t>Gala Marbella</t>
  </si>
  <si>
    <t>36.486635, -4.990532</t>
  </si>
  <si>
    <t>C/ Pablo Picasso, 35, San Pedro Alcántara 29670</t>
  </si>
  <si>
    <t>https://turismo.marbella.es/index.php?option=com_content&amp;view=article&amp;id=7650</t>
  </si>
  <si>
    <t>04.04.040</t>
  </si>
  <si>
    <t>Gallo Marbella</t>
  </si>
  <si>
    <t>36.509875, -4.894528</t>
  </si>
  <si>
    <t>C. de Ramón Gómez de la Serna, 2, 29602 Marbella.</t>
  </si>
  <si>
    <t>https://turismo.marbella.es/index.php?option=com_content&amp;view=article&amp;id=8132</t>
  </si>
  <si>
    <t>04.04.041</t>
  </si>
  <si>
    <t>Garum</t>
  </si>
  <si>
    <t>36.507544, -4.894474</t>
  </si>
  <si>
    <t>Avenida de la Fontanilla</t>
  </si>
  <si>
    <t>https://turismo.marbella.es/index.php?option=com_content&amp;view=article&amp;id=5837</t>
  </si>
  <si>
    <t>04.04.042</t>
  </si>
  <si>
    <t>Gold Puerto Banús</t>
  </si>
  <si>
    <t>36.485131, -4.955393</t>
  </si>
  <si>
    <t>Espectáculo C. Benabola, Nueva Andalucía, 29660 Marbella</t>
  </si>
  <si>
    <t>https://turismo.marbella.es/index.php?option=com_content&amp;view=article&amp;id=7098</t>
  </si>
  <si>
    <t>04.04.043</t>
  </si>
  <si>
    <t>Güey Marbella</t>
  </si>
  <si>
    <t>36.488987, -4.964474</t>
  </si>
  <si>
    <t>Plaza de las Orquídeas, 4 - 29660 Nueva Andalucía</t>
  </si>
  <si>
    <t>https://turismo.marbella.es/index.php?option=com_content&amp;view=article&amp;id=6090</t>
  </si>
  <si>
    <t>04.04.044</t>
  </si>
  <si>
    <t>Hard Rock Hotel Marbella</t>
  </si>
  <si>
    <t>36.489504, -4.961485</t>
  </si>
  <si>
    <t>Urb. Nueva Andalucía, s/n</t>
  </si>
  <si>
    <t>https://turismo.marbella.es/index.php?option=com_content&amp;view=article&amp;id=6190</t>
  </si>
  <si>
    <t>04.04.045</t>
  </si>
  <si>
    <t>Jacaré</t>
  </si>
  <si>
    <t>36.507988, -4.892625</t>
  </si>
  <si>
    <t>Avda. Arias Maldonado, 16 (Parque de la Constitución) 29602 Marbella</t>
  </si>
  <si>
    <t>https://turismo.marbella.es/index.php?option=com_content&amp;view=article&amp;id=7683</t>
  </si>
  <si>
    <t>04.04.046</t>
  </si>
  <si>
    <t>Jara</t>
  </si>
  <si>
    <t>36.505758, -4.824661</t>
  </si>
  <si>
    <t>Calle del Lince, Km 187, 29603 Marbella</t>
  </si>
  <si>
    <t>https://turismo.marbella.es/index.php?option=com_content&amp;view=article&amp;id=8356</t>
  </si>
  <si>
    <t>04.04.047</t>
  </si>
  <si>
    <t>Jardins Sur Mer</t>
  </si>
  <si>
    <t>36.503194, -4.924068</t>
  </si>
  <si>
    <t>Puente Romano, 29602 Marbella.</t>
  </si>
  <si>
    <t>https://turismo.marbella.es/index.php?option=com_content&amp;view=article&amp;id=7662</t>
  </si>
  <si>
    <t>04.04.048</t>
  </si>
  <si>
    <t>Karbó Asador Burger &amp; Pizza Grill</t>
  </si>
  <si>
    <t>36.507207, -4.888402</t>
  </si>
  <si>
    <t>https://turismo.marbella.es/index.php?option=com_content&amp;view=article&amp;id=6062</t>
  </si>
  <si>
    <t>04.04.049</t>
  </si>
  <si>
    <t>36.508256, -4.887376</t>
  </si>
  <si>
    <t>Soles Repsol Av. Antonio Belón, 4, 29602 Marbella</t>
  </si>
  <si>
    <t>04.04.050</t>
  </si>
  <si>
    <t>L</t>
  </si>
  <si>
    <t>36.508833, -4.877772</t>
  </si>
  <si>
    <t>Calle Paco Palma 1, La Bajadilla. 29603 Marbella</t>
  </si>
  <si>
    <t>https://turismo.marbella.es/index.php?option=com_content&amp;view=article&amp;id=8258</t>
  </si>
  <si>
    <t>04.04.051</t>
  </si>
  <si>
    <t>La Almadraba del Puerto</t>
  </si>
  <si>
    <t>36.510156, -4.886276</t>
  </si>
  <si>
    <t>Bodas, Eventos Pl. de la Victoria, S/N - 29601 Marbella</t>
  </si>
  <si>
    <t>https://turismo.marbella.es/index.php?option=com_content&amp;view=article&amp;id=7024</t>
  </si>
  <si>
    <t>04.04.052</t>
  </si>
  <si>
    <t>La Barca</t>
  </si>
  <si>
    <t>36.507151, -4.891003</t>
  </si>
  <si>
    <t>Avenida Duque de Ahumada 15</t>
  </si>
  <si>
    <t>https://turismo.marbella.es/index.php?option=com_content&amp;view=article&amp;id=6089</t>
  </si>
  <si>
    <t>04.04.053</t>
  </si>
  <si>
    <t>La Dolce Vita Trattoria</t>
  </si>
  <si>
    <t>36.489208, -4.954807</t>
  </si>
  <si>
    <t>Av. Rotary Internacional, s/n, Nueva Andalucía - 29660 Marbella</t>
  </si>
  <si>
    <t>https://turismo.marbella.es/index.php?option=com_content&amp;view=article&amp;id=7042</t>
  </si>
  <si>
    <t>04.04.054</t>
  </si>
  <si>
    <t>04.04.055</t>
  </si>
  <si>
    <t>La Navilla</t>
  </si>
  <si>
    <t>36.507495, -4.898387</t>
  </si>
  <si>
    <t>C/ Camilo José Cela. Terraza Centro Comercial Plaza del Mar - 29602 Marbella</t>
  </si>
  <si>
    <t>https://turismo.marbella.es/index.php?option=com_content&amp;view=article&amp;id=6087</t>
  </si>
  <si>
    <t>04.04.056</t>
  </si>
  <si>
    <t>La Pesquera de San Pedro</t>
  </si>
  <si>
    <t>36.472721, -4.986785</t>
  </si>
  <si>
    <t>Av. del Mediterráneo, 29670 Nueva Alcántara</t>
  </si>
  <si>
    <t>https://turismo.marbella.es/index.php?option=com_content&amp;view=article&amp;id=7048</t>
  </si>
  <si>
    <t>04.04.057</t>
  </si>
  <si>
    <t>La Petite Maison</t>
  </si>
  <si>
    <t>36.501471, -4.923810</t>
  </si>
  <si>
    <t>Boulevar Alfonso von Hohenloe s/n, 29602 Marbella.</t>
  </si>
  <si>
    <t>https://turismo.marbella.es/index.php?option=com_content&amp;view=article&amp;id=8173</t>
  </si>
  <si>
    <t>04.04.058</t>
  </si>
  <si>
    <t>La Quinta</t>
  </si>
  <si>
    <t>36.512317, -4.994635</t>
  </si>
  <si>
    <t>Urb. La Quinta Golf, s/n 29660 Marbella</t>
  </si>
  <si>
    <t>https://turismo.marbella.es/index.php?option=com_content&amp;view=article&amp;id=6086</t>
  </si>
  <si>
    <t>04.04.059</t>
  </si>
  <si>
    <t>La Sala</t>
  </si>
  <si>
    <t>36.490224, -4.956926</t>
  </si>
  <si>
    <t>Espectáculo C/ Juan Belmonte, 3 - 29660 Nueva Andalucía</t>
  </si>
  <si>
    <t>https://turismo.marbella.es/index.php?option=com_content&amp;view=article&amp;id=6084</t>
  </si>
  <si>
    <t>04.04.060</t>
  </si>
  <si>
    <t>La Tirana</t>
  </si>
  <si>
    <t>36.512645, -4.901891</t>
  </si>
  <si>
    <t>Urb. La Merced Chica Huerta Márquez, s/n - 29602 Marbella</t>
  </si>
  <si>
    <t>https://turismo.marbella.es/index.php?option=com_content&amp;view=article&amp;id=6015</t>
  </si>
  <si>
    <t>04.04.061</t>
  </si>
  <si>
    <t>Le Patio - Cascada Marbella</t>
  </si>
  <si>
    <t>36.530226, -4.885395</t>
  </si>
  <si>
    <t>Espectáculo Urb. La Montúa, 39 - 29602 Marbella</t>
  </si>
  <si>
    <t>https://turismo.marbella.es/index.php?option=com_content&amp;view=article&amp;id=5787</t>
  </si>
  <si>
    <t>04.04.062</t>
  </si>
  <si>
    <t>Les Jardins Du Liban</t>
  </si>
  <si>
    <t>36.504006, -4.926005</t>
  </si>
  <si>
    <t>Bulevar Príncipe Alfonso von Hohenlohe, 29602 Marbella.</t>
  </si>
  <si>
    <t>https://turismo.marbella.es/index.php?option=com_content&amp;view=article&amp;id=7667</t>
  </si>
  <si>
    <t>04.04.063</t>
  </si>
  <si>
    <t>36.504017, -4.925742</t>
  </si>
  <si>
    <t>Soles Repsol Hotel Puente Romano, Av. Bulevar Príncipe Alfonso de Hohenlohe, s/n, 29602 Marbella</t>
  </si>
  <si>
    <t>04.04.064</t>
  </si>
  <si>
    <t>Lima 26</t>
  </si>
  <si>
    <t>36.508594, -4.894348</t>
  </si>
  <si>
    <t>C/ Camilo José Cela, 4, 29602 Marbella.</t>
  </si>
  <si>
    <t>https://turismo.marbella.es/index.php?option=com_content&amp;view=article&amp;id=7691</t>
  </si>
  <si>
    <t>04.04.065</t>
  </si>
  <si>
    <t>04.04.066</t>
  </si>
  <si>
    <t>Los Mellizos</t>
  </si>
  <si>
    <t>36.507473, -4.896304</t>
  </si>
  <si>
    <t>Paseo Marítimo, esq. Gregorio Marañón, 8 - 29602 Marbella</t>
  </si>
  <si>
    <t>https://turismo.marbella.es/index.php?option=com_content&amp;view=article&amp;id=6013</t>
  </si>
  <si>
    <t>04.04.067</t>
  </si>
  <si>
    <t>Lounge La Habana</t>
  </si>
  <si>
    <t>36.488888, -4.950007</t>
  </si>
  <si>
    <t>Espectáculo Muelle Levante, 7, 29660 Marbella</t>
  </si>
  <si>
    <t>https://turismo.marbella.es/index.php?option=com_content&amp;view=article&amp;id=5779</t>
  </si>
  <si>
    <t>04.04.068</t>
  </si>
  <si>
    <t>LOV Olivia Valere</t>
  </si>
  <si>
    <t>36.504930, -4.940895</t>
  </si>
  <si>
    <t>Espectáculo Ctra. de Istán, km 0,8 - 29602 Marbella</t>
  </si>
  <si>
    <t>https://turismo.marbella.es/index.php?option=com_content&amp;view=article&amp;id=6079</t>
  </si>
  <si>
    <t>04.04.069</t>
  </si>
  <si>
    <t>Luini</t>
  </si>
  <si>
    <t>36.507033, -4.885306</t>
  </si>
  <si>
    <t>Avenida Duque de Ahumada</t>
  </si>
  <si>
    <t>https://turismo.marbella.es/index.php?option=com_content&amp;view=article&amp;id=7671</t>
  </si>
  <si>
    <t>04.04.070</t>
  </si>
  <si>
    <t>Magna Café</t>
  </si>
  <si>
    <t>36.505633, -4.976052</t>
  </si>
  <si>
    <t>Magna Marbella Golf Avda. Calderón de la Barca 29660 Nueva Andalucía</t>
  </si>
  <si>
    <t>https://turismo.marbella.es/index.php?option=com_content&amp;view=article&amp;id=7047</t>
  </si>
  <si>
    <t>04.04.071</t>
  </si>
  <si>
    <t>Mamzel At Finca Besaya</t>
  </si>
  <si>
    <t>36.504837, -4.946003</t>
  </si>
  <si>
    <t>Espectáculo Urb. Rio Verde Alto s/n 29600, Marbella.</t>
  </si>
  <si>
    <t>https://turismo.marbella.es/index.php?option=com_content&amp;view=article&amp;id=6039</t>
  </si>
  <si>
    <t>04.04.072</t>
  </si>
  <si>
    <t>Mar de Brasas</t>
  </si>
  <si>
    <t>36.506788, -4.884964</t>
  </si>
  <si>
    <t>Junto al Hotel El Fuerte por el Paseo Maritimo, Av. Duque de Ahumada, 3, 29602 Marbella</t>
  </si>
  <si>
    <t>https://turismo.marbella.es/index.php?option=com_content&amp;view=article&amp;id=7672</t>
  </si>
  <si>
    <t>04.04.073</t>
  </si>
  <si>
    <t>04.04.074</t>
  </si>
  <si>
    <t>Maya Garden Marbella</t>
  </si>
  <si>
    <t>36.478976, -4.973932</t>
  </si>
  <si>
    <t>C/ Pablo Picasso, 35, 29670 San Pedro Alcántara</t>
  </si>
  <si>
    <t>https://turismo.marbella.es/index.php?option=com_content&amp;view=article&amp;id=7439</t>
  </si>
  <si>
    <t>04.04.075</t>
  </si>
  <si>
    <t>Mercato Della Fontanella</t>
  </si>
  <si>
    <t>36.508990, -4.896960</t>
  </si>
  <si>
    <t>C/ Pablo Casals, 17, 29600 Marbella.</t>
  </si>
  <si>
    <t>https://turismo.marbella.es/index.php?option=com_content&amp;view=article&amp;id=7495</t>
  </si>
  <si>
    <t>04.04.076</t>
  </si>
  <si>
    <t>Mogli The Key</t>
  </si>
  <si>
    <t>36.501142, -4.960154</t>
  </si>
  <si>
    <t>Espectáculo Avda. del Prado, 37 29660 Nueva Andalucia, Marbella</t>
  </si>
  <si>
    <t>https://turismo.marbella.es/index.php?option=com_content&amp;view=article&amp;id=3778</t>
  </si>
  <si>
    <t>04.04.077</t>
  </si>
  <si>
    <t>Monkey Club Marbella</t>
  </si>
  <si>
    <t>36.503950, -4.925666</t>
  </si>
  <si>
    <t>Avda. Príncipe Alfonso de Hohenlohe Hotel Puente Romano Local 9-10 - 29602 Marbella</t>
  </si>
  <si>
    <t>https://turismo.marbella.es/index.php?option=com_content&amp;view=article&amp;id=6008</t>
  </si>
  <si>
    <t>04.04.078</t>
  </si>
  <si>
    <t>Mosh Fun Kitchen</t>
  </si>
  <si>
    <t>36.499523, -4.962807</t>
  </si>
  <si>
    <t>Av. del Prado, 3, Nueva Andalucía, 29660 Marbella.</t>
  </si>
  <si>
    <t>https://turismo.marbella.es/index.php?option=com_content&amp;view=article&amp;id=7636</t>
  </si>
  <si>
    <t>04.04.079</t>
  </si>
  <si>
    <t>Motel Particulier</t>
  </si>
  <si>
    <t>36.508770, -4.910957</t>
  </si>
  <si>
    <t>Urb. Marbellamar, 3, 29602 Marbella</t>
  </si>
  <si>
    <t>https://turismo.marbella.es/index.php?option=com_content&amp;view=article&amp;id=7856</t>
  </si>
  <si>
    <t>04.04.080</t>
  </si>
  <si>
    <t>Nobu</t>
  </si>
  <si>
    <t>36.504065, -4.925054</t>
  </si>
  <si>
    <t>Avda. Príncipe Alfonso de Hohenlohe s/n - 29602 Marbella</t>
  </si>
  <si>
    <t>https://turismo.marbella.es/index.php?option=com_content&amp;view=article&amp;id=6074</t>
  </si>
  <si>
    <t>04.04.081</t>
  </si>
  <si>
    <t>NOMAD</t>
  </si>
  <si>
    <t>36.503968, -4.959518</t>
  </si>
  <si>
    <t>Espectáculo Avenida del Prado, 10 29660 Marbella.</t>
  </si>
  <si>
    <t>https://turismo.marbella.es/index.php?option=com_content&amp;view=article&amp;id=6035</t>
  </si>
  <si>
    <t>04.04.082</t>
  </si>
  <si>
    <t>Nota Blu New Brasserie</t>
  </si>
  <si>
    <t>36.510477, -4.928719</t>
  </si>
  <si>
    <t>Calle de la Cruz</t>
  </si>
  <si>
    <t>https://turismo.marbella.es/index.php?option=com_content&amp;view=article&amp;id=6044</t>
  </si>
  <si>
    <t>04.04.083</t>
  </si>
  <si>
    <t>Noyane by chef Richard Sandoval</t>
  </si>
  <si>
    <t>36.489316, -4.960481</t>
  </si>
  <si>
    <t>C/ Las Malvas, 50 - Hard Rock Hotel - Nueva Andalucía 29660 Marbella</t>
  </si>
  <si>
    <t>https://turismo.marbella.es/index.php?option=com_content&amp;view=article&amp;id=7785</t>
  </si>
  <si>
    <t>04.04.084</t>
  </si>
  <si>
    <t>Origen Asador Argentino</t>
  </si>
  <si>
    <t>36.508570, -4.896302</t>
  </si>
  <si>
    <t>C/ Gregorio Marañón s/n, esquina Camilo José Cela - 29601 Marbella</t>
  </si>
  <si>
    <t>https://turismo.marbella.es/index.php?option=com_content&amp;view=article&amp;id=7690</t>
  </si>
  <si>
    <t>04.04.085</t>
  </si>
  <si>
    <t>Palmyra</t>
  </si>
  <si>
    <t>36.509080, -4.900660</t>
  </si>
  <si>
    <t>Aparthotel Monarque Sultán C/ Arturo Rubinstein, 4 - 29602 Marbella</t>
  </si>
  <si>
    <t>https://turismo.marbella.es/index.php?option=com_content&amp;view=article&amp;id=6080</t>
  </si>
  <si>
    <t>04.04.086</t>
  </si>
  <si>
    <t>PICA PICA Pizzería</t>
  </si>
  <si>
    <t>36.503496, -4.925123</t>
  </si>
  <si>
    <t>https://turismo.marbella.es/index.php?option=com_content&amp;view=article&amp;id=7663</t>
  </si>
  <si>
    <t>04.04.087</t>
  </si>
  <si>
    <t>Posidonia Banús</t>
  </si>
  <si>
    <t>36.495528, -4.952238</t>
  </si>
  <si>
    <t>CN-340, Km 175 Edif. Rimesa, local 2 - 29660 Nueva Andalucía</t>
  </si>
  <si>
    <t>https://turismo.marbella.es/index.php?option=com_content&amp;view=article&amp;id=6001</t>
  </si>
  <si>
    <t>04.04.088</t>
  </si>
  <si>
    <t>Purosushi</t>
  </si>
  <si>
    <t>36.504509, -4.924155</t>
  </si>
  <si>
    <t>Puente Romano, Fase 2, 29602 Marbella.</t>
  </si>
  <si>
    <t>https://turismo.marbella.es/index.php?option=com_content&amp;view=article&amp;id=7666</t>
  </si>
  <si>
    <t>04.04.089</t>
  </si>
  <si>
    <t>Rachel’s Eco Love</t>
  </si>
  <si>
    <t>36.502466, -4.923599</t>
  </si>
  <si>
    <t>Puente Romano Beach Resort &amp; Spa, 29602 Marbella.</t>
  </si>
  <si>
    <t>https://turismo.marbella.es/index.php?option=com_content&amp;view=article&amp;id=7661</t>
  </si>
  <si>
    <t>04.04.090</t>
  </si>
  <si>
    <t>Roostiq Marbella</t>
  </si>
  <si>
    <t>36.499885, -4.940347</t>
  </si>
  <si>
    <t>Urbanización Villa Parra Palomeras, 61, 29602 Marbella</t>
  </si>
  <si>
    <t>https://turismo.marbella.es/index.php?option=com_content&amp;view=article&amp;id=7676</t>
  </si>
  <si>
    <t>04.04.091</t>
  </si>
  <si>
    <t>Espectáculo Conjunto Benabolá, 7 29660 Puerto Banús</t>
  </si>
  <si>
    <t>https://turismo.marbella.es/index.php?option=com_content&amp;view=article&amp;id=5778</t>
  </si>
  <si>
    <t>04.04.092</t>
  </si>
  <si>
    <t>Sea Grill Puente Romano</t>
  </si>
  <si>
    <t>36.501399, -4.923852</t>
  </si>
  <si>
    <t>Bulevar Principe Alfonso von Hohenlohe, s/n, 29602 Marbella</t>
  </si>
  <si>
    <t>https://turismo.marbella.es/index.php?option=com_content&amp;view=article&amp;id=7051</t>
  </si>
  <si>
    <t>04.04.093</t>
  </si>
  <si>
    <t>Solana</t>
  </si>
  <si>
    <t>36.495064, -4.947077</t>
  </si>
  <si>
    <t>Avenida Mario, C/ Vargas Llosa, Nueva Andalucía, 29660 Marbella.</t>
  </si>
  <si>
    <t>https://turismo.marbella.es/index.php?option=com_content&amp;view=article&amp;id=7883</t>
  </si>
  <si>
    <t>04.04.094</t>
  </si>
  <si>
    <t>Solera. Boho Club</t>
  </si>
  <si>
    <t>36.498728, -4.943007</t>
  </si>
  <si>
    <t>Espectáculo Urb. Lomas de Río Verde, 144, 29602 Marbella.</t>
  </si>
  <si>
    <t>https://turismo.marbella.es/index.php?option=com_content&amp;view=article&amp;id=6232</t>
  </si>
  <si>
    <t>04.04.095</t>
  </si>
  <si>
    <t>Soul</t>
  </si>
  <si>
    <t>36.480179, -4.984624</t>
  </si>
  <si>
    <t>Nac Nueva Alcántara Club - Avda. De Barcelona, 8 29670 San Pedro Alcántara – Marbella</t>
  </si>
  <si>
    <t>https://turismo.marbella.es/index.php?option=com_content&amp;view=article&amp;id=7814</t>
  </si>
  <si>
    <t>04.04.096</t>
  </si>
  <si>
    <t>36.509193, -4.896617</t>
  </si>
  <si>
    <t>Soles Repsol Gregorio Marañón, 4 29602 Marbella</t>
  </si>
  <si>
    <t>04.04.097</t>
  </si>
  <si>
    <t>Ta-Kumi I Restaurante Japonés</t>
  </si>
  <si>
    <t>36.509145, -4.896601</t>
  </si>
  <si>
    <t>C. Gregorio Marañón, 4, 29602 Marbella.</t>
  </si>
  <si>
    <t>https://turismo.marbella.es/index.php?option=com_content&amp;view=article&amp;id=7675</t>
  </si>
  <si>
    <t>04.04.098</t>
  </si>
  <si>
    <t>Tahini Marbella Sushi Bar &amp; Restaurant</t>
  </si>
  <si>
    <t>36.506763, -4.903256</t>
  </si>
  <si>
    <t>C. José Meliá, S/N, 29602 Marbella.</t>
  </si>
  <si>
    <t>https://turismo.marbella.es/index.php?option=com_content&amp;view=article&amp;id=7673</t>
  </si>
  <si>
    <t>04.04.099</t>
  </si>
  <si>
    <t>Tai Pan</t>
  </si>
  <si>
    <t>36.504427, -4.924354</t>
  </si>
  <si>
    <t>https://turismo.marbella.es/index.php?option=com_content&amp;view=article&amp;id=7665</t>
  </si>
  <si>
    <t>04.04.100</t>
  </si>
  <si>
    <t>Tango Argentinian Grill</t>
  </si>
  <si>
    <t>36.488533, -4.952091</t>
  </si>
  <si>
    <t>Espectáculo Av. Julio Iglesias s/n 29660 Puerto Banús</t>
  </si>
  <si>
    <t>https://turismo.marbella.es/index.php?option=com_content&amp;view=article&amp;id=5785</t>
  </si>
  <si>
    <t>04.04.101</t>
  </si>
  <si>
    <t>Tatel Marbella</t>
  </si>
  <si>
    <t>36.507528, -4.914952</t>
  </si>
  <si>
    <t>N-340, Km 178.5, 29602 Marbella</t>
  </si>
  <si>
    <t>https://turismo.marbella.es/index.php?option=com_content&amp;view=article&amp;id=7705</t>
  </si>
  <si>
    <t>04.04.102</t>
  </si>
  <si>
    <t>Thai Gallery</t>
  </si>
  <si>
    <t>Puente Romano Fase II locales 83 y 84 - 29602 Marbella</t>
  </si>
  <si>
    <t>https://turismo.marbella.es/index.php?option=com_content&amp;view=article&amp;id=7863</t>
  </si>
  <si>
    <t>04.04.103</t>
  </si>
  <si>
    <t>The Clubhouse</t>
  </si>
  <si>
    <t>36.490256, -4.956452</t>
  </si>
  <si>
    <t>C. Juan Belmonte s/n, Nueva Andalucía - Marbella 29670</t>
  </si>
  <si>
    <t>https://turismo.marbella.es/index.php?option=com_content&amp;view=article&amp;id=7380</t>
  </si>
  <si>
    <t>04.04.104</t>
  </si>
  <si>
    <t>The Farm</t>
  </si>
  <si>
    <t>36.509685, -4.883095</t>
  </si>
  <si>
    <t>Plaza Altamirano 3</t>
  </si>
  <si>
    <t>https://turismo.marbella.es/index.php?option=com_content&amp;view=article&amp;id=5786</t>
  </si>
  <si>
    <t>04.04.105</t>
  </si>
  <si>
    <t>The Harbour</t>
  </si>
  <si>
    <t>36.506701, -4.887879</t>
  </si>
  <si>
    <t>Edif. Club Marítimo Marbella, 1ª planta Puerto Deportivo Virgen del Carmen - 29602 Marbella</t>
  </si>
  <si>
    <t>https://turismo.marbella.es/index.php?option=com_content&amp;view=article&amp;id=6066</t>
  </si>
  <si>
    <t>04.04.106</t>
  </si>
  <si>
    <t>Thera</t>
  </si>
  <si>
    <t>36.500447, -4.935685</t>
  </si>
  <si>
    <t>Urb. Oasis Club, 29602 Marbella</t>
  </si>
  <si>
    <t>https://turismo.marbella.es/index.php?option=com_content&amp;view=article&amp;id=7022</t>
  </si>
  <si>
    <t>04.04.107</t>
  </si>
  <si>
    <t>Torre de Belém - Sabor de Portugal</t>
  </si>
  <si>
    <t>36.492010, -4.958213</t>
  </si>
  <si>
    <t>Espectáculo Edificio Plaza de Toros de Nueva Andalucía, Av. Pilar Calvo, s/n, Local n° 27, 29660 Marbella.</t>
  </si>
  <si>
    <t>https://turismo.marbella.es/index.php?option=com_content&amp;view=article&amp;id=5782</t>
  </si>
  <si>
    <t>04.04.108</t>
  </si>
  <si>
    <t>Tragabuches</t>
  </si>
  <si>
    <t>36.485971, -4.973208</t>
  </si>
  <si>
    <t>C/ Ana de Austria 2 29670 Marbella</t>
  </si>
  <si>
    <t>https://turismo.marbella.es/index.php?option=com_content&amp;view=article&amp;id=6042</t>
  </si>
  <si>
    <t>04.04.109</t>
  </si>
  <si>
    <t>A-7 - Salida Torre Real Playa de Río Real 29603 Marbella</t>
  </si>
  <si>
    <t>https://turismo.marbella.es/index.php?option=com_content&amp;view=article&amp;id=6065</t>
  </si>
  <si>
    <t>04.04.110</t>
  </si>
  <si>
    <t>Trocadero Playa</t>
  </si>
  <si>
    <t>Playa de Santa Petronila, 29602 Marbella</t>
  </si>
  <si>
    <t>https://turismo.marbella.es/index.php?option=com_content&amp;view=article&amp;id=6064</t>
  </si>
  <si>
    <t>04.04.111</t>
  </si>
  <si>
    <t>Usategui</t>
  </si>
  <si>
    <t>36.519912, -4.896955</t>
  </si>
  <si>
    <t>Edificio el Palomar, Calle Algarrobo, s/n, 29600 Marbella</t>
  </si>
  <si>
    <t>https://turismo.marbella.es/index.php?option=com_content&amp;view=article&amp;id=6063</t>
  </si>
  <si>
    <t>04.04.112</t>
  </si>
  <si>
    <t>Vovem</t>
  </si>
  <si>
    <t>36.493216, -4.965254</t>
  </si>
  <si>
    <t>C/ Yedras, s/n Nueva Andalucía, 29660 Marbella</t>
  </si>
  <si>
    <t>https://turismo.marbella.es/index.php?option=com_content&amp;view=article&amp;id=6053</t>
  </si>
  <si>
    <t>04.05</t>
  </si>
  <si>
    <t>Chiringuitos</t>
  </si>
  <si>
    <t>Chiringuitos y restaurantes de playa.</t>
  </si>
  <si>
    <t>https://turismo.marbella.es/vive/gastronomia/chiringuitos.html</t>
  </si>
  <si>
    <t>04.05.001</t>
  </si>
  <si>
    <t>Alabardero Beach Club</t>
  </si>
  <si>
    <t>36.478486, -4.976985</t>
  </si>
  <si>
    <t>Bodas, Eventos Urb. Castiglione, s/n 29670 San Pedro Alcántara</t>
  </si>
  <si>
    <t>https://turismo.marbella.es/index.php?option=com_content&amp;view=article&amp;id=199</t>
  </si>
  <si>
    <t>04.05.002</t>
  </si>
  <si>
    <t>Alegria</t>
  </si>
  <si>
    <t>36.506524, -4.887640</t>
  </si>
  <si>
    <t>04.05.003</t>
  </si>
  <si>
    <t>Amaï</t>
  </si>
  <si>
    <t>36.485232, -4.959232</t>
  </si>
  <si>
    <t>https://www.oceanclub.es/the-restaurant/</t>
  </si>
  <si>
    <t>04.05.004</t>
  </si>
  <si>
    <t>Andy´s Beach</t>
  </si>
  <si>
    <t>36.484746, -4.742072</t>
  </si>
  <si>
    <t>Playa de Artola</t>
  </si>
  <si>
    <t>https://turismo.marbella.es/index.php?option=com_content&amp;view=article&amp;id=201</t>
  </si>
  <si>
    <t>04.05.005</t>
  </si>
  <si>
    <t>Aquí te quiero ver</t>
  </si>
  <si>
    <t>36.495708, -4.798859</t>
  </si>
  <si>
    <t>Bodas, Eventos A-7, salida en el Km 189.6 Playa de Real Zaragoza C/ Atenea s/n, 29604 Marbella</t>
  </si>
  <si>
    <t>https://turismo.marbella.es/index.php?option=com_content&amp;view=article&amp;id=203</t>
  </si>
  <si>
    <t>04.05.006</t>
  </si>
  <si>
    <t>Arenal Beach</t>
  </si>
  <si>
    <t>36.498624, -4.811861</t>
  </si>
  <si>
    <t>Av. Cervantes, s/n, 29604 Marbella, Málaga</t>
  </si>
  <si>
    <t>https://turismo.marbella.es/index.php?option=com_content&amp;view=article&amp;id=2518</t>
  </si>
  <si>
    <t>04.05.007</t>
  </si>
  <si>
    <t>Astral Coctelería</t>
  </si>
  <si>
    <t>36.489424, -4.949963</t>
  </si>
  <si>
    <t>Muelle de Levante s/n</t>
  </si>
  <si>
    <t>https://turismo.marbella.es/index.php?option=com_content&amp;view=article&amp;id=205</t>
  </si>
  <si>
    <t>04.05.008</t>
  </si>
  <si>
    <t>Asucar Beach</t>
  </si>
  <si>
    <t>36.492740, -4.946228</t>
  </si>
  <si>
    <t>Avda. Alberto Vidiella Tudores, 33 Puerto Banús 29660 Marbella</t>
  </si>
  <si>
    <t>https://turismo.marbella.es/index.php?option=com_content&amp;view=article&amp;id=207</t>
  </si>
  <si>
    <t>04.05.009</t>
  </si>
  <si>
    <t>Aurora Beach</t>
  </si>
  <si>
    <t>36.491903, -4.947159</t>
  </si>
  <si>
    <t>Playa de Levante. CN 067 29660 Puerto Banús</t>
  </si>
  <si>
    <t>https://turismo.marbella.es/index.php?option=com_content&amp;view=article&amp;id=208</t>
  </si>
  <si>
    <t>04.05.010</t>
  </si>
  <si>
    <t>Banús Beach</t>
  </si>
  <si>
    <t>36.489216, -4.949503</t>
  </si>
  <si>
    <t>Puerto José Banús, Muelle de Levante, s/n, Marbella.</t>
  </si>
  <si>
    <t>https://turismo.marbella.es/index.php?option=com_content&amp;view=article&amp;id=6293</t>
  </si>
  <si>
    <t>04.05.011</t>
  </si>
  <si>
    <t>Basilio Beach</t>
  </si>
  <si>
    <t>36.507306, -4.895474</t>
  </si>
  <si>
    <t>Playa de la Fontanilla, Arco 4</t>
  </si>
  <si>
    <t>https://turismo.marbella.es/index.php?option=com_content&amp;view=article&amp;id=211</t>
  </si>
  <si>
    <t>04.05.012</t>
  </si>
  <si>
    <t>Besaya Beach Marbella</t>
  </si>
  <si>
    <t>36.497391, -4.940356</t>
  </si>
  <si>
    <t>Bodas, Eventos Urb. Coral Beach Km.176. Paseo Marítimo. 29602 Marbella</t>
  </si>
  <si>
    <t>https://turismo.marbella.es/index.php?option=com_content&amp;view=article&amp;id=220</t>
  </si>
  <si>
    <t>04.05.013</t>
  </si>
  <si>
    <t>Blue Palm</t>
  </si>
  <si>
    <t>36.507469, -4.895512</t>
  </si>
  <si>
    <t>https://www.bluepalm.es</t>
  </si>
  <si>
    <t>04.05.014</t>
  </si>
  <si>
    <t>Bocana Beach</t>
  </si>
  <si>
    <t>36.507061, -4.892976</t>
  </si>
  <si>
    <t>Paseo Marítimo, núm. 2 - 29600 Marbella</t>
  </si>
  <si>
    <t>https://turismo.marbella.es/index.php?option=com_content&amp;view=article&amp;id=7264</t>
  </si>
  <si>
    <t>04.05.015</t>
  </si>
  <si>
    <t>Bono Beach</t>
  </si>
  <si>
    <t>36.498393, -4.810966</t>
  </si>
  <si>
    <t>Bodas Av. Cervantes, s/n, 29604 Marbella.Playa del Alicate</t>
  </si>
  <si>
    <t>https://turismo.marbella.es/index.php?option=com_content&amp;view=article&amp;id=2494</t>
  </si>
  <si>
    <t>04.05.016</t>
  </si>
  <si>
    <t>Bora Bora Marbella</t>
  </si>
  <si>
    <t>36.472183, -4.987649</t>
  </si>
  <si>
    <t>Bodas Urb. Linda Vista Playa, Paseo Marítimo -29670 San Pedro Alcántara</t>
  </si>
  <si>
    <t>https://turismo.marbella.es/index.php?option=com_content&amp;view=article&amp;id=215</t>
  </si>
  <si>
    <t>04.05.017</t>
  </si>
  <si>
    <t>Playa de El Cable. 29603 Marbella</t>
  </si>
  <si>
    <t>https://turismo.marbella.es/index.php?option=com_content&amp;view=article&amp;id=217</t>
  </si>
  <si>
    <t>04.05.018</t>
  </si>
  <si>
    <t>Caballo de Mar</t>
  </si>
  <si>
    <t>36.484747, -4.740676</t>
  </si>
  <si>
    <t>04.05.019</t>
  </si>
  <si>
    <t>Cabaña Beach Marbella</t>
  </si>
  <si>
    <t>36.506031, -4.910267</t>
  </si>
  <si>
    <t>Playa de Casablanca C/ Goya 29602 Marbella</t>
  </si>
  <si>
    <t>https://turismo.marbella.es/index.php?option=com_content&amp;view=article&amp;id=285</t>
  </si>
  <si>
    <t>04.05.020</t>
  </si>
  <si>
    <t>Calma by Kopparberg</t>
  </si>
  <si>
    <t>36.506764, -4.883780</t>
  </si>
  <si>
    <t>Bodas, Eventos Av. Duque de Ahumada, 361 Playa La Venus, 29602 Marbella</t>
  </si>
  <si>
    <t>https://turismo.marbella.es/index.php?option=com_content&amp;view=article&amp;id=632</t>
  </si>
  <si>
    <t>04.05.021</t>
  </si>
  <si>
    <t>Camuri Las Cuchis</t>
  </si>
  <si>
    <t>36.494043, -4.944975</t>
  </si>
  <si>
    <t>Bodas, Eventos (La Playa Fantástica) Urb. Río Verde, C/ Del Río Playa de Río Verde - 29660 Marbella</t>
  </si>
  <si>
    <t>https://turismo.marbella.es/index.php?option=com_content&amp;view=article&amp;id=609</t>
  </si>
  <si>
    <t>04.05.022</t>
  </si>
  <si>
    <t>Candilejas</t>
  </si>
  <si>
    <t>36.507112, -4.891474</t>
  </si>
  <si>
    <t>04.05.023</t>
  </si>
  <si>
    <t>Cappuccino</t>
  </si>
  <si>
    <t>36.506611, -4.902579</t>
  </si>
  <si>
    <t>04.05.024</t>
  </si>
  <si>
    <t>Carisa</t>
  </si>
  <si>
    <t>36.488096, -4.767517</t>
  </si>
  <si>
    <t>C/ Berlín s/n. 29604 Las Chapas, Marbella</t>
  </si>
  <si>
    <t>https://turismo.marbella.es/index.php?option=com_content&amp;view=article&amp;id=287</t>
  </si>
  <si>
    <t>04.05.025</t>
  </si>
  <si>
    <t>Chetolle</t>
  </si>
  <si>
    <t>36.507100, -4.891505</t>
  </si>
  <si>
    <t>04.05.026</t>
  </si>
  <si>
    <t>Chiringuito Carlos &amp; Paula</t>
  </si>
  <si>
    <t>36.488064, -4.767621</t>
  </si>
  <si>
    <t>04.05.027</t>
  </si>
  <si>
    <t>Chiringuito de Martín</t>
  </si>
  <si>
    <t>36.507986, -4.869602</t>
  </si>
  <si>
    <t>04.05.028</t>
  </si>
  <si>
    <t>Chiringuito La Lonja</t>
  </si>
  <si>
    <t>36.484785, -4.741100</t>
  </si>
  <si>
    <t>04.05.029</t>
  </si>
  <si>
    <t>Chiringuito La Pesquera</t>
  </si>
  <si>
    <t>36.506119, -4.911905</t>
  </si>
  <si>
    <t>04.05.030</t>
  </si>
  <si>
    <t>Club 200</t>
  </si>
  <si>
    <t>36.487274, -4.762867</t>
  </si>
  <si>
    <t>Urb. Marbesa. Las Chapas. 29604 Marbella</t>
  </si>
  <si>
    <t>https://turismo.marbella.es/index.php?option=com_content&amp;view=article&amp;id=330</t>
  </si>
  <si>
    <t>04.05.031</t>
  </si>
  <si>
    <t>Cocoa Beach</t>
  </si>
  <si>
    <t>36.485740, -4.738556</t>
  </si>
  <si>
    <t>Urb. Cabopino, Calle de la Playa, 3008, 29604 Marbella.</t>
  </si>
  <si>
    <t>https://turismo.marbella.es/index.php?option=com_content&amp;view=article&amp;id=4330</t>
  </si>
  <si>
    <t>04.05.032</t>
  </si>
  <si>
    <t>Copacabana</t>
  </si>
  <si>
    <t>36.497803, -4.809066</t>
  </si>
  <si>
    <t>201</t>
  </si>
  <si>
    <t>https://turismo.marbella.es/index.php?option=com_content&amp;view=article&amp;id=332</t>
  </si>
  <si>
    <t>04.05.033</t>
  </si>
  <si>
    <t>Corocoro</t>
  </si>
  <si>
    <t>36.506568, -4.904845</t>
  </si>
  <si>
    <t>https://turismo.marbella.es/index.php?option=com_content&amp;view=article&amp;id=6404</t>
  </si>
  <si>
    <t>04.05.034</t>
  </si>
  <si>
    <t>Da Bruno sul Mare</t>
  </si>
  <si>
    <t>https://www.dabruno.com/en/italian-restaurant-marbella-pizza-fresh-pasta/sul-mare</t>
  </si>
  <si>
    <t>04.05.035</t>
  </si>
  <si>
    <t>Diblú</t>
  </si>
  <si>
    <t>36.506587, -4.902026</t>
  </si>
  <si>
    <t>Paseo Maritimo s/n | Playa Casablanca, 29602 Marbella</t>
  </si>
  <si>
    <t>https://turismo.marbella.es/index.php?option=com_content&amp;view=article&amp;id=6406</t>
  </si>
  <si>
    <t>04.05.036</t>
  </si>
  <si>
    <t>El Abrevadero</t>
  </si>
  <si>
    <t>36.474857, -4.983482</t>
  </si>
  <si>
    <t>Av. Del Mar Mediterráneo, 1 29670 San Pedro Alcántara, Marbella</t>
  </si>
  <si>
    <t>https://turismo.marbella.es/index.php?option=com_content&amp;view=article&amp;id=335</t>
  </si>
  <si>
    <t>04.05.037</t>
  </si>
  <si>
    <t>El Chiri</t>
  </si>
  <si>
    <t>36.496708, -4.804181</t>
  </si>
  <si>
    <t>Av. Andasol Playa del Alicate 29604 Marbella</t>
  </si>
  <si>
    <t>https://turismo.marbella.es/index.php?option=com_content&amp;view=article&amp;id=614</t>
  </si>
  <si>
    <t>04.05.038</t>
  </si>
  <si>
    <t>El Chiringuito Puente Romano</t>
  </si>
  <si>
    <t>36.501675, -4.922925</t>
  </si>
  <si>
    <t>Bulevar Principe Alfonso von Hohenlohe</t>
  </si>
  <si>
    <t>https://turismo.marbella.es/index.php?option=com_content&amp;view=article&amp;id=340</t>
  </si>
  <si>
    <t>04.05.039</t>
  </si>
  <si>
    <t>El Kiosko Kite Surf Marbella</t>
  </si>
  <si>
    <t>36.502340, -4.836404</t>
  </si>
  <si>
    <t>C. Realejo, 24, 29603 Marbella</t>
  </si>
  <si>
    <t>https://turismo.marbella.es/index.php?option=com_content&amp;view=article&amp;id=7099</t>
  </si>
  <si>
    <t>04.05.040</t>
  </si>
  <si>
    <t>El Laurel</t>
  </si>
  <si>
    <t>36.490176, -4.776175</t>
  </si>
  <si>
    <t>Urb. Elviria, A-7 Km 192. Playa La Romana. 29604 Marbella</t>
  </si>
  <si>
    <t>https://turismo.marbella.es/index.php?option=com_content&amp;view=article&amp;id=341</t>
  </si>
  <si>
    <t>04.05.041</t>
  </si>
  <si>
    <t>El Mangaleta</t>
  </si>
  <si>
    <t>36.501819, -4.833296</t>
  </si>
  <si>
    <t>Urb. Bahía de Marbella s/n Alameda de Levante Playa de Los Monteros - 29604 Marbella</t>
  </si>
  <si>
    <t>https://turismo.marbella.es/index.php?option=com_content&amp;view=article&amp;id=629</t>
  </si>
  <si>
    <t>04.05.042</t>
  </si>
  <si>
    <t>El Rinconcito</t>
  </si>
  <si>
    <t>36.497067, -4.805850</t>
  </si>
  <si>
    <t>Costabella 20B</t>
  </si>
  <si>
    <t>04.05.043</t>
  </si>
  <si>
    <t>El Sombrero</t>
  </si>
  <si>
    <t>36.507331, -4.894885</t>
  </si>
  <si>
    <t>Playa de La Fontanilla - 29602 Marbella</t>
  </si>
  <si>
    <t>https://turismo.marbella.es/index.php?option=com_content&amp;view=article&amp;id=648</t>
  </si>
  <si>
    <t>04.05.044</t>
  </si>
  <si>
    <t>Friûl</t>
  </si>
  <si>
    <t>36.507106, -4.891536</t>
  </si>
  <si>
    <t>04.05.045</t>
  </si>
  <si>
    <t>Guayaba Beach</t>
  </si>
  <si>
    <t>36.471389, -4.988388</t>
  </si>
  <si>
    <t>Playa Linda Vista , La Gitanilla s/n San Pedro Alcántara - 29660 Marbella</t>
  </si>
  <si>
    <t>https://turismo.marbella.es/index.php?option=com_content&amp;view=article&amp;id=618</t>
  </si>
  <si>
    <t>04.05.046</t>
  </si>
  <si>
    <t>Hawai Kai</t>
  </si>
  <si>
    <t>36.477953, -4.978642</t>
  </si>
  <si>
    <t>Urb. Cortijo Blanco, Paseo marítimo San Pedro. - 29670 Marbella</t>
  </si>
  <si>
    <t>https://turismo.marbella.es/index.php?option=com_content&amp;view=article&amp;id=620</t>
  </si>
  <si>
    <t>04.05.047</t>
  </si>
  <si>
    <t>Hipopotamos Beach</t>
  </si>
  <si>
    <t>36.499058, -4.816526</t>
  </si>
  <si>
    <t>Glorieta Jacinto Sánchez Mateos, Av. del Limonar, s/n, 29604 Marbella</t>
  </si>
  <si>
    <t>https://turismo.marbella.es/index.php?option=com_content&amp;view=article&amp;id=7265</t>
  </si>
  <si>
    <t>04.05.048</t>
  </si>
  <si>
    <t>Hot Dog Beach</t>
  </si>
  <si>
    <t>36.491239, -4.948078</t>
  </si>
  <si>
    <t>04.05.049</t>
  </si>
  <si>
    <t>Kala Kalua</t>
  </si>
  <si>
    <t>36.478548, -4.974466</t>
  </si>
  <si>
    <t>Playa Cortijo Blanco San Pedro Alcántara 29670 – Marbella</t>
  </si>
  <si>
    <t>https://turismo.marbella.es/index.php?option=com_content&amp;view=article&amp;id=624</t>
  </si>
  <si>
    <t>04.05.050</t>
  </si>
  <si>
    <t>Kokonga Beach</t>
  </si>
  <si>
    <t>36.506311, -4.887773</t>
  </si>
  <si>
    <t>Puerto deportivo de Marbella, Kokonga Beach, 29602 Marbella</t>
  </si>
  <si>
    <t>https://turismo.marbella.es/index.php?option=com_content&amp;view=article&amp;id=8186</t>
  </si>
  <si>
    <t>04.05.051</t>
  </si>
  <si>
    <t>Koraal</t>
  </si>
  <si>
    <t>36.486717, -4.760674</t>
  </si>
  <si>
    <t>04.05.052</t>
  </si>
  <si>
    <t>Kristin</t>
  </si>
  <si>
    <t>36.507469, -4.895580</t>
  </si>
  <si>
    <t>http://www.restaurant-kristin.eu</t>
  </si>
  <si>
    <t>04.05.053</t>
  </si>
  <si>
    <t>https://restaurantelabarca.com/</t>
  </si>
  <si>
    <t>04.05.054</t>
  </si>
  <si>
    <t>La Dolce Vita</t>
  </si>
  <si>
    <t>36.507837, -4.866019</t>
  </si>
  <si>
    <t>CN-340, km. 183 Playa El Cable - 29603 Marbella</t>
  </si>
  <si>
    <t>https://turismo.marbella.es/index.php?option=com_content&amp;view=article&amp;id=610</t>
  </si>
  <si>
    <t>04.05.055</t>
  </si>
  <si>
    <t>36.502122, -4.921467</t>
  </si>
  <si>
    <t>Bodas, Eventos, Soles Repsol Urb. Puente Romano, Playa Nagüeles. 29602 Marbella</t>
  </si>
  <si>
    <t>04.05.056</t>
  </si>
  <si>
    <t>La Ola</t>
  </si>
  <si>
    <t>36.507378, -4.895265</t>
  </si>
  <si>
    <t>Playa de la Fontanilla, Local 7 - 29602 Marbella</t>
  </si>
  <si>
    <t>https://turismo.marbella.es/index.php?option=com_content&amp;view=article&amp;id=637</t>
  </si>
  <si>
    <t>04.05.057</t>
  </si>
  <si>
    <t>La Perla Marbella</t>
  </si>
  <si>
    <t>https://turismo.marbella.es/index.php?option=com_content&amp;view=article&amp;id=2514</t>
  </si>
  <si>
    <t>04.05.058</t>
  </si>
  <si>
    <t>La Pesquera</t>
  </si>
  <si>
    <t>36.489362, -4.949032</t>
  </si>
  <si>
    <t>04.05.059</t>
  </si>
  <si>
    <t>La Pesquera de Banús</t>
  </si>
  <si>
    <t>36.489863, -4.949677</t>
  </si>
  <si>
    <t>Bodas, Eventos Avda. Julio iglesias s/n. 29660 Puerto Banús - Marbella</t>
  </si>
  <si>
    <t>https://turismo.marbella.es/index.php?option=com_content&amp;view=article&amp;id=326</t>
  </si>
  <si>
    <t>04.05.060</t>
  </si>
  <si>
    <t>La Pesquera del Faro</t>
  </si>
  <si>
    <t>36.506837, -4.892357</t>
  </si>
  <si>
    <t>Bodas, Eventos Avda. Duque de Ahumada, 15. Playa del Faro. 29602 Marbella</t>
  </si>
  <si>
    <t>https://turismo.marbella.es/index.php?option=com_content&amp;view=article&amp;id=329</t>
  </si>
  <si>
    <t>04.05.061</t>
  </si>
  <si>
    <t>La Red</t>
  </si>
  <si>
    <t>36.507335, -4.895032</t>
  </si>
  <si>
    <t>Playa de la Fontanilla. Arco 6 - 29602 Marbella</t>
  </si>
  <si>
    <t>https://turismo.marbella.es/index.php?option=com_content&amp;view=article&amp;id=652</t>
  </si>
  <si>
    <t>04.05.062</t>
  </si>
  <si>
    <t>La Relojera</t>
  </si>
  <si>
    <t>36.508238, -4.876373</t>
  </si>
  <si>
    <t>04.05.063</t>
  </si>
  <si>
    <t>La Siesta</t>
  </si>
  <si>
    <t>36.485033, -4.957701</t>
  </si>
  <si>
    <t>04.05.064</t>
  </si>
  <si>
    <t>Las Dunas</t>
  </si>
  <si>
    <t>36.486018, -4.735616</t>
  </si>
  <si>
    <t>Urbanización Cabopino, c/ Jara 29604 – Marbella</t>
  </si>
  <si>
    <t>https://turismo.marbella.es/index.php?option=com_content&amp;view=article&amp;id=611</t>
  </si>
  <si>
    <t>04.05.065</t>
  </si>
  <si>
    <t>Las Flores</t>
  </si>
  <si>
    <t>36.498693, -4.813222</t>
  </si>
  <si>
    <t>Avenida Playas Andaluzas</t>
  </si>
  <si>
    <t>https://turismo.marbella.es/index.php?option=com_content&amp;view=article&amp;id=616</t>
  </si>
  <si>
    <t>04.05.066</t>
  </si>
  <si>
    <t>Las Mimosas</t>
  </si>
  <si>
    <t>36.493926, -4.792276</t>
  </si>
  <si>
    <t>Urb. Coto Chico, 7 Playa Real de Zaragoza 29604 Marbella</t>
  </si>
  <si>
    <t>https://turismo.marbella.es/index.php?option=com_content&amp;view=article&amp;id=631</t>
  </si>
  <si>
    <t>04.05.067</t>
  </si>
  <si>
    <t>Le Papillon</t>
  </si>
  <si>
    <t>36.488157, -4.765976</t>
  </si>
  <si>
    <t>Urb. Marbesa, C/ Cuesta Correa. Playa de las Cañas 29604 Marbella</t>
  </si>
  <si>
    <t>https://turismo.marbella.es/index.php?option=com_content&amp;view=article&amp;id=641</t>
  </si>
  <si>
    <t>04.05.068</t>
  </si>
  <si>
    <t>Levante Beach Club</t>
  </si>
  <si>
    <t>36.489107, -4.949525</t>
  </si>
  <si>
    <t>Muelle Levante s/n. Nueva Andalucía Playa Levante P.Banus. 29660 Marbella</t>
  </si>
  <si>
    <t>https://turismo.marbella.es/index.php?option=com_content&amp;view=article&amp;id=331</t>
  </si>
  <si>
    <t>04.05.069</t>
  </si>
  <si>
    <t>Lido Beach</t>
  </si>
  <si>
    <t>36.492599, -4.786525</t>
  </si>
  <si>
    <t>Playa Real de Zaragoza. 29604 Marbella</t>
  </si>
  <si>
    <t>https://turismo.marbella.es/index.php?option=com_content&amp;view=article&amp;id=342</t>
  </si>
  <si>
    <t>04.05.070</t>
  </si>
  <si>
    <t>Lizarrán</t>
  </si>
  <si>
    <t>36.507095, -4.891684</t>
  </si>
  <si>
    <t>04.05.071</t>
  </si>
  <si>
    <t>Lonja de Cabopino</t>
  </si>
  <si>
    <t>36.484789, -4.741112</t>
  </si>
  <si>
    <t>Urb.Puerto Cabopino, 1L 29604 Marbella</t>
  </si>
  <si>
    <t>https://turismo.marbella.es/index.php?option=com_content&amp;view=article&amp;id=623</t>
  </si>
  <si>
    <t>04.05.072</t>
  </si>
  <si>
    <t>Los Cano</t>
  </si>
  <si>
    <t>36.499412, -4.818094</t>
  </si>
  <si>
    <t>04.05.073</t>
  </si>
  <si>
    <t>Los Espigones</t>
  </si>
  <si>
    <t>36.483443, -4.963041</t>
  </si>
  <si>
    <t>Playa N. Andalucía Puerto Banús 29660 – Marbella</t>
  </si>
  <si>
    <t>https://turismo.marbella.es/index.php?option=com_content&amp;view=article&amp;id=612</t>
  </si>
  <si>
    <t>04.05.074</t>
  </si>
  <si>
    <t>04.05.075</t>
  </si>
  <si>
    <t>Los Sardinales</t>
  </si>
  <si>
    <t>36.499585, -4.819624</t>
  </si>
  <si>
    <t>Urb. Las Chapas Playa del Alicate - 29604 Marbella</t>
  </si>
  <si>
    <t>https://turismo.marbella.es/index.php?option=com_content&amp;view=article&amp;id=654</t>
  </si>
  <si>
    <t>04.05.076</t>
  </si>
  <si>
    <t>Los Tony's</t>
  </si>
  <si>
    <t>36.489313, -4.773709</t>
  </si>
  <si>
    <t>Avenida del Naviero</t>
  </si>
  <si>
    <t>04.05.077</t>
  </si>
  <si>
    <t>Los Tonys</t>
  </si>
  <si>
    <t>36.489287, -4.773709</t>
  </si>
  <si>
    <t>Av. Los Navieros. Playa la Víbora - 29604 Marbella</t>
  </si>
  <si>
    <t>https://turismo.marbella.es/index.php?option=com_content&amp;view=article&amp;id=655</t>
  </si>
  <si>
    <t>04.05.078</t>
  </si>
  <si>
    <t>Los Tres Pepes</t>
  </si>
  <si>
    <t>36.507456, -4.895986</t>
  </si>
  <si>
    <t>https://turismo.marbella.es/index.php?option=com_content&amp;view=article&amp;id=625</t>
  </si>
  <si>
    <t>04.05.079</t>
  </si>
  <si>
    <t>Luuma Beach Marbella</t>
  </si>
  <si>
    <t>36.497674, -4.807844</t>
  </si>
  <si>
    <t>C/ Playa Hermosa, 204 - 29604 Marbella</t>
  </si>
  <si>
    <t>https://turismo.marbella.es/index.php?option=com_content&amp;view=article&amp;id=7266</t>
  </si>
  <si>
    <t>04.05.080</t>
  </si>
  <si>
    <t>L´Unique</t>
  </si>
  <si>
    <t>36.476287, -4.981171</t>
  </si>
  <si>
    <t>Paseo Marítimo de San Pedro Alcántara 29670 Marbella</t>
  </si>
  <si>
    <t>https://turismo.marbella.es/index.php?option=com_content&amp;view=article&amp;id=617</t>
  </si>
  <si>
    <t>04.05.081</t>
  </si>
  <si>
    <t>Macaao Beach</t>
  </si>
  <si>
    <t>36.469492, -4.991339</t>
  </si>
  <si>
    <t>Playa de Guadalmina - 29670 Marbella</t>
  </si>
  <si>
    <t>https://turismo.marbella.es/index.php?option=com_content&amp;view=article&amp;id=628</t>
  </si>
  <si>
    <t>04.05.082</t>
  </si>
  <si>
    <t>Malika Beach</t>
  </si>
  <si>
    <t>36.506601, -4.900949</t>
  </si>
  <si>
    <t>04.05.083</t>
  </si>
  <si>
    <t>manuka</t>
  </si>
  <si>
    <t>36.507262, -4.897944</t>
  </si>
  <si>
    <t>https://www.manukamarbella.com/</t>
  </si>
  <si>
    <t>04.05.084</t>
  </si>
  <si>
    <t>Marbal-La</t>
  </si>
  <si>
    <t>36.506897, -4.886392</t>
  </si>
  <si>
    <t>Avda. del Mar, s/n 29602 Marbella</t>
  </si>
  <si>
    <t>https://turismo.marbella.es/index.php?option=com_content&amp;view=article&amp;id=634</t>
  </si>
  <si>
    <t>04.05.085</t>
  </si>
  <si>
    <t>Merendero Cristina</t>
  </si>
  <si>
    <t>36.488422, -4.769246</t>
  </si>
  <si>
    <t>A-7, Km 192.5 - Playa de Las Chapas Urb. Rancho Park, 4- 29604 Marbella</t>
  </si>
  <si>
    <t>https://turismo.marbella.es/index.php?option=com_content&amp;view=article&amp;id=333</t>
  </si>
  <si>
    <t>04.05.086</t>
  </si>
  <si>
    <t>Miguel y Maria "Da Sergio"</t>
  </si>
  <si>
    <t>36.496885, -4.804980</t>
  </si>
  <si>
    <t>Urb. Vistamar, Av. Andasol s/n Playa del Alicate, Costa Bella - 29604 Marbella</t>
  </si>
  <si>
    <t>https://turismo.marbella.es/index.php?option=com_content&amp;view=article&amp;id=627</t>
  </si>
  <si>
    <t>04.05.087</t>
  </si>
  <si>
    <t>Mistral Beach</t>
  </si>
  <si>
    <t>36.482406, -4.965952</t>
  </si>
  <si>
    <t>Playa de “el Rodeito”, (junto al Hotel Guadalpin Banús). 29602 Marbella</t>
  </si>
  <si>
    <t>https://turismo.marbella.es/index.php?option=com_content&amp;view=article&amp;id=633</t>
  </si>
  <si>
    <t>04.05.088</t>
  </si>
  <si>
    <t>Moosa Bay</t>
  </si>
  <si>
    <t>36.486834, -4.760663</t>
  </si>
  <si>
    <t>Urb. Marbesa, Avda. Aragón, 453 29604 Marbella</t>
  </si>
  <si>
    <t>https://turismo.marbella.es/index.php?option=com_content&amp;view=article&amp;id=651</t>
  </si>
  <si>
    <t>04.05.089</t>
  </si>
  <si>
    <t>Nini Beach</t>
  </si>
  <si>
    <t>36.473348, -4.985790</t>
  </si>
  <si>
    <t>Av. del Mar Mediterráneo 1</t>
  </si>
  <si>
    <t>https://turismo.marbella.es/index.php?option=com_content&amp;view=article&amp;id=635</t>
  </si>
  <si>
    <t>04.05.090</t>
  </si>
  <si>
    <t>Nuevo Reino</t>
  </si>
  <si>
    <t>36.478757, -4.975789</t>
  </si>
  <si>
    <t>04.05.091</t>
  </si>
  <si>
    <t>Oasis</t>
  </si>
  <si>
    <t>36.507119, -4.891416</t>
  </si>
  <si>
    <t>04.05.092</t>
  </si>
  <si>
    <t>Oyana Beach Club &amp; Restaurant</t>
  </si>
  <si>
    <t>36.499462, -4.818057</t>
  </si>
  <si>
    <t>Urb Las Chapas, 29604 Marbella</t>
  </si>
  <si>
    <t>https://turismo.marbella.es/index.php?option=com_content&amp;view=article&amp;id=6421</t>
  </si>
  <si>
    <t>04.05.093</t>
  </si>
  <si>
    <t>Palm Beach</t>
  </si>
  <si>
    <t>36.503047, -4.839946</t>
  </si>
  <si>
    <t>https://palmbeachlosmonteros.com</t>
  </si>
  <si>
    <t>04.05.094</t>
  </si>
  <si>
    <t>Pedro´s Beach</t>
  </si>
  <si>
    <t>36.484104, -4.961934</t>
  </si>
  <si>
    <t>Playa El Rodeo, Puerto Banús- 29660 Marbella</t>
  </si>
  <si>
    <t>https://turismo.marbella.es/index.php?option=com_content&amp;view=article&amp;id=643</t>
  </si>
  <si>
    <t>04.05.095</t>
  </si>
  <si>
    <t>Perla Blanca</t>
  </si>
  <si>
    <t>36.491224, -4.780201</t>
  </si>
  <si>
    <t>Calle Agata s/n. Urb. White Pearl Beach Elviria Playa de la Víbora 29603 Marbella</t>
  </si>
  <si>
    <t>https://turismo.marbella.es/index.php?option=com_content&amp;view=article&amp;id=646</t>
  </si>
  <si>
    <t>04.05.096</t>
  </si>
  <si>
    <t>Petit Playa Trocadero</t>
  </si>
  <si>
    <t>36.504878, -4.915180</t>
  </si>
  <si>
    <t>Bodas, Eventos Paseo Marítimo Playa Santa Petronila - 29602 Marbella</t>
  </si>
  <si>
    <t>https://turismo.marbella.es/index.php?option=com_content&amp;view=article&amp;id=642</t>
  </si>
  <si>
    <t>04.05.097</t>
  </si>
  <si>
    <t>Playa de la Fontanilla</t>
  </si>
  <si>
    <t>36.506942, -4.892980</t>
  </si>
  <si>
    <t>04.05.098</t>
  </si>
  <si>
    <t>Playa Europa</t>
  </si>
  <si>
    <t>36.507328, -4.895641</t>
  </si>
  <si>
    <t>Playa de la Fontanilla Arco nº 3 29601 – Marbella</t>
  </si>
  <si>
    <t>https://turismo.marbella.es/index.php?option=com_content&amp;view=article&amp;id=613</t>
  </si>
  <si>
    <t>04.05.099</t>
  </si>
  <si>
    <t>Playa Padre</t>
  </si>
  <si>
    <t>36.507953, -4.869866</t>
  </si>
  <si>
    <t>Bodas, Eventos Playa del Cable, s/n - 29603 Marbella</t>
  </si>
  <si>
    <t>https://turismo.marbella.es/index.php?option=com_content&amp;view=article&amp;id=6003</t>
  </si>
  <si>
    <t>04.05.100</t>
  </si>
  <si>
    <t>Plaza Beach Banús</t>
  </si>
  <si>
    <t>36.485682, -4.956458</t>
  </si>
  <si>
    <t>Conjunto Residencial Benabola, s/n 29660 Puerto Banús</t>
  </si>
  <si>
    <t>https://turismo.marbella.es/index.php?option=com_content&amp;view=article&amp;id=3718</t>
  </si>
  <si>
    <t>04.05.101</t>
  </si>
  <si>
    <t>Poniente Playa Marbella</t>
  </si>
  <si>
    <t>36.506273, -4.890007</t>
  </si>
  <si>
    <t>Playa El Faro</t>
  </si>
  <si>
    <t>https://turismo.marbella.es/index.php?option=com_content&amp;view=article&amp;id=8388</t>
  </si>
  <si>
    <t>04.05.102</t>
  </si>
  <si>
    <t>Puerto Playa</t>
  </si>
  <si>
    <t>36.508076, -4.876646</t>
  </si>
  <si>
    <t>Playa de la Bajadilla - 29602 Marbella</t>
  </si>
  <si>
    <t>https://turismo.marbella.es/index.php?option=com_content&amp;view=article&amp;id=666</t>
  </si>
  <si>
    <t>04.05.103</t>
  </si>
  <si>
    <t>Ranchón Cubano</t>
  </si>
  <si>
    <t>36.494630, -4.794976</t>
  </si>
  <si>
    <t>A-7, km. 190 - 29604 Marbella</t>
  </si>
  <si>
    <t>https://turismo.marbella.es/index.php?option=com_content&amp;view=article&amp;id=650</t>
  </si>
  <si>
    <t>04.05.104</t>
  </si>
  <si>
    <t>Restaurant Chiringuito Pepe El Piloto</t>
  </si>
  <si>
    <t>36.507271, -4.897664</t>
  </si>
  <si>
    <t>04.05.105</t>
  </si>
  <si>
    <t>Sacay</t>
  </si>
  <si>
    <t>36.508033, -4.867294</t>
  </si>
  <si>
    <t>Playa El Cable. C/ Tales de Mileto 29603 Marbella</t>
  </si>
  <si>
    <t>https://turismo.marbella.es/index.php?option=com_content&amp;view=article&amp;id=4671</t>
  </si>
  <si>
    <t>04.05.106</t>
  </si>
  <si>
    <t>Simbad</t>
  </si>
  <si>
    <t>36.486517, -4.758584</t>
  </si>
  <si>
    <t>Urb. Marbesa, s/n, 29604 Marbella</t>
  </si>
  <si>
    <t>https://turismo.marbella.es/index.php?option=com_content&amp;view=article&amp;id=7267</t>
  </si>
  <si>
    <t>04.05.107</t>
  </si>
  <si>
    <t>Siroko Beach</t>
  </si>
  <si>
    <t>36.496072, -4.800564</t>
  </si>
  <si>
    <t>Bodas, Eventos Avda Jardín de los Pinos s/n Playa de la Víbora 29604 Marbella</t>
  </si>
  <si>
    <t>https://turismo.marbella.es/index.php?option=com_content&amp;view=article&amp;id=657</t>
  </si>
  <si>
    <t>04.05.108</t>
  </si>
  <si>
    <t>Sol Beach</t>
  </si>
  <si>
    <t>36.464563, -4.999604</t>
  </si>
  <si>
    <t>calle 13</t>
  </si>
  <si>
    <t>04.05.109</t>
  </si>
  <si>
    <t>Soleo Marbella</t>
  </si>
  <si>
    <t>36.506758, -4.884991</t>
  </si>
  <si>
    <t>Bodas Avda Duque de Ahumada s/n - 29602 Marbella</t>
  </si>
  <si>
    <t>https://turismo.marbella.es/index.php?option=com_content&amp;view=article&amp;id=660</t>
  </si>
  <si>
    <t>04.05.110</t>
  </si>
  <si>
    <t>Sunset Beach</t>
  </si>
  <si>
    <t>36.499067, -4.815842</t>
  </si>
  <si>
    <t>04.05.111</t>
  </si>
  <si>
    <t>Sylt</t>
  </si>
  <si>
    <t>36.495133, -4.797501</t>
  </si>
  <si>
    <t>Urb. Lunamar Playa Rio Real - 29603 Marbella</t>
  </si>
  <si>
    <t>https://turismo.marbella.es/index.php?option=com_content&amp;view=article&amp;id=653</t>
  </si>
  <si>
    <t>04.05.112</t>
  </si>
  <si>
    <t>Tagara Beach</t>
  </si>
  <si>
    <t>36.491188, -4.948181</t>
  </si>
  <si>
    <t>Playa de Levante, s/n, Paseo Vidiella Puerto Banús - 29660 Marbella</t>
  </si>
  <si>
    <t>https://turismo.marbella.es/index.php?option=com_content&amp;view=article&amp;id=621</t>
  </si>
  <si>
    <t>04.05.113</t>
  </si>
  <si>
    <t>Tamanaco</t>
  </si>
  <si>
    <t>36.506137, -4.911902</t>
  </si>
  <si>
    <t>Bodas, Eventos Urb. Marbellamar. Paseo Marítimo s/n. 29602 Marbella</t>
  </si>
  <si>
    <t>https://turismo.marbella.es/index.php?option=com_content&amp;view=article&amp;id=993</t>
  </si>
  <si>
    <t>04.05.114</t>
  </si>
  <si>
    <t>The Beach House</t>
  </si>
  <si>
    <t>36.491906, -4.782384</t>
  </si>
  <si>
    <t>Urb. Coto de los Dolores. Carril del Relojero. Elviria. 29604 Marbella</t>
  </si>
  <si>
    <t>https://turismo.marbella.es/index.php?option=com_content&amp;view=article&amp;id=222</t>
  </si>
  <si>
    <t>04.05.115</t>
  </si>
  <si>
    <t>The Boardwalk</t>
  </si>
  <si>
    <t>36.507380, -4.894178</t>
  </si>
  <si>
    <t>https://theboardwalkmarbella.com</t>
  </si>
  <si>
    <t>04.05.116</t>
  </si>
  <si>
    <t>Tramps</t>
  </si>
  <si>
    <t>36.484371, -4.960582</t>
  </si>
  <si>
    <t>Playa Poniente, Puerto Banús - 29660 Marbella</t>
  </si>
  <si>
    <t>https://turismo.marbella.es/index.php?option=com_content&amp;view=article&amp;id=658</t>
  </si>
  <si>
    <t>04.05.117</t>
  </si>
  <si>
    <t>Triana</t>
  </si>
  <si>
    <t>36.485835, -4.754498</t>
  </si>
  <si>
    <t>Urb. Caribe Playa. Playa Las Cañas - 29604 Marbella</t>
  </si>
  <si>
    <t>https://turismo.marbella.es/index.php?option=com_content&amp;view=article&amp;id=659</t>
  </si>
  <si>
    <t>04.05.118</t>
  </si>
  <si>
    <t>A-7, km 186, salida Torre Real, Playa Rio Real - 29603 Marbella</t>
  </si>
  <si>
    <t>https://turismo.marbella.es/index.php?option=com_content&amp;view=article&amp;id=662</t>
  </si>
  <si>
    <t>04.05.119</t>
  </si>
  <si>
    <t>Paseo Marítimo de Marbella. Playa de Casablanca.- 29603 Marbella</t>
  </si>
  <si>
    <t>https://turismo.marbella.es/index.php?option=com_content&amp;view=article&amp;id=661</t>
  </si>
  <si>
    <t>04.05.120</t>
  </si>
  <si>
    <t>Varadero</t>
  </si>
  <si>
    <t>36.508176, -4.877918</t>
  </si>
  <si>
    <t>https://turismo.marbella.es/index.php?option=com_content&amp;view=article&amp;id=663</t>
  </si>
  <si>
    <t>04.05.121</t>
  </si>
  <si>
    <t>Victor´s Beach</t>
  </si>
  <si>
    <t>36.500249, -4.931994</t>
  </si>
  <si>
    <t>Crta. N340, km 177, Urb. Ancón Playa - 29602 Marbella</t>
  </si>
  <si>
    <t>https://turismo.marbella.es/index.php?option=com_content&amp;view=article&amp;id=664</t>
  </si>
  <si>
    <t>04.05.122</t>
  </si>
  <si>
    <t>Yellow Beach</t>
  </si>
  <si>
    <t>36.506372, -4.907251</t>
  </si>
  <si>
    <t>04.06</t>
  </si>
  <si>
    <t>Catering</t>
  </si>
  <si>
    <t>Empresas de catering.</t>
  </si>
  <si>
    <t>https://turismo.marbella.es/vive/gastronomia/catering.html</t>
  </si>
  <si>
    <t>04.06.001</t>
  </si>
  <si>
    <t>Alabardero Catering</t>
  </si>
  <si>
    <t>36.510489, -4.860089</t>
  </si>
  <si>
    <t>Bodas, Congresos Camino Cristo de los Molinos 29603 Marbella</t>
  </si>
  <si>
    <t>https://turismo.marbella.es/index.php?option=com_content&amp;view=article&amp;id=115</t>
  </si>
  <si>
    <t>04.06.002</t>
  </si>
  <si>
    <t>Catering de Violeta</t>
  </si>
  <si>
    <t>36.488390, -4.952307</t>
  </si>
  <si>
    <t>Bodas, Congresos Av. Julio Iglesias s/n 29660 Puerto Banús</t>
  </si>
  <si>
    <t>https://turismo.marbella.es/index.php?option=com_content&amp;view=article&amp;id=118</t>
  </si>
  <si>
    <t>04.06.003</t>
  </si>
  <si>
    <t>Costa Catering</t>
  </si>
  <si>
    <t>36.482275, -4.988739</t>
  </si>
  <si>
    <t>Bodas, Congresos 29670 San Pedro Alcántara</t>
  </si>
  <si>
    <t>https://turismo.marbella.es/index.php?option=com_content&amp;view=article&amp;id=484</t>
  </si>
  <si>
    <t>04.06.004</t>
  </si>
  <si>
    <t>Dani´s Catering</t>
  </si>
  <si>
    <t>36.517655, -4.886632</t>
  </si>
  <si>
    <t>Bodas, Congresos Avenida Don Jaime de Mora y Aragón, s/n Finca El Pinillo, 29601 Marbella, Málaga</t>
  </si>
  <si>
    <t>https://turismo.marbella.es/index.php?option=com_content&amp;view=article&amp;id=3776</t>
  </si>
  <si>
    <t>04.06.005</t>
  </si>
  <si>
    <t>Delicias Gourmet Group</t>
  </si>
  <si>
    <t>36.489971, -4.987633</t>
  </si>
  <si>
    <t>Bodas Calle Amor, 29670 San Pedro Alcántara.</t>
  </si>
  <si>
    <t>https://turismo.marbella.es/index.php?option=com_content&amp;view=article&amp;id=486</t>
  </si>
  <si>
    <t>04.06.006</t>
  </si>
  <si>
    <t>Fiestasol Weddings &amp; Catering</t>
  </si>
  <si>
    <t>36.508621, -4.869620</t>
  </si>
  <si>
    <t>Bodas Calle Miguel Angel Catalán Sañudo, 29603 Marbella</t>
  </si>
  <si>
    <t>https://turismo.marbella.es/index.php?option=com_content&amp;view=article&amp;id=488</t>
  </si>
  <si>
    <t>04.06.007</t>
  </si>
  <si>
    <t>Food Room</t>
  </si>
  <si>
    <t>36.474481, -5.003022</t>
  </si>
  <si>
    <t>Bodas C.C. Guadalmina II Local 12 Urb. Guadalmina Alta 29670 San Pedro Alcántara</t>
  </si>
  <si>
    <t>https://turismo.marbella.es/index.php?option=com_content&amp;view=article&amp;id=478</t>
  </si>
  <si>
    <t>04.06.008</t>
  </si>
  <si>
    <t>Goyo Full Taste Catering</t>
  </si>
  <si>
    <t>36.509620, -4.889667</t>
  </si>
  <si>
    <t>Bodas, Congresos C/Alonso de Bazán, 3 29602 Marbella</t>
  </si>
  <si>
    <t>https://turismo.marbella.es/index.php?option=com_content&amp;view=article&amp;id=490</t>
  </si>
  <si>
    <t>04.06.009</t>
  </si>
  <si>
    <t>King Catering</t>
  </si>
  <si>
    <t>36.491617, -4.985960</t>
  </si>
  <si>
    <t>Bodas, Congresos C/ Castilla, 38 Bloque 6 P 1D 29670 San Pedro Alcántara</t>
  </si>
  <si>
    <t>https://turismo.marbella.es/index.php?option=com_content&amp;view=article&amp;id=491</t>
  </si>
  <si>
    <t>04.06.010</t>
  </si>
  <si>
    <t>Mimo Catering Events</t>
  </si>
  <si>
    <t>36.510384, -4.867701</t>
  </si>
  <si>
    <t>Poligono Industrial Marbella. C/ Granito, 9 29603 Marbella</t>
  </si>
  <si>
    <t>https://turismo.marbella.es/index.php?option=com_content&amp;view=article&amp;id=7390</t>
  </si>
  <si>
    <t>04.06.011</t>
  </si>
  <si>
    <t>Rachel´s Eco Love</t>
  </si>
  <si>
    <t>36.502512, -4.923543</t>
  </si>
  <si>
    <t>Bodas Bulevar Príncipe Alfonso von Hohenlohe, s/n. Hotel Puente Romano 29602 Marbella</t>
  </si>
  <si>
    <t>https://turismo.marbella.es/index.php?option=com_content&amp;view=article&amp;id=3748</t>
  </si>
  <si>
    <t>04.06.012</t>
  </si>
  <si>
    <t>Saboris</t>
  </si>
  <si>
    <t>36.510806, -4.902616</t>
  </si>
  <si>
    <t>https://turismo.marbella.es/index.php?option=com_content&amp;view=article&amp;id=7880</t>
  </si>
  <si>
    <t>04.06.013</t>
  </si>
  <si>
    <t>Salduna Catering</t>
  </si>
  <si>
    <t>36.503884, -4.977677</t>
  </si>
  <si>
    <t>Pol. Ind. La Campana, Nave 83 Nueva Andalucía 29660 Marbella</t>
  </si>
  <si>
    <t>https://turismo.marbella.es/index.php?option=com_content&amp;view=article&amp;id=7272</t>
  </si>
  <si>
    <t>04.06.014</t>
  </si>
  <si>
    <t>Sana Catering</t>
  </si>
  <si>
    <t>36.503585, -4.977873</t>
  </si>
  <si>
    <t>Bodas Polígono Industrial Nueva Campana Nave 7 29660 Nueva Andalucía</t>
  </si>
  <si>
    <t>https://turismo.marbella.es/index.php?option=com_content&amp;view=article&amp;id=494</t>
  </si>
  <si>
    <t>04.06.015</t>
  </si>
  <si>
    <t>Tango Catering</t>
  </si>
  <si>
    <t>36.488434, -4.952389</t>
  </si>
  <si>
    <t>Av. de Julio Iglesias, Local Tango, Puerto Banús 29660 Marbella.</t>
  </si>
  <si>
    <t>https://turismo.marbella.es/index.php?option=com_content&amp;view=article&amp;id=7537</t>
  </si>
  <si>
    <t>04.06.016</t>
  </si>
  <si>
    <t>Villa Catering Marbella</t>
  </si>
  <si>
    <t>36.512462, -4.901719</t>
  </si>
  <si>
    <t>Bodas, Congresos</t>
  </si>
  <si>
    <t>https://turismo.marbella.es/index.php?option=com_content&amp;view=article&amp;id=3746</t>
  </si>
  <si>
    <t>04.07</t>
  </si>
  <si>
    <t>Vinotecas</t>
  </si>
  <si>
    <t>Vinotecas y tiendas de vino.</t>
  </si>
  <si>
    <t>https://turismo.marbella.es/vive/gastronomia/vinotecas.html</t>
  </si>
  <si>
    <t>04.07.001</t>
  </si>
  <si>
    <t>BBR</t>
  </si>
  <si>
    <t>36.506739, -4.889100</t>
  </si>
  <si>
    <t>Puerto deportivo local 60-61 29600 Marbella</t>
  </si>
  <si>
    <t>https://turismo.marbella.es/index.php?option=com_content&amp;view=article&amp;id=375</t>
  </si>
  <si>
    <t>04.07.002</t>
  </si>
  <si>
    <t>04.07.003</t>
  </si>
  <si>
    <t>Casa Santi</t>
  </si>
  <si>
    <t>36.508625, -4.896601</t>
  </si>
  <si>
    <t>C/ de Gregorio Marañón, Edificio Atruim local E, 29601 Marbella</t>
  </si>
  <si>
    <t>https://turismo.marbella.es/index.php?option=com_content&amp;view=article&amp;id=373</t>
  </si>
  <si>
    <t>04.07.004</t>
  </si>
  <si>
    <t>04.07.005</t>
  </si>
  <si>
    <t>La Cartuja Wine</t>
  </si>
  <si>
    <t>36.510946, -4.892225</t>
  </si>
  <si>
    <t>Plaza Joaquin Gomez Aguera, s/n Local 5-7, 29601 Marbella</t>
  </si>
  <si>
    <t>https://turismo.marbella.es/index.php?option=com_content&amp;view=article&amp;id=376</t>
  </si>
  <si>
    <t>04.07.006</t>
  </si>
  <si>
    <t>La Tienda Casa Curro</t>
  </si>
  <si>
    <t>36.511280, -4.885261</t>
  </si>
  <si>
    <t>C/ Pantaleón 5 29601 Marbella</t>
  </si>
  <si>
    <t>https://turismo.marbella.es/index.php?option=com_content&amp;view=article&amp;id=3838</t>
  </si>
  <si>
    <t>04.07.007</t>
  </si>
  <si>
    <t>La Tizona Gourmet</t>
  </si>
  <si>
    <t>36.484852, -4.989557</t>
  </si>
  <si>
    <t>Av. Marqués del Duero, 68, 29670 San Pedro Alcántara, Marbella.</t>
  </si>
  <si>
    <t>https://turismo.marbella.es/index.php?option=com_content&amp;view=article&amp;id=6829</t>
  </si>
  <si>
    <t>04.07.008</t>
  </si>
  <si>
    <t>Licorería Cuevas</t>
  </si>
  <si>
    <t>36.512576, -4.866927</t>
  </si>
  <si>
    <t>Pol. Industrial La Ermita C/ Hierro, 35 29603 Marbella</t>
  </si>
  <si>
    <t>https://turismo.marbella.es/index.php?option=com_content&amp;view=article&amp;id=381</t>
  </si>
  <si>
    <t>04.07.009</t>
  </si>
  <si>
    <t>Nicolas</t>
  </si>
  <si>
    <t>36.474609, -5.001995</t>
  </si>
  <si>
    <t>https://www.nicolasmarbella.com/</t>
  </si>
  <si>
    <t>04.07.010</t>
  </si>
  <si>
    <t>Primeria Selection</t>
  </si>
  <si>
    <t>36.509151, -4.888840</t>
  </si>
  <si>
    <t>C/ del Pintor Rivera 10 | Esquina C/ Notario Luis Oliver, 29602, Marbella</t>
  </si>
  <si>
    <t>https://turismo.marbella.es/index.php?option=com_content&amp;view=article&amp;id=377</t>
  </si>
  <si>
    <t>04.07.011</t>
  </si>
  <si>
    <t>Terroirs</t>
  </si>
  <si>
    <t>36.479740, -4.995090</t>
  </si>
  <si>
    <t>C.C La Colonia Local 22 - 29670 - San Pedro Alcántara</t>
  </si>
  <si>
    <t>https://turismo.marbella.es/index.php?option=com_content&amp;view=article&amp;id=378</t>
  </si>
  <si>
    <t>04.07.012</t>
  </si>
  <si>
    <t>04.07.013</t>
  </si>
  <si>
    <t>Viñasur Vinos y Licores</t>
  </si>
  <si>
    <t>36.490688, -4.991403</t>
  </si>
  <si>
    <t>Avda. Pablo Ruiz Picaso, nº 48 - 29670 San Pedro Alcántara</t>
  </si>
  <si>
    <t>https://turismo.marbella.es/index.php?option=com_content&amp;view=article&amp;id=379</t>
  </si>
  <si>
    <t>04.08</t>
  </si>
  <si>
    <t>Delicatessen</t>
  </si>
  <si>
    <t>Tiendas gourmet y de producto selecto.</t>
  </si>
  <si>
    <t>https://turismo.marbella.es/vive/gastronomia/delicatessen.html</t>
  </si>
  <si>
    <t>04.08.001</t>
  </si>
  <si>
    <t>Beher</t>
  </si>
  <si>
    <t>36.508698, -4.886920</t>
  </si>
  <si>
    <t>Av. Miguel Cano, 6 - 29600 Marbella</t>
  </si>
  <si>
    <t>https://turismo.marbella.es/index.php?option=com_content&amp;view=article&amp;id=1014</t>
  </si>
  <si>
    <t>04.08.002</t>
  </si>
  <si>
    <t>Club del Gourmet</t>
  </si>
  <si>
    <t>36.490485, -4.953019</t>
  </si>
  <si>
    <t>Centro Comercial Costa Marbella - El Corte Inglés C/ Ramón Areces, s/n - 29660 Puerto Banús</t>
  </si>
  <si>
    <t>https://turismo.marbella.es/index.php?option=com_content&amp;view=article&amp;id=868</t>
  </si>
  <si>
    <t>04.08.003</t>
  </si>
  <si>
    <t>D. Oliva</t>
  </si>
  <si>
    <t>36.509597, -4.884872</t>
  </si>
  <si>
    <t>C/ Nueva, 9 - 29601 Marbella</t>
  </si>
  <si>
    <t>https://turismo.marbella.es/index.php?option=com_content&amp;view=article&amp;id=869</t>
  </si>
  <si>
    <t>04.08.004</t>
  </si>
  <si>
    <t>Deleyte Gourmet</t>
  </si>
  <si>
    <t>36.508768, -4.896610</t>
  </si>
  <si>
    <t>04.08.005</t>
  </si>
  <si>
    <t>36.492754, -4.965706</t>
  </si>
  <si>
    <t>Calle Yedras, 1. locales 14 y 15 Urbanización, A, 9, 29660 Nueva Andalucía</t>
  </si>
  <si>
    <t>https://turismo.marbella.es/index.php?option=com_content&amp;view=article&amp;id=870</t>
  </si>
  <si>
    <t>04.08.006</t>
  </si>
  <si>
    <t>Delicias Gourmet Shop</t>
  </si>
  <si>
    <t>36.495389, -4.774451</t>
  </si>
  <si>
    <t>04.08.007</t>
  </si>
  <si>
    <t>El Patio de Juan</t>
  </si>
  <si>
    <t>36.508855, -4.886939</t>
  </si>
  <si>
    <t>C/ Miguel Cano, 6 29602 Marbella</t>
  </si>
  <si>
    <t>https://turismo.marbella.es/index.php?option=com_content&amp;view=article&amp;id=7089</t>
  </si>
  <si>
    <t>04.08.008</t>
  </si>
  <si>
    <t>Goyo Full Taste Banus</t>
  </si>
  <si>
    <t>36.491227, -4.951455</t>
  </si>
  <si>
    <t>Centro Comercial Cristamar - 29660 Puerto Banús</t>
  </si>
  <si>
    <t>https://turismo.marbella.es/index.php?option=com_content&amp;view=article&amp;id=880</t>
  </si>
  <si>
    <t>04.08.009</t>
  </si>
  <si>
    <t>Goyo Marbella</t>
  </si>
  <si>
    <t>36.509598, -4.889660</t>
  </si>
  <si>
    <t>C/ Alonso de Bazán, 3 - 29602 Marbella</t>
  </si>
  <si>
    <t>https://turismo.marbella.es/index.php?option=com_content&amp;view=article&amp;id=881</t>
  </si>
  <si>
    <t>04.08.010</t>
  </si>
  <si>
    <t>La Casa del Jamon</t>
  </si>
  <si>
    <t>36.508081, -4.884387</t>
  </si>
  <si>
    <t>Avda. del Fuerte, 4 - 29602 Marbella</t>
  </si>
  <si>
    <t>https://turismo.marbella.es/index.php?option=com_content&amp;view=article&amp;id=882</t>
  </si>
  <si>
    <t>04.08.011</t>
  </si>
  <si>
    <t>Valeria Gourmet</t>
  </si>
  <si>
    <t>36.473786, -5.004428</t>
  </si>
  <si>
    <t>05</t>
  </si>
  <si>
    <t>Alojamientos</t>
  </si>
  <si>
    <t>Alojamiento turístico reglado, por categorías.</t>
  </si>
  <si>
    <t>https://turismo.marbella.es/vive/alojamientos.html</t>
  </si>
  <si>
    <t>05.01</t>
  </si>
  <si>
    <t>Hoteles</t>
  </si>
  <si>
    <t>05.01.01</t>
  </si>
  <si>
    <t>Hoteles ***** GL</t>
  </si>
  <si>
    <t>Hoteles ***** GL.</t>
  </si>
  <si>
    <t>turismo.marbella.es; Registro de Turismo de Andalucía (OpenRTA)</t>
  </si>
  <si>
    <t>https://turismo.marbella.es/vive/alojamientos/hoteles-5gl.html</t>
  </si>
  <si>
    <t>05.01.01.001</t>
  </si>
  <si>
    <t>Hotel Don Pepe Gran Meliá</t>
  </si>
  <si>
    <t>36.507866, -4.902601</t>
  </si>
  <si>
    <t>Ur Finca Las Merinas 0</t>
  </si>
  <si>
    <t>https://turismo.marbella.es/index.php?option=com_content&amp;view=article&amp;id=50</t>
  </si>
  <si>
    <t>05.01.01.002</t>
  </si>
  <si>
    <t>Kimpton Los Monteros Marbella</t>
  </si>
  <si>
    <t>36.505263, -4.825010</t>
  </si>
  <si>
    <t>Calle Lince Urbanizacion Los Monteros Nº 187 Compl.Dom. Hotel Kimpton Los Monteros</t>
  </si>
  <si>
    <t>https://turismo.marbella.es/index.php?option=com_content&amp;view=article&amp;id=55</t>
  </si>
  <si>
    <t>05.01.01.003</t>
  </si>
  <si>
    <t>Los Monteros Spa &amp; Golf Resort</t>
  </si>
  <si>
    <t>36.505950, -4.824600</t>
  </si>
  <si>
    <t>Cr N 340 K 187 0</t>
  </si>
  <si>
    <t>05.01.01.004</t>
  </si>
  <si>
    <t>Nobu Hotel Marbella</t>
  </si>
  <si>
    <t>Hotel ***** gl, Congresos Boulevard Principe Alfonso von Hohenlohe s/n, 29602 Marbella</t>
  </si>
  <si>
    <t>https://turismo.marbella.es/index.php?option=com_content&amp;view=article&amp;id=60</t>
  </si>
  <si>
    <t>05.01.01.005</t>
  </si>
  <si>
    <t>Puente Romano Beach Resort</t>
  </si>
  <si>
    <t>36.503923, -4.925030</t>
  </si>
  <si>
    <t>Cr Nal 340 K 177 0</t>
  </si>
  <si>
    <t>https://turismo.marbella.es/index.php?option=com_content&amp;view=article&amp;id=56</t>
  </si>
  <si>
    <t>05.01.02</t>
  </si>
  <si>
    <t>Hoteles *****</t>
  </si>
  <si>
    <t>Hoteles *****.</t>
  </si>
  <si>
    <t>https://turismo.marbella.es/vive/alojamientos/hoteles-5e.html</t>
  </si>
  <si>
    <t>05.01.02.001</t>
  </si>
  <si>
    <t>Alanda Marbella Hotel Wellness &amp; Spa</t>
  </si>
  <si>
    <t>36.504490, -4.926017</t>
  </si>
  <si>
    <t>Cr.Nal.340.Km.176,5</t>
  </si>
  <si>
    <t>https://turismo.marbella.es/index.php?option=com_content&amp;view=article&amp;id=62</t>
  </si>
  <si>
    <t>05.01.02.002</t>
  </si>
  <si>
    <t>Don Carlos  Marbella</t>
  </si>
  <si>
    <t>36.492460, -4.772416</t>
  </si>
  <si>
    <t>Hotel *****, Bodas, Congresos Avda. Zurita s/n - 29604 Marbella</t>
  </si>
  <si>
    <t>https://turismo.marbella.es/index.php?option=com_content&amp;view=article&amp;id=57</t>
  </si>
  <si>
    <t>05.01.02.003</t>
  </si>
  <si>
    <t>El Fuerte Marbella</t>
  </si>
  <si>
    <t>36.507768, -4.884612</t>
  </si>
  <si>
    <t>Av El Fuerte</t>
  </si>
  <si>
    <t>https://turismo.marbella.es/index.php?option=com_content&amp;view=article&amp;id=67</t>
  </si>
  <si>
    <t>05.01.02.004</t>
  </si>
  <si>
    <t>Gran Hotel Guadalpín Banús</t>
  </si>
  <si>
    <t>36.483299, -4.966386</t>
  </si>
  <si>
    <t>Hotel *****, Congresos C/ Edgar Neville, s/n - 29660 Nueva Andalucía</t>
  </si>
  <si>
    <t>https://turismo.marbella.es/index.php?option=com_content&amp;view=article&amp;id=58</t>
  </si>
  <si>
    <t>05.01.02.005</t>
  </si>
  <si>
    <t>Gran Marbella Resort &amp; Beach Club</t>
  </si>
  <si>
    <t>36.494751, -4.784481</t>
  </si>
  <si>
    <t>Hotel *****, Bodas, Congresos A-7 Km 1034A, Avenida José Ribera 25 (Urb. Real de Zaragoza) - 29604 Marbella</t>
  </si>
  <si>
    <t>https://turismo.marbella.es/index.php?option=com_content&amp;view=article&amp;id=61</t>
  </si>
  <si>
    <t>05.01.02.006</t>
  </si>
  <si>
    <t xml:space="preserve">Gran Marbella Resort &amp; Beach Club </t>
  </si>
  <si>
    <t>36.497926, -4.774337</t>
  </si>
  <si>
    <t>Autopista Del Mediterráneo Compl.Dom. Km. En La Vía 1034 A</t>
  </si>
  <si>
    <t>05.01.02.007</t>
  </si>
  <si>
    <t>Hotel Don Carlos Marbella</t>
  </si>
  <si>
    <t>36.492605, -4.772624</t>
  </si>
  <si>
    <t>Carretera Cádiz-Málaga Km 198</t>
  </si>
  <si>
    <t>05.01.02.008</t>
  </si>
  <si>
    <t>Marbella Club Hotel Golf Resort &amp; Spa</t>
  </si>
  <si>
    <t>36.506806, -4.919206</t>
  </si>
  <si>
    <t>Boulevard Principe Alfonso Von Hohenlohe S/N</t>
  </si>
  <si>
    <t>https://turismo.marbella.es/index.php?option=com_content&amp;view=article&amp;id=59</t>
  </si>
  <si>
    <t>05.01.02.009</t>
  </si>
  <si>
    <t>ME Marbella</t>
  </si>
  <si>
    <t>36.494966, -4.947150</t>
  </si>
  <si>
    <t>Hotel *****, Congresos CN-340, Km 175 - C/ Mario Vargas Llosa s/n - 29660 Marbella</t>
  </si>
  <si>
    <t>https://turismo.marbella.es/index.php?option=com_content&amp;view=article&amp;id=73</t>
  </si>
  <si>
    <t>05.01.02.010</t>
  </si>
  <si>
    <t>Melia Marbella Banus</t>
  </si>
  <si>
    <t>36.494937, -4.947065</t>
  </si>
  <si>
    <t>Cr Cadiz K 175 0</t>
  </si>
  <si>
    <t>05.01.02.011</t>
  </si>
  <si>
    <t>VILLTAK La Plaza</t>
  </si>
  <si>
    <t>36.510845, -4.885204</t>
  </si>
  <si>
    <t>Hotel ***** Plaza Puente de Ronda, 1 - 29601 Marbella</t>
  </si>
  <si>
    <t>https://turismo.marbella.es/index.php?option=com_content&amp;view=article&amp;id=8063</t>
  </si>
  <si>
    <t>05.01.03</t>
  </si>
  <si>
    <t>Hoteles ****</t>
  </si>
  <si>
    <t>Hoteles ****.</t>
  </si>
  <si>
    <t>https://turismo.marbella.es/vive/alojamientos/hoteles-4e.html</t>
  </si>
  <si>
    <t>05.01.03.001</t>
  </si>
  <si>
    <t>AluaSun Marbella Park</t>
  </si>
  <si>
    <t>36.495805, -4.772637</t>
  </si>
  <si>
    <t>Cr Nacional 340 192</t>
  </si>
  <si>
    <t>https://turismo.marbella.es/index.php?option=com_content&amp;view=article&amp;id=77</t>
  </si>
  <si>
    <t>05.01.03.002</t>
  </si>
  <si>
    <t>Amare Marbella Beach</t>
  </si>
  <si>
    <t>36.508220, -4.881151</t>
  </si>
  <si>
    <t>Cl Severo Ochoa.C/Estepona 0</t>
  </si>
  <si>
    <t>05.01.03.003</t>
  </si>
  <si>
    <t>Amàre Beach Hotel Marbella</t>
  </si>
  <si>
    <t>https://turismo.marbella.es/index.php?option=com_content&amp;view=article&amp;id=63</t>
  </si>
  <si>
    <t>05.01.03.004</t>
  </si>
  <si>
    <t>B 51Hotel</t>
  </si>
  <si>
    <t>36.486143, -4.955447</t>
  </si>
  <si>
    <t>Hotel ****, Admite mascotas Paseo Marítimo de Benabola - 29660 Puerto Banús</t>
  </si>
  <si>
    <t>https://turismo.marbella.es/index.php?option=com_content&amp;view=article&amp;id=64</t>
  </si>
  <si>
    <t>05.01.03.005</t>
  </si>
  <si>
    <t>B51 Boutique Hotel Puerto Banús</t>
  </si>
  <si>
    <t>36.486177, -4.955369</t>
  </si>
  <si>
    <t>Urb. Benabola. Pº.Armenara, 9</t>
  </si>
  <si>
    <t>05.01.03.006</t>
  </si>
  <si>
    <t>Barceló Marbella</t>
  </si>
  <si>
    <t>36.483641, -5.005906</t>
  </si>
  <si>
    <t>Urbanizacion Guadalmina Alta/Granadillas</t>
  </si>
  <si>
    <t>https://turismo.marbella.es/index.php?option=com_content&amp;view=article&amp;id=65</t>
  </si>
  <si>
    <t>05.01.03.007</t>
  </si>
  <si>
    <t>Blue Bay Banús</t>
  </si>
  <si>
    <t>36.486207, -4.968984</t>
  </si>
  <si>
    <t>Autovía del Mediterráneo</t>
  </si>
  <si>
    <t>https://turismo.marbella.es/index.php?option=com_content&amp;view=article&amp;id=66</t>
  </si>
  <si>
    <t>05.01.03.008</t>
  </si>
  <si>
    <t>Bluebay Banus</t>
  </si>
  <si>
    <t>36.497873, -4.942625</t>
  </si>
  <si>
    <t>Cr N 340 K 173 0. Nueva Andalucia</t>
  </si>
  <si>
    <t>05.01.03.009</t>
  </si>
  <si>
    <t>Club Med Magna Marbella</t>
  </si>
  <si>
    <t>36.525734, -4.892051</t>
  </si>
  <si>
    <t>Calle Camino Del Trapiche S/N</t>
  </si>
  <si>
    <t>https://turismo.marbella.es/index.php?option=com_content&amp;view=article&amp;id=4148</t>
  </si>
  <si>
    <t>05.01.03.010</t>
  </si>
  <si>
    <t>El Castillo</t>
  </si>
  <si>
    <t>36.510575, -4.883938</t>
  </si>
  <si>
    <t>Plaza San Bernabé Nº 2</t>
  </si>
  <si>
    <t>05.01.03.011</t>
  </si>
  <si>
    <t>36.510581, -4.883934</t>
  </si>
  <si>
    <t>Hotel **** Plaza San Bernabé, 2 - 29601 Marbella</t>
  </si>
  <si>
    <t>https://turismo.marbella.es/index.php?option=com_content&amp;view=article&amp;id=4359</t>
  </si>
  <si>
    <t>05.01.03.012</t>
  </si>
  <si>
    <t>Eurostars Oasis Marbella</t>
  </si>
  <si>
    <t>36.501410, -4.937415</t>
  </si>
  <si>
    <t>Urbanizacion Villa Parra Palomeras Nº 42-45</t>
  </si>
  <si>
    <t>05.01.03.013</t>
  </si>
  <si>
    <t>36.500940, -4.938987</t>
  </si>
  <si>
    <t>El Oasis de Marbella 42</t>
  </si>
  <si>
    <t>https://turismo.marbella.es/index.php?option=com_content&amp;view=article&amp;id=6184</t>
  </si>
  <si>
    <t>05.01.03.014</t>
  </si>
  <si>
    <t>Guadalmina Spa &amp; Golf Resort</t>
  </si>
  <si>
    <t>36.462747, -5.002908</t>
  </si>
  <si>
    <t>Urbanizacion Guadalmina Baja S/N</t>
  </si>
  <si>
    <t>05.01.03.015</t>
  </si>
  <si>
    <t>https://turismo.marbella.es/index.php?option=com_content&amp;view=article&amp;id=69</t>
  </si>
  <si>
    <t>05.01.03.016</t>
  </si>
  <si>
    <t>Hardrock Hotel Marbella</t>
  </si>
  <si>
    <t>36.488966, -4.961328</t>
  </si>
  <si>
    <t>Ur  Nueva Andalucia 0</t>
  </si>
  <si>
    <t>05.01.03.017</t>
  </si>
  <si>
    <t>Hotel Claude</t>
  </si>
  <si>
    <t>36.512493, -4.885197</t>
  </si>
  <si>
    <t>Calle San Francisco Nº 5</t>
  </si>
  <si>
    <t>05.01.03.018</t>
  </si>
  <si>
    <t>Hotel Guadalmina</t>
  </si>
  <si>
    <t>36.462863, -5.003182</t>
  </si>
  <si>
    <t>Hotel ****, Bodas, Congresos, Admite mascotas Calle 9 s/n Urb. Guadalmina Baja. 29678 San Pedro Alcántara</t>
  </si>
  <si>
    <t>https://turismo.marbella.es/index.php?option=com_content&amp;view=article&amp;id=68</t>
  </si>
  <si>
    <t>05.01.03.019</t>
  </si>
  <si>
    <t>Iberostar Marbella Coral Beach</t>
  </si>
  <si>
    <t>36.498036, -4.942653</t>
  </si>
  <si>
    <t>Cr Nacional 340 K.176 0</t>
  </si>
  <si>
    <t>05.01.03.020</t>
  </si>
  <si>
    <t>Iberostar Selection Marbella Coral Beach</t>
  </si>
  <si>
    <t>36.497444, -4.942307</t>
  </si>
  <si>
    <t>Urbanización Coral Beach</t>
  </si>
  <si>
    <t>https://turismo.marbella.es/index.php?option=com_content&amp;view=article&amp;id=70</t>
  </si>
  <si>
    <t>05.01.03.021</t>
  </si>
  <si>
    <t>La Fonda Heritage Hotel Relais &amp; Chateaux</t>
  </si>
  <si>
    <t>Hotel **** Plaza Santo Cristo 9 &amp; 10, Marbella 29601</t>
  </si>
  <si>
    <t>https://turismo.marbella.es/index.php?option=com_content&amp;view=article&amp;id=5009</t>
  </si>
  <si>
    <t>05.01.03.022</t>
  </si>
  <si>
    <t>Lima</t>
  </si>
  <si>
    <t>36.508099, -4.887203</t>
  </si>
  <si>
    <t>Av Antonio Belon 2</t>
  </si>
  <si>
    <t>https://turismo.marbella.es/index.php?option=com_content&amp;view=article&amp;id=99</t>
  </si>
  <si>
    <t>05.01.03.023</t>
  </si>
  <si>
    <t>Marbella Playa</t>
  </si>
  <si>
    <t>36.497760, -4.801073</t>
  </si>
  <si>
    <t>Ctra.Cadiz-Malaga, Km. 189</t>
  </si>
  <si>
    <t>05.01.03.024</t>
  </si>
  <si>
    <t>NH Collection Marbella</t>
  </si>
  <si>
    <t>36.510872, -4.908211</t>
  </si>
  <si>
    <t>Avenida Conde Rudi Nº 531</t>
  </si>
  <si>
    <t>https://turismo.marbella.es/index.php?option=com_content&amp;view=article&amp;id=74</t>
  </si>
  <si>
    <t>05.01.03.025</t>
  </si>
  <si>
    <t>Rio Real Golf</t>
  </si>
  <si>
    <t>36.513561, -4.843677</t>
  </si>
  <si>
    <t>Urb. Golf Rio Real</t>
  </si>
  <si>
    <t>05.01.03.026</t>
  </si>
  <si>
    <t>Rio Real Golf Hotel</t>
  </si>
  <si>
    <t>36.512762, -4.844570</t>
  </si>
  <si>
    <t>Calle de Hotel Río Real Golf 1</t>
  </si>
  <si>
    <t>https://turismo.marbella.es/index.php?option=com_content&amp;view=article&amp;id=76</t>
  </si>
  <si>
    <t>05.01.03.027</t>
  </si>
  <si>
    <t>Senator Marbella Spa</t>
  </si>
  <si>
    <t>36.509697, -4.903886</t>
  </si>
  <si>
    <t>Avda. Alfonso Holenlohe Parcela Ng.7</t>
  </si>
  <si>
    <t>https://turismo.marbella.es/index.php?option=com_content&amp;view=article&amp;id=78</t>
  </si>
  <si>
    <t>05.01.03.028</t>
  </si>
  <si>
    <t>VILLTAK La Maison Hotel</t>
  </si>
  <si>
    <t>36.511363, -4.885480</t>
  </si>
  <si>
    <t>Calle Ancha Nº 9</t>
  </si>
  <si>
    <t>https://turismo.marbella.es/index.php?option=com_content&amp;view=article&amp;id=8062</t>
  </si>
  <si>
    <t>05.01.03.029</t>
  </si>
  <si>
    <t>Óbal Urban Hotel</t>
  </si>
  <si>
    <t>36.509272, -4.886180</t>
  </si>
  <si>
    <t>Cl Ramon Y Cajal 3</t>
  </si>
  <si>
    <t>https://turismo.marbella.es/index.php?option=com_content&amp;view=article&amp;id=92</t>
  </si>
  <si>
    <t>05.01.04</t>
  </si>
  <si>
    <t>Hoteles ***</t>
  </si>
  <si>
    <t>Hoteles ***.</t>
  </si>
  <si>
    <t>https://turismo.marbella.es/vive/alojamientos/hoteles-3e.html</t>
  </si>
  <si>
    <t>05.01.04.001</t>
  </si>
  <si>
    <t>Baviera</t>
  </si>
  <si>
    <t>36.510795, -4.890196</t>
  </si>
  <si>
    <t>Cl Camino Calvario 4</t>
  </si>
  <si>
    <t>https://turismo.marbella.es/index.php?option=com_content&amp;view=article&amp;id=81</t>
  </si>
  <si>
    <t>05.01.04.002</t>
  </si>
  <si>
    <t>Claude Marbella</t>
  </si>
  <si>
    <t>https://turismo.marbella.es/index.php?option=com_content&amp;view=article&amp;id=82</t>
  </si>
  <si>
    <t>05.01.04.003</t>
  </si>
  <si>
    <t>36.484715, -4.977120</t>
  </si>
  <si>
    <t>Cr Nacional 340 Pk 172 0</t>
  </si>
  <si>
    <t>05.01.04.004</t>
  </si>
  <si>
    <t>Cortijo Boutique Marbella</t>
  </si>
  <si>
    <t>36.508384, -4.805628</t>
  </si>
  <si>
    <t>Calle Los Chopos Nº 264</t>
  </si>
  <si>
    <t>05.01.04.005</t>
  </si>
  <si>
    <t>Diverhotel Marbella</t>
  </si>
  <si>
    <t>36.498342, -4.801841</t>
  </si>
  <si>
    <t>Cr Ctra. N. 340 Km. 189 0</t>
  </si>
  <si>
    <t>05.01.04.006</t>
  </si>
  <si>
    <t>Doña Catalina</t>
  </si>
  <si>
    <t>36.486536, -4.988214</t>
  </si>
  <si>
    <t>Malaga, 5</t>
  </si>
  <si>
    <t>https://turismo.marbella.es/index.php?option=com_content&amp;view=article&amp;id=84</t>
  </si>
  <si>
    <t>05.01.04.007</t>
  </si>
  <si>
    <t>Globales Cortijo Blanco</t>
  </si>
  <si>
    <t>36.484858, -4.977712</t>
  </si>
  <si>
    <t>Calle Antonio Mingote</t>
  </si>
  <si>
    <t>https://turismo.marbella.es/index.php?option=com_content&amp;view=article&amp;id=86</t>
  </si>
  <si>
    <t>05.01.04.008</t>
  </si>
  <si>
    <t>Globales Pueblo Andaluz</t>
  </si>
  <si>
    <t>36.485507, -4.976708</t>
  </si>
  <si>
    <t>Cr Nacional 340.Pk.172 0</t>
  </si>
  <si>
    <t>05.01.04.009</t>
  </si>
  <si>
    <t>36.485214, -4.976604</t>
  </si>
  <si>
    <t>Calle Antonio Machado</t>
  </si>
  <si>
    <t>https://turismo.marbella.es/index.php?option=com_content&amp;view=article&amp;id=87</t>
  </si>
  <si>
    <t>05.01.04.010</t>
  </si>
  <si>
    <t>Hotel Monarque El Rodeo</t>
  </si>
  <si>
    <t>36.509221, -4.887142</t>
  </si>
  <si>
    <t>Calle Victor De La Serna Nº 66</t>
  </si>
  <si>
    <t>05.01.04.011</t>
  </si>
  <si>
    <t>Monarque El Rodeo</t>
  </si>
  <si>
    <t>36.509204, -4.887280</t>
  </si>
  <si>
    <t>Victor De La Serna, 66</t>
  </si>
  <si>
    <t>https://turismo.marbella.es/index.php?option=com_content&amp;view=article&amp;id=89</t>
  </si>
  <si>
    <t>05.01.04.012</t>
  </si>
  <si>
    <t>Nh San Pedro</t>
  </si>
  <si>
    <t>36.483634, -4.990289</t>
  </si>
  <si>
    <t>Jerez, 1</t>
  </si>
  <si>
    <t>05.01.04.013</t>
  </si>
  <si>
    <t>NH San Pedro de Alcántara</t>
  </si>
  <si>
    <t>36.483679, -4.989382</t>
  </si>
  <si>
    <t>Calle Jerez 1</t>
  </si>
  <si>
    <t>https://turismo.marbella.es/index.php?option=com_content&amp;view=article&amp;id=90</t>
  </si>
  <si>
    <t>05.01.04.014</t>
  </si>
  <si>
    <t>Only Me Hotels</t>
  </si>
  <si>
    <t>36.516235, -4.887760</t>
  </si>
  <si>
    <t>Av Trapiche 0</t>
  </si>
  <si>
    <t>05.01.04.015</t>
  </si>
  <si>
    <t>Sisu Boutique</t>
  </si>
  <si>
    <t>36.487065, -4.970584</t>
  </si>
  <si>
    <t>Ctra.Nac. 340. Km. 173</t>
  </si>
  <si>
    <t>05.01.04.016</t>
  </si>
  <si>
    <t>Villa San Francisco</t>
  </si>
  <si>
    <t>36.523983, -4.883896</t>
  </si>
  <si>
    <t>Finca San Francisco Parcela A</t>
  </si>
  <si>
    <t>https://turismo.marbella.es/index.php?option=com_content&amp;view=article&amp;id=94</t>
  </si>
  <si>
    <t>05.01.05</t>
  </si>
  <si>
    <t>Hoteles **</t>
  </si>
  <si>
    <t>Hoteles **.</t>
  </si>
  <si>
    <t>https://turismo.marbella.es/vive/alojamientos/hoteles-2e.html</t>
  </si>
  <si>
    <t>05.01.05.001</t>
  </si>
  <si>
    <t>Avenida</t>
  </si>
  <si>
    <t>36.481944, -4.976296</t>
  </si>
  <si>
    <t>Cl Las Margaritas 17</t>
  </si>
  <si>
    <t>05.01.05.002</t>
  </si>
  <si>
    <t>Avenida 31</t>
  </si>
  <si>
    <t>36.489362, -4.991339</t>
  </si>
  <si>
    <t>Hotel **, Admite mascotas Avda. Pablo Ruiz Picasso, 31 - 29670 San Pedro Alcántara</t>
  </si>
  <si>
    <t>https://turismo.marbella.es/index.php?option=com_content&amp;view=article&amp;id=95</t>
  </si>
  <si>
    <t>05.01.05.003</t>
  </si>
  <si>
    <t>Boutique Paloma Blanca</t>
  </si>
  <si>
    <t>36.487197, -4.990617</t>
  </si>
  <si>
    <t>Calle Pablo Picasso.Urbanizacion Cortijo Blanco. Nº 12-14</t>
  </si>
  <si>
    <t>www.palomablancahotel.com</t>
  </si>
  <si>
    <t>05.01.05.004</t>
  </si>
  <si>
    <t>Central</t>
  </si>
  <si>
    <t>36.509208, -4.881886</t>
  </si>
  <si>
    <t>Cl San Ramon 15</t>
  </si>
  <si>
    <t>https://turismo.marbella.es/index.php?option=com_content&amp;view=article&amp;id=96</t>
  </si>
  <si>
    <t>05.01.05.005</t>
  </si>
  <si>
    <t>Don Alfredo</t>
  </si>
  <si>
    <t>36.511519, -4.883730</t>
  </si>
  <si>
    <t>Portada</t>
  </si>
  <si>
    <t>05.01.05.006</t>
  </si>
  <si>
    <t>36.511563, -4.883839</t>
  </si>
  <si>
    <t>Hotel ** C/ Portada 11 - 29601 Marbella</t>
  </si>
  <si>
    <t>https://turismo.marbella.es/index.php?option=com_content&amp;view=article&amp;id=97</t>
  </si>
  <si>
    <t>05.01.05.007</t>
  </si>
  <si>
    <t>La Fonda Heritage Hotel</t>
  </si>
  <si>
    <t>36.512204, -4.885375</t>
  </si>
  <si>
    <t>Plaza Santo Cristo Nº 9-10</t>
  </si>
  <si>
    <t>05.01.05.008</t>
  </si>
  <si>
    <t>La Morada Mas Hermosa</t>
  </si>
  <si>
    <t>36.511680, -4.885228</t>
  </si>
  <si>
    <t>Montenebros, 16</t>
  </si>
  <si>
    <t>https://turismo.marbella.es/index.php?option=com_content&amp;view=article&amp;id=98</t>
  </si>
  <si>
    <t>05.01.05.009</t>
  </si>
  <si>
    <t>Linda Boutique Hotel Marbella</t>
  </si>
  <si>
    <t>36.512043, -4.885267</t>
  </si>
  <si>
    <t>Cl Ancha 21</t>
  </si>
  <si>
    <t>https://turismo.marbella.es/index.php?option=com_content&amp;view=article&amp;id=3787</t>
  </si>
  <si>
    <t>05.01.05.010</t>
  </si>
  <si>
    <t>Paloma Blanca Boutique Hotel</t>
  </si>
  <si>
    <t>36.482195, -4.976396</t>
  </si>
  <si>
    <t>Hotel ** C/ Pablo Picasso, 13. Urb. Cortijo Blanco - 29670 San Pedro Alcántara</t>
  </si>
  <si>
    <t>https://turismo.marbella.es/index.php?option=com_content&amp;view=article&amp;id=100</t>
  </si>
  <si>
    <t>05.01.05.011</t>
  </si>
  <si>
    <t>Santo Cristo</t>
  </si>
  <si>
    <t>36.511987, -4.884930</t>
  </si>
  <si>
    <t>Plaza Santo Cristo Nº 2</t>
  </si>
  <si>
    <t>https://turismo.marbella.es/index.php?option=com_content&amp;view=article&amp;id=3789</t>
  </si>
  <si>
    <t>05.01.05.012</t>
  </si>
  <si>
    <t>The Old House Marbella Hotel</t>
  </si>
  <si>
    <t>36.509680, -4.883131</t>
  </si>
  <si>
    <t>Hotel ** Plaza Altamirano, 1, 29601 Marbella.</t>
  </si>
  <si>
    <t>https://turismo.marbella.es/index.php?option=com_content&amp;view=article&amp;id=8139</t>
  </si>
  <si>
    <t>05.01.05.013</t>
  </si>
  <si>
    <t>The Touch Banús</t>
  </si>
  <si>
    <t>36.483137, -4.975245</t>
  </si>
  <si>
    <t>Calle Vicente Alexandre Nº 2</t>
  </si>
  <si>
    <t>https://turismo.marbella.es/index.php?option=com_content&amp;view=article&amp;id=101</t>
  </si>
  <si>
    <t>05.01.06</t>
  </si>
  <si>
    <t>Hoteles *</t>
  </si>
  <si>
    <t>Hoteles *.</t>
  </si>
  <si>
    <t>https://turismo.marbella.es/vive/alojamientos/hoteles-1e.html</t>
  </si>
  <si>
    <t>05.01.06.001</t>
  </si>
  <si>
    <t>Finlandia</t>
  </si>
  <si>
    <t>36.508888, -4.888887</t>
  </si>
  <si>
    <t>Cl Finlandia 12</t>
  </si>
  <si>
    <t>https://turismo.marbella.es/index.php?option=com_content&amp;view=article&amp;id=103</t>
  </si>
  <si>
    <t>05.01.06.002</t>
  </si>
  <si>
    <t>Kuve</t>
  </si>
  <si>
    <t>36.513727, -4.868936</t>
  </si>
  <si>
    <t>Platino S/N</t>
  </si>
  <si>
    <t>https://turismo.marbella.es/index.php?option=com_content&amp;view=article&amp;id=5963</t>
  </si>
  <si>
    <t>05.01.06.003</t>
  </si>
  <si>
    <t>La Villa Marbella</t>
  </si>
  <si>
    <t>36.511757, -4.884703</t>
  </si>
  <si>
    <t>Principe, 10</t>
  </si>
  <si>
    <t>https://turismo.marbella.es/index.php?option=com_content&amp;view=article&amp;id=104</t>
  </si>
  <si>
    <t>05.01.06.004</t>
  </si>
  <si>
    <t>Le Cle Boutique</t>
  </si>
  <si>
    <t>36.511598, -4.885325</t>
  </si>
  <si>
    <t>Calle Ancha Nº 15</t>
  </si>
  <si>
    <t>05.01.06.005</t>
  </si>
  <si>
    <t>Nagueles</t>
  </si>
  <si>
    <t>36.522136, -4.924657</t>
  </si>
  <si>
    <t>Cr N 340 K 176.500 0</t>
  </si>
  <si>
    <t>05.01.06.006</t>
  </si>
  <si>
    <t>Sierra Blanca Resort</t>
  </si>
  <si>
    <t>36.522792, -4.920382</t>
  </si>
  <si>
    <t>Urbanizacion Nagueles - Campanillas Nº 9 Calif.Nº A</t>
  </si>
  <si>
    <t>https://turismo.marbella.es/index.php?option=com_content&amp;view=article&amp;id=5088</t>
  </si>
  <si>
    <t>05.01.06.007</t>
  </si>
  <si>
    <t>Sunnydom</t>
  </si>
  <si>
    <t>36.492683, -4.786291</t>
  </si>
  <si>
    <t>Av Jose Ribera 1</t>
  </si>
  <si>
    <t>05.01.06.008</t>
  </si>
  <si>
    <t>The Old House Marbella</t>
  </si>
  <si>
    <t>36.509564, -4.883150</t>
  </si>
  <si>
    <t>Plaza Altamirano Nº 1</t>
  </si>
  <si>
    <t>05.01.07</t>
  </si>
  <si>
    <t>Hoteles Apto. ****</t>
  </si>
  <si>
    <t>Hoteles apartamento ****.</t>
  </si>
  <si>
    <t>https://turismo.marbella.es/vive/alojamientos/hoteles-apartamento-4e.html</t>
  </si>
  <si>
    <t>05.01.07.001</t>
  </si>
  <si>
    <t>Apartahotel Monarque Sultan</t>
  </si>
  <si>
    <t>36.509191, -4.900959</t>
  </si>
  <si>
    <t>Calle Arturo Rubinstein Nº 1 Blq. 1</t>
  </si>
  <si>
    <t>05.01.07.002</t>
  </si>
  <si>
    <t>Aparthotel Monarque Sultán</t>
  </si>
  <si>
    <t>36.509284, -4.900843</t>
  </si>
  <si>
    <t>Cl Arturo Rubenstein 0</t>
  </si>
  <si>
    <t>https://turismo.marbella.es/index.php?option=com_content&amp;view=article&amp;id=80</t>
  </si>
  <si>
    <t>05.01.07.003</t>
  </si>
  <si>
    <t>Benabola Hotel &amp;  Apartments</t>
  </si>
  <si>
    <t>36.485168, -4.954458</t>
  </si>
  <si>
    <t>Paseo De Benabola, Bl.Iii, Bajo</t>
  </si>
  <si>
    <t>05.01.07.004</t>
  </si>
  <si>
    <t>Benabola Hotel &amp; Apartaments HA</t>
  </si>
  <si>
    <t>36.485408, -4.954540</t>
  </si>
  <si>
    <t>Calle de Benabola 3</t>
  </si>
  <si>
    <t>https://turismo.marbella.es/index.php?option=com_content&amp;view=article&amp;id=72</t>
  </si>
  <si>
    <t>05.01.07.005</t>
  </si>
  <si>
    <t>Occidental Puerto Banús</t>
  </si>
  <si>
    <t>36.488920, -4.955434</t>
  </si>
  <si>
    <t>Avenida Rotary Internacional</t>
  </si>
  <si>
    <t>https://turismo.marbella.es/index.php?option=com_content&amp;view=article&amp;id=91</t>
  </si>
  <si>
    <t>05.01.07.006</t>
  </si>
  <si>
    <t>Ona Princesa Playa HA</t>
  </si>
  <si>
    <t>36.507355, -4.883006</t>
  </si>
  <si>
    <t>Paseo Maritimo</t>
  </si>
  <si>
    <t>https://turismo.marbella.es/index.php?option=com_content&amp;view=article&amp;id=75</t>
  </si>
  <si>
    <t>05.01.07.007</t>
  </si>
  <si>
    <t>Princesa Playa</t>
  </si>
  <si>
    <t>36.507162, -4.882562</t>
  </si>
  <si>
    <t>Cl Duque De Ahumada 0</t>
  </si>
  <si>
    <t>05.01.07.008</t>
  </si>
  <si>
    <t>Vime La Reserva de Marbella HA</t>
  </si>
  <si>
    <t>36.495791, -4.750887</t>
  </si>
  <si>
    <t>Ctra.Nal.340. Km. 193,6</t>
  </si>
  <si>
    <t>https://turismo.marbella.es/index.php?option=com_content&amp;view=article&amp;id=79</t>
  </si>
  <si>
    <t>05.01.08</t>
  </si>
  <si>
    <t>Hoteles Apto. ***</t>
  </si>
  <si>
    <t>Hoteles apartamento ***.</t>
  </si>
  <si>
    <t>https://turismo.marbella.es/vive/alojamientos/hoteles-apto.html</t>
  </si>
  <si>
    <t>05.01.08.001</t>
  </si>
  <si>
    <t>El Faro Marbella HA</t>
  </si>
  <si>
    <t>36.508545, -4.890204</t>
  </si>
  <si>
    <t>Virgen Del Pilar, 11</t>
  </si>
  <si>
    <t>https://turismo.marbella.es/index.php?option=com_content&amp;view=article&amp;id=85</t>
  </si>
  <si>
    <t>05.01.08.002</t>
  </si>
  <si>
    <t>Golden Mile Beach Resort</t>
  </si>
  <si>
    <t>36.497539, -4.942280</t>
  </si>
  <si>
    <t>Urb. Coral  Beach, Km. 176</t>
  </si>
  <si>
    <t>05.01.08.003</t>
  </si>
  <si>
    <t>Marbella Village</t>
  </si>
  <si>
    <t>36.511860, -4.885848</t>
  </si>
  <si>
    <t>Calle Aduar, 25,27 Nº -</t>
  </si>
  <si>
    <t>05.01.08.004</t>
  </si>
  <si>
    <t>Ona Marbella Inn</t>
  </si>
  <si>
    <t>36.510957, -4.889535</t>
  </si>
  <si>
    <t>Cl Jacinto Benavente 0Bl.6.Edif.Marbella Inn</t>
  </si>
  <si>
    <t>https://turismo.marbella.es/index.php?option=com_content&amp;view=article&amp;id=88</t>
  </si>
  <si>
    <t>05.01.09</t>
  </si>
  <si>
    <t>Hostales **</t>
  </si>
  <si>
    <t>Hostales **.</t>
  </si>
  <si>
    <t>https://turismo.marbella.es/vive/alojamientos/hostales-2e.html</t>
  </si>
  <si>
    <t>05.01.09.001</t>
  </si>
  <si>
    <t>Daos</t>
  </si>
  <si>
    <t>36.512338, -4.870161</t>
  </si>
  <si>
    <t>Calle Pirita Nº 32</t>
  </si>
  <si>
    <t>05.01.09.002</t>
  </si>
  <si>
    <t>Galea Centro</t>
  </si>
  <si>
    <t>36.486668, -4.988879</t>
  </si>
  <si>
    <t>Cl Dependiente 2</t>
  </si>
  <si>
    <t>https://turismo.marbella.es/index.php?option=com_content&amp;view=article&amp;id=167</t>
  </si>
  <si>
    <t>05.01.09.003</t>
  </si>
  <si>
    <t>Plaza</t>
  </si>
  <si>
    <t>36.485739, -4.988283</t>
  </si>
  <si>
    <t>Cl Juan Ramon Jimenez 21</t>
  </si>
  <si>
    <t>05.01.09.004</t>
  </si>
  <si>
    <t>San Felipe</t>
  </si>
  <si>
    <t>36.490814, -4.989363</t>
  </si>
  <si>
    <t xml:space="preserve">Galicia </t>
  </si>
  <si>
    <t>https://turismo.marbella.es/index.php?option=com_content&amp;view=article&amp;id=169</t>
  </si>
  <si>
    <t>05.01.09.005</t>
  </si>
  <si>
    <t>The Town House</t>
  </si>
  <si>
    <t>36.509279, -4.883885</t>
  </si>
  <si>
    <t>Cl Alderete 7 0</t>
  </si>
  <si>
    <t>05.01.09.006</t>
  </si>
  <si>
    <t>36.509173, -4.883805</t>
  </si>
  <si>
    <t>Calle de Alderete 7</t>
  </si>
  <si>
    <t>https://turismo.marbella.es/index.php?option=com_content&amp;view=article&amp;id=170</t>
  </si>
  <si>
    <t>05.01.10</t>
  </si>
  <si>
    <t>Hostales *</t>
  </si>
  <si>
    <t>Hostales *.</t>
  </si>
  <si>
    <t>https://turismo.marbella.es/vive/alojamientos/hostales-1e.html</t>
  </si>
  <si>
    <t>05.01.10.001</t>
  </si>
  <si>
    <t xml:space="preserve"> La Luna</t>
  </si>
  <si>
    <t>36.509144, -4.881393</t>
  </si>
  <si>
    <t>Cl Luna 7</t>
  </si>
  <si>
    <t>05.01.10.002</t>
  </si>
  <si>
    <t>Acemar</t>
  </si>
  <si>
    <t>36.485962, -4.988709</t>
  </si>
  <si>
    <t>Cl Juan Ramon Jimenez 20</t>
  </si>
  <si>
    <t>https://turismo.marbella.es/index.php?option=com_content&amp;view=article&amp;id=172</t>
  </si>
  <si>
    <t>05.01.10.003</t>
  </si>
  <si>
    <t>Alisol Boutique San Pedro</t>
  </si>
  <si>
    <t>36.486254, -4.989054</t>
  </si>
  <si>
    <t>Calle 19 De Octubre Nº 12</t>
  </si>
  <si>
    <t>https://turismo.marbella.es/index.php?option=com_content&amp;view=article&amp;id=102</t>
  </si>
  <si>
    <t>05.01.10.004</t>
  </si>
  <si>
    <t>Berlín</t>
  </si>
  <si>
    <t>36.509011, -4.881945</t>
  </si>
  <si>
    <t>Cl San Ramon 21</t>
  </si>
  <si>
    <t>https://turismo.marbella.es/index.php?option=com_content&amp;view=article&amp;id=178</t>
  </si>
  <si>
    <t>05.01.10.005</t>
  </si>
  <si>
    <t>El Caprichito Marbella</t>
  </si>
  <si>
    <t>36.509026, -4.882223</t>
  </si>
  <si>
    <t>Calle San Cristobal Nº 17</t>
  </si>
  <si>
    <t>https://turismo.marbella.es/index.php?option=com_content&amp;view=article&amp;id=2303</t>
  </si>
  <si>
    <t>05.01.10.006</t>
  </si>
  <si>
    <t>El Gallo</t>
  </si>
  <si>
    <t>36.512870, -4.884753</t>
  </si>
  <si>
    <t>Lobatas, 46</t>
  </si>
  <si>
    <t>https://turismo.marbella.es/index.php?option=com_content&amp;view=article&amp;id=179</t>
  </si>
  <si>
    <t>05.01.10.007</t>
  </si>
  <si>
    <t>El Labrador</t>
  </si>
  <si>
    <t>36.485219, -4.987239</t>
  </si>
  <si>
    <t>Cl Pepe Osorio 36</t>
  </si>
  <si>
    <t>https://turismo.marbella.es/index.php?option=com_content&amp;view=article&amp;id=182</t>
  </si>
  <si>
    <t>05.01.10.008</t>
  </si>
  <si>
    <t>El Molino</t>
  </si>
  <si>
    <t>36.489354, -4.992367</t>
  </si>
  <si>
    <t>Av Pablo Ruiz Picasso 35</t>
  </si>
  <si>
    <t>https://turismo.marbella.es/index.php?option=com_content&amp;view=article&amp;id=183</t>
  </si>
  <si>
    <t>05.01.10.009</t>
  </si>
  <si>
    <t>El Tío Mateo</t>
  </si>
  <si>
    <t>36.509463, -4.865800</t>
  </si>
  <si>
    <t>Cl Las Albarizas, Arroyo Segund 0</t>
  </si>
  <si>
    <t>https://turismo.marbella.es/index.php?option=com_content&amp;view=article&amp;id=192</t>
  </si>
  <si>
    <t>05.01.10.010</t>
  </si>
  <si>
    <t>Enriqueta</t>
  </si>
  <si>
    <t>36.510590, -4.885734</t>
  </si>
  <si>
    <t>Cl Los Caballeros 18</t>
  </si>
  <si>
    <t>https://turismo.marbella.es/index.php?option=com_content&amp;view=article&amp;id=193</t>
  </si>
  <si>
    <t>05.01.10.011</t>
  </si>
  <si>
    <t>González</t>
  </si>
  <si>
    <t>36.487309, -4.989159</t>
  </si>
  <si>
    <t>Dependientes 4- 4ª Planta</t>
  </si>
  <si>
    <t>https://turismo.marbella.es/index.php?option=com_content&amp;view=article&amp;id=184</t>
  </si>
  <si>
    <t>05.01.10.012</t>
  </si>
  <si>
    <t>Hostal Alisol</t>
  </si>
  <si>
    <t>36.508945, -4.882133</t>
  </si>
  <si>
    <t>Calle San Cristóbal Nº 17-19</t>
  </si>
  <si>
    <t>05.01.10.013</t>
  </si>
  <si>
    <t>Hostal Casa Postigos</t>
  </si>
  <si>
    <t>36.512886, -4.884513</t>
  </si>
  <si>
    <t>Calle Postigos Nº 21 Compl.Dom. Bajo</t>
  </si>
  <si>
    <t>https://turismo.marbella.es/index.php?option=com_content&amp;view=article&amp;id=8167</t>
  </si>
  <si>
    <t>05.01.10.014</t>
  </si>
  <si>
    <t>Hostal Tak</t>
  </si>
  <si>
    <t>36.508362, -4.881767</t>
  </si>
  <si>
    <t>Calle San Ramon Nº 41</t>
  </si>
  <si>
    <t>05.01.10.015</t>
  </si>
  <si>
    <t>La Colonia</t>
  </si>
  <si>
    <t>36.486591, -4.987995</t>
  </si>
  <si>
    <t>Av. Oriental, 18</t>
  </si>
  <si>
    <t>https://turismo.marbella.es/index.php?option=com_content&amp;view=article&amp;id=186</t>
  </si>
  <si>
    <t>05.01.10.016</t>
  </si>
  <si>
    <t>La Estrella</t>
  </si>
  <si>
    <t>36.508338, -4.882208</t>
  </si>
  <si>
    <t>Cl San Cristobal 36</t>
  </si>
  <si>
    <t>https://turismo.marbella.es/index.php?option=com_content&amp;view=article&amp;id=212</t>
  </si>
  <si>
    <t>05.01.10.017</t>
  </si>
  <si>
    <t>La Pilarica</t>
  </si>
  <si>
    <t>36.508489, -4.882170</t>
  </si>
  <si>
    <t>Cl San Cristobal 31</t>
  </si>
  <si>
    <t>05.01.10.018</t>
  </si>
  <si>
    <t>36.508612, -4.882129</t>
  </si>
  <si>
    <t>Hostal * C/ San Cristóbal, 31 - 29601 Marbella</t>
  </si>
  <si>
    <t>https://turismo.marbella.es/index.php?option=com_content&amp;view=article&amp;id=216</t>
  </si>
  <si>
    <t>05.01.10.019</t>
  </si>
  <si>
    <t>Lucero 12</t>
  </si>
  <si>
    <t>36.508869, -4.880997</t>
  </si>
  <si>
    <t>Calle Lucero Nº 12</t>
  </si>
  <si>
    <t>https://turismo.marbella.es/index.php?option=com_content&amp;view=article&amp;id=218</t>
  </si>
  <si>
    <t>05.01.10.020</t>
  </si>
  <si>
    <t>Luz House Marbella</t>
  </si>
  <si>
    <t>36.512673, -4.885412</t>
  </si>
  <si>
    <t>Calle Leganitos Nº 1</t>
  </si>
  <si>
    <t>05.01.10.021</t>
  </si>
  <si>
    <t>Paco</t>
  </si>
  <si>
    <t>36.510580, -4.886281</t>
  </si>
  <si>
    <t>Cl Peral 16 0</t>
  </si>
  <si>
    <t>https://turismo.marbella.es/index.php?option=com_content&amp;view=article&amp;id=219</t>
  </si>
  <si>
    <t>05.01.10.022</t>
  </si>
  <si>
    <t>San Ramón</t>
  </si>
  <si>
    <t>36.508884, -4.881786</t>
  </si>
  <si>
    <t>C/ San Ramon, N°25</t>
  </si>
  <si>
    <t>https://turismo.marbella.es/index.php?option=com_content&amp;view=article&amp;id=221</t>
  </si>
  <si>
    <t>05.01.10.023</t>
  </si>
  <si>
    <t>Santa Calma</t>
  </si>
  <si>
    <t>36.485701, -4.988328</t>
  </si>
  <si>
    <t>Calle Juan Ramon Jimenez Nº 21</t>
  </si>
  <si>
    <t>https://turismo.marbella.es/index.php?option=com_content&amp;view=article&amp;id=6884</t>
  </si>
  <si>
    <t>05.01.10.024</t>
  </si>
  <si>
    <t>Selecta Marbella Sentire Apartaments</t>
  </si>
  <si>
    <t>36.509417, -4.884480</t>
  </si>
  <si>
    <t>Calle San Juan De Dios Nº 3</t>
  </si>
  <si>
    <t>https://turismo.marbella.es/index.php?option=com_content&amp;view=article&amp;id=8136</t>
  </si>
  <si>
    <t>05.01.10.025</t>
  </si>
  <si>
    <t>The Courtyard Marbella</t>
  </si>
  <si>
    <t>36.528352, -4.882129</t>
  </si>
  <si>
    <t>Calle Princesa Nº 6</t>
  </si>
  <si>
    <t>05.01.10.026</t>
  </si>
  <si>
    <t>Villa El Olivar Marbella</t>
  </si>
  <si>
    <t>36.514018, -4.857481</t>
  </si>
  <si>
    <t>Calle Narcisos - Real Panorama Nº 154 Compl.Dom. El Olivar</t>
  </si>
  <si>
    <t>https://turismo.marbella.es/index.php?option=com_content&amp;view=article&amp;id=3785</t>
  </si>
  <si>
    <t>05.01.11</t>
  </si>
  <si>
    <t>Pensiones</t>
  </si>
  <si>
    <t>Pensiones.</t>
  </si>
  <si>
    <t>https://turismo.marbella.es/vive/alojamientos/pensiones.html</t>
  </si>
  <si>
    <t>05.01.11.001</t>
  </si>
  <si>
    <t>Alicia</t>
  </si>
  <si>
    <t>36.483791, -4.987420</t>
  </si>
  <si>
    <t>Pensión, Admite mascotas C/ Jaén, 13. 29670 San Pedro Alcántara</t>
  </si>
  <si>
    <t>https://turismo.marbella.es/index.php?option=com_content&amp;view=article&amp;id=240</t>
  </si>
  <si>
    <t>05.01.11.002</t>
  </si>
  <si>
    <t>Aranda</t>
  </si>
  <si>
    <t>36.518403, -4.885155</t>
  </si>
  <si>
    <t>Cl Fernando El Catolico 9</t>
  </si>
  <si>
    <t>05.01.11.003</t>
  </si>
  <si>
    <t>Bluebelle</t>
  </si>
  <si>
    <t>36.502182, -4.930946</t>
  </si>
  <si>
    <t>Cr Cadiz K 184.700 0</t>
  </si>
  <si>
    <t>05.01.11.004</t>
  </si>
  <si>
    <t>Bohemia</t>
  </si>
  <si>
    <t>36.510265, -4.881902</t>
  </si>
  <si>
    <t>Peñuelas 12</t>
  </si>
  <si>
    <t>05.01.11.005</t>
  </si>
  <si>
    <t>Boutique Princesa</t>
  </si>
  <si>
    <t>36.511817, -4.885271</t>
  </si>
  <si>
    <t>Cl Princesa 2</t>
  </si>
  <si>
    <t>https://turismo.marbella.es/index.php?option=com_content&amp;view=article&amp;id=6874</t>
  </si>
  <si>
    <t>05.01.11.006</t>
  </si>
  <si>
    <t>Casa Dalia Marbella</t>
  </si>
  <si>
    <t>36.507614, -4.917998</t>
  </si>
  <si>
    <t>Pensión Av. Bulevar Príncipe Alfonso de Hohenlohe - Km. 179, 29602 Marbella</t>
  </si>
  <si>
    <t>https://turismo.marbella.es/index.php?option=com_content&amp;view=article&amp;id=241</t>
  </si>
  <si>
    <t>05.01.11.007</t>
  </si>
  <si>
    <t>Casa Vargas</t>
  </si>
  <si>
    <t>36.486328, -4.988873</t>
  </si>
  <si>
    <t>C/ 19 De Octubre, Nº. 3</t>
  </si>
  <si>
    <t>https://turismo.marbella.es/index.php?option=com_content&amp;view=article&amp;id=242</t>
  </si>
  <si>
    <t>05.01.11.008</t>
  </si>
  <si>
    <t>Figueredo</t>
  </si>
  <si>
    <t>36.510839, -4.886830</t>
  </si>
  <si>
    <t>Cl Haza Del Meson 9</t>
  </si>
  <si>
    <t>05.01.11.009</t>
  </si>
  <si>
    <t>Fonda Marbella</t>
  </si>
  <si>
    <t>36.499814, -4.939148</t>
  </si>
  <si>
    <t>Ur Oasis-Villa Salma 35</t>
  </si>
  <si>
    <t>05.01.11.010</t>
  </si>
  <si>
    <t>Guerra</t>
  </si>
  <si>
    <t>36.507840, -4.882157</t>
  </si>
  <si>
    <t>Cl Llanos San Ramon 2</t>
  </si>
  <si>
    <t>https://turismo.marbella.es/index.php?option=com_content&amp;view=article&amp;id=243</t>
  </si>
  <si>
    <t>05.01.11.011</t>
  </si>
  <si>
    <t>Isabel De Pacheco</t>
  </si>
  <si>
    <t>36.508477, -4.881452</t>
  </si>
  <si>
    <t>Cl La Luna 24</t>
  </si>
  <si>
    <t>05.01.11.012</t>
  </si>
  <si>
    <t>Juan</t>
  </si>
  <si>
    <t>36.508592, -4.881607</t>
  </si>
  <si>
    <t>Cl Luna 18</t>
  </si>
  <si>
    <t>https://turismo.marbella.es/index.php?option=com_content&amp;view=article&amp;id=226</t>
  </si>
  <si>
    <t>05.01.11.013</t>
  </si>
  <si>
    <t>Las Palmeras</t>
  </si>
  <si>
    <t>36.509685, -4.808027</t>
  </si>
  <si>
    <t>Urbanizacion El Rosario. Calle Los Olivos 239</t>
  </si>
  <si>
    <t>05.01.11.014</t>
  </si>
  <si>
    <t>Lofeda</t>
  </si>
  <si>
    <t>36.512206, -4.879936</t>
  </si>
  <si>
    <t>Cl El Cangrejo.P.Pescadores .Urb.Arroyo Segundo</t>
  </si>
  <si>
    <t>05.01.11.015</t>
  </si>
  <si>
    <t>Munich</t>
  </si>
  <si>
    <t>36.508903, -4.890289</t>
  </si>
  <si>
    <t>Cl Virgen Del Pilar 5 0</t>
  </si>
  <si>
    <t>05.01.11.016</t>
  </si>
  <si>
    <t>Pensión Aduar Marbella</t>
  </si>
  <si>
    <t>36.511160, -4.885724</t>
  </si>
  <si>
    <t>Cl Aduar 7</t>
  </si>
  <si>
    <t>https://turismo.marbella.es/index.php?option=com_content&amp;view=article&amp;id=239</t>
  </si>
  <si>
    <t>05.01.11.017</t>
  </si>
  <si>
    <t>San Francisco</t>
  </si>
  <si>
    <t>36.516975, -4.884597</t>
  </si>
  <si>
    <t>Av Arias Velasco,Cjo Marbella 0</t>
  </si>
  <si>
    <t>05.01.11.018</t>
  </si>
  <si>
    <t>Sanchez</t>
  </si>
  <si>
    <t>36.485260, -4.987604</t>
  </si>
  <si>
    <t>Cl Pepe Osorio 32</t>
  </si>
  <si>
    <t>05.01.11.019</t>
  </si>
  <si>
    <t>Somma Confort Stay</t>
  </si>
  <si>
    <t>36.483766, -4.987460</t>
  </si>
  <si>
    <t>Calle Jaén Nº 13</t>
  </si>
  <si>
    <t>https://turismo.marbella.es/index.php?option=com_content&amp;view=article&amp;id=8168</t>
  </si>
  <si>
    <t>05.01.11.020</t>
  </si>
  <si>
    <t>The Marbella Heights</t>
  </si>
  <si>
    <t>36.516159, -4.857249</t>
  </si>
  <si>
    <t>Calle Balcon Del Golf, Urbanizacion Rio Real Nº 97</t>
  </si>
  <si>
    <t>05.01.11.021</t>
  </si>
  <si>
    <t>The Marbella Heights Boutique</t>
  </si>
  <si>
    <t>36.515008, -4.839060</t>
  </si>
  <si>
    <t>Pensión, Admite mascotas Urb. Río Real, parc. 97 Balcon del Golf- 29603 Marbella</t>
  </si>
  <si>
    <t>https://turismo.marbella.es/index.php?option=com_content&amp;view=article&amp;id=245</t>
  </si>
  <si>
    <t>05.01.11.022</t>
  </si>
  <si>
    <t>The Monkey Room</t>
  </si>
  <si>
    <t>36.510856, -4.885829</t>
  </si>
  <si>
    <t>Cl Mesoncillo 4</t>
  </si>
  <si>
    <t>https://turismo.marbella.es/index.php?option=com_content&amp;view=article&amp;id=244</t>
  </si>
  <si>
    <t>05.01.11.023</t>
  </si>
  <si>
    <t>Tribeca</t>
  </si>
  <si>
    <t>36.511545, -4.884925</t>
  </si>
  <si>
    <t>Calle Montenebro Nº 5 Pta/Letra A</t>
  </si>
  <si>
    <t>https://turismo.marbella.es/index.php?option=com_content&amp;view=article&amp;id=246</t>
  </si>
  <si>
    <t>05.01.11.024</t>
  </si>
  <si>
    <t>Villa Tiphareth</t>
  </si>
  <si>
    <t>36.514069, -4.858069</t>
  </si>
  <si>
    <t>Urb. El Real Panorama.C/ Narcisos, 151</t>
  </si>
  <si>
    <t>https://turismo.marbella.es/index.php?option=com_content&amp;view=article&amp;id=247</t>
  </si>
  <si>
    <t>05.02</t>
  </si>
  <si>
    <t>Apartamentos turísticos</t>
  </si>
  <si>
    <t>05.02.01</t>
  </si>
  <si>
    <t>AT 4 llaves</t>
  </si>
  <si>
    <t>Apartamentos turísticos de 4 llaves.</t>
  </si>
  <si>
    <t>https://turismo.marbella.es/vive/alojamientos/at-4-llaves.html</t>
  </si>
  <si>
    <t>05.02.01.001</t>
  </si>
  <si>
    <t>Ona Alanda Club Marbella</t>
  </si>
  <si>
    <t>36.493390, -4.774692</t>
  </si>
  <si>
    <t>Km 192 N-340</t>
  </si>
  <si>
    <t>https://turismo.marbella.es/index.php?option=com_content&amp;view=article&amp;id=248</t>
  </si>
  <si>
    <t>05.02.02</t>
  </si>
  <si>
    <t>AT 3 llaves</t>
  </si>
  <si>
    <t>Apartamentos turísticos de 3 llaves.</t>
  </si>
  <si>
    <t>https://turismo.marbella.es/vive/alojamientos/at-3-llaves.html</t>
  </si>
  <si>
    <t>05.02.02.001</t>
  </si>
  <si>
    <t>Dreams of Marbella</t>
  </si>
  <si>
    <t>36.509803, -4.884626</t>
  </si>
  <si>
    <t>Calle Alamo Nº 3</t>
  </si>
  <si>
    <t>https://turismo.marbella.es/index.php?option=com_content&amp;view=article&amp;id=3793</t>
  </si>
  <si>
    <t>05.02.02.002</t>
  </si>
  <si>
    <t>Jardines de las Golondrinas</t>
  </si>
  <si>
    <t>36.491359, -4.773838</t>
  </si>
  <si>
    <t>A-7, km 1033 - Jardines de las Golondrinas (Elviria) 29604 Marbella</t>
  </si>
  <si>
    <t>https://turismo.marbella.es/index.php?option=com_content&amp;view=article&amp;id=250</t>
  </si>
  <si>
    <t>05.02.02.003</t>
  </si>
  <si>
    <t>36.473311, -4.989154</t>
  </si>
  <si>
    <t>Urb. Linda Vista Baja - 29670 San Pedro Alcántara</t>
  </si>
  <si>
    <t>https://turismo.marbella.es/index.php?option=com_content&amp;view=article&amp;id=251</t>
  </si>
  <si>
    <t>05.02.02.004</t>
  </si>
  <si>
    <t>Marriot´s Marbella Beach Resort</t>
  </si>
  <si>
    <t>36.491422, -4.770422</t>
  </si>
  <si>
    <t>Urb. Marbella del Este A7, km 1032 29604 Marbella</t>
  </si>
  <si>
    <t>https://turismo.marbella.es/index.php?option=com_content&amp;view=article&amp;id=252</t>
  </si>
  <si>
    <t>05.02.02.005</t>
  </si>
  <si>
    <t>Park Plaza Suites</t>
  </si>
  <si>
    <t>36.486132, -4.955616</t>
  </si>
  <si>
    <t>Pasaje Marítimo de Benabola - 29660 Puerto Banús</t>
  </si>
  <si>
    <t>https://turismo.marbella.es/index.php?option=com_content&amp;view=article&amp;id=254</t>
  </si>
  <si>
    <t>05.02.02.006</t>
  </si>
  <si>
    <t>Puerto Azul</t>
  </si>
  <si>
    <t>36.507711, -4.894039</t>
  </si>
  <si>
    <t>C/ Camilo José Cela, 3 - 29602 Marbella</t>
  </si>
  <si>
    <t>https://turismo.marbella.es/index.php?option=com_content&amp;view=article&amp;id=256</t>
  </si>
  <si>
    <t>05.02.02.007</t>
  </si>
  <si>
    <t>Vasari Vacation Resort</t>
  </si>
  <si>
    <t>36.496493, -4.956861</t>
  </si>
  <si>
    <t>Admite mascotas Urb. La Alzambra. Edif. Vasari Centre - 29660 Puerto Banús</t>
  </si>
  <si>
    <t>https://turismo.marbella.es/index.php?option=com_content&amp;view=article&amp;id=257</t>
  </si>
  <si>
    <t>05.02.02.008</t>
  </si>
  <si>
    <t>Villa Siempre Domingo</t>
  </si>
  <si>
    <t>36.491607, -4.761062</t>
  </si>
  <si>
    <t>Urbanizacion Coto Correa Nº Sn</t>
  </si>
  <si>
    <t>https://turismo.marbella.es/index.php?option=com_content&amp;view=article&amp;id=6886</t>
  </si>
  <si>
    <t>05.02.03</t>
  </si>
  <si>
    <t>AT 2 llaves</t>
  </si>
  <si>
    <t>Apartamentos turísticos de 2 llaves.</t>
  </si>
  <si>
    <t>https://turismo.marbella.es/vive/alojamientos/at-2-llaves.html</t>
  </si>
  <si>
    <t>05.02.03.001</t>
  </si>
  <si>
    <t>Apartments Marbella Center By Coral Beach</t>
  </si>
  <si>
    <t>36.507292, -4.900617</t>
  </si>
  <si>
    <t>Urbanizacion Coral Beach Carretera Nacional 340 Km 176</t>
  </si>
  <si>
    <t>05.02.03.002</t>
  </si>
  <si>
    <t>Aqua Apartments Bellamar</t>
  </si>
  <si>
    <t>36.509651, -4.874405</t>
  </si>
  <si>
    <t>Avenida Severo Ochoa Nº 53</t>
  </si>
  <si>
    <t>https://turismo.marbella.es/index.php?option=com_content&amp;view=article&amp;id=4437</t>
  </si>
  <si>
    <t>05.02.03.003</t>
  </si>
  <si>
    <t>Aqua Apartments Vento</t>
  </si>
  <si>
    <t>36.480894, -4.987194</t>
  </si>
  <si>
    <t>Calle Juan Antonio De Torquemada Nº 2 Compl.Dom. Los Arqueros Beach Portal 7</t>
  </si>
  <si>
    <t>aquaapartmentsmarbella.com</t>
  </si>
  <si>
    <t>05.02.03.004</t>
  </si>
  <si>
    <t>Aqua Apartments Vento Marbella</t>
  </si>
  <si>
    <t>36.480871, -4.987249</t>
  </si>
  <si>
    <t>Avenida Juan Antonio De Torquemada Nº 2 Compl.Dom. Los Arqueros Beach Portal 7</t>
  </si>
  <si>
    <t>https://turismo.marbella.es/index.php?option=com_content&amp;view=article&amp;id=267</t>
  </si>
  <si>
    <t>05.02.03.005</t>
  </si>
  <si>
    <t>Banana Beach Marbella</t>
  </si>
  <si>
    <t>36.508796, -4.866704</t>
  </si>
  <si>
    <t>C/ Tales de Mileto, 1 - 29603 Marbella</t>
  </si>
  <si>
    <t>https://turismo.marbella.es/index.php?option=com_content&amp;view=article&amp;id=268</t>
  </si>
  <si>
    <t>05.02.03.006</t>
  </si>
  <si>
    <t>Benajeca Los Naranjos  La Dama</t>
  </si>
  <si>
    <t>36.506796, -4.952321</t>
  </si>
  <si>
    <t>Urbanizacion Los Naranjos De Marbella Nº 1 Pta/Letra 12</t>
  </si>
  <si>
    <t>https://turismo.marbella.es/index.php?option=com_content&amp;view=article&amp;id=2397</t>
  </si>
  <si>
    <t>05.02.03.007</t>
  </si>
  <si>
    <t>Benajeca Medina Garden</t>
  </si>
  <si>
    <t>36.486995, -4.961195</t>
  </si>
  <si>
    <t>Urbanizacion Medina Garden Nº 1 Plta/Piso 1 Pta/Letra 2 Compl.Dom. Puerto Jose Banus</t>
  </si>
  <si>
    <t>https://turismo.marbella.es/index.php?option=com_content&amp;view=article&amp;id=2399</t>
  </si>
  <si>
    <t>05.02.03.008</t>
  </si>
  <si>
    <t>Benajeca Myramar Banús</t>
  </si>
  <si>
    <t>36.487651, -4.955627</t>
  </si>
  <si>
    <t>Urbanizacion Jardines Del Puerto Pta/Letra 521 Compl.Dom. Puerto Jose Banus</t>
  </si>
  <si>
    <t>https://turismo.marbella.es/index.php?option=com_content&amp;view=article&amp;id=2401</t>
  </si>
  <si>
    <t>05.02.03.009</t>
  </si>
  <si>
    <t>36.498386, -4.943575</t>
  </si>
  <si>
    <t>Admite mascotas Urb. Lomas de Río Verde 144 - 29602 Marbella</t>
  </si>
  <si>
    <t>https://turismo.marbella.es/index.php?option=com_content&amp;view=article&amp;id=2464</t>
  </si>
  <si>
    <t>05.02.03.010</t>
  </si>
  <si>
    <t>Bulevar Alfonso Hohenlohe 7</t>
  </si>
  <si>
    <t>36.507706, -4.917646</t>
  </si>
  <si>
    <t>Alfonso De Hohenlohe Nº 7</t>
  </si>
  <si>
    <t>05.02.03.011</t>
  </si>
  <si>
    <t>Calle Gloria 14</t>
  </si>
  <si>
    <t>36.509529, -4.884433</t>
  </si>
  <si>
    <t>Calle Gloria Nº 14</t>
  </si>
  <si>
    <t>05.02.03.012</t>
  </si>
  <si>
    <t>Coral Beach</t>
  </si>
  <si>
    <t>36.497634, -4.942438</t>
  </si>
  <si>
    <t>Admite mascotas CN-340, Km 176 29602 Marbella</t>
  </si>
  <si>
    <t>https://turismo.marbella.es/index.php?option=com_content&amp;view=article&amp;id=269</t>
  </si>
  <si>
    <t>05.02.03.013</t>
  </si>
  <si>
    <t>Cortijo La Saleta</t>
  </si>
  <si>
    <t>36.486215, -4.970252</t>
  </si>
  <si>
    <t>Calle La Saleta Nº 2</t>
  </si>
  <si>
    <t>https://turismo.marbella.es/index.php?option=com_content&amp;view=article&amp;id=270</t>
  </si>
  <si>
    <t>05.02.03.014</t>
  </si>
  <si>
    <t>Dreams Of Marbella</t>
  </si>
  <si>
    <t>05.02.03.015</t>
  </si>
  <si>
    <t>Edificio Skol</t>
  </si>
  <si>
    <t>36.507807, -4.893027</t>
  </si>
  <si>
    <t>Avenida Arias Maldonado, 16 - 29602 Marbella</t>
  </si>
  <si>
    <t>https://turismo.marbella.es/index.php?option=com_content&amp;view=article&amp;id=281</t>
  </si>
  <si>
    <t>05.02.03.016</t>
  </si>
  <si>
    <t>Finesthomes Marbella</t>
  </si>
  <si>
    <t>36.508759, -4.866671</t>
  </si>
  <si>
    <t>Calle Tales De Mileto Nº 1</t>
  </si>
  <si>
    <t>05.02.03.017</t>
  </si>
  <si>
    <t>Guadalpín Boutique</t>
  </si>
  <si>
    <t>36.509801, -4.907028</t>
  </si>
  <si>
    <t>Bulevar Príncipe Alfonso de Hohenlohe, 19 - 29602 Marbella</t>
  </si>
  <si>
    <t>https://turismo.marbella.es/index.php?option=com_content&amp;view=article&amp;id=284</t>
  </si>
  <si>
    <t>05.02.03.018</t>
  </si>
  <si>
    <t>Guadalpín Suites</t>
  </si>
  <si>
    <t>36.509557, -4.907734</t>
  </si>
  <si>
    <t>https://turismo.marbella.es/index.php?option=com_content&amp;view=article&amp;id=286</t>
  </si>
  <si>
    <t>05.02.03.019</t>
  </si>
  <si>
    <t>Infocom Apartments</t>
  </si>
  <si>
    <t>36.491939, -4.949502</t>
  </si>
  <si>
    <t>Calle Los Granados Nº 5 Esc. 1 Plta/Piso 1 Pta/Letra 66</t>
  </si>
  <si>
    <t>05.02.03.020</t>
  </si>
  <si>
    <t>Jardines At</t>
  </si>
  <si>
    <t>36.496717, -4.964325</t>
  </si>
  <si>
    <t>Calle Las Ventas-Nueva Andalucía Nº 18 Compl.Dom. Conjunto Jardines De Andalucía</t>
  </si>
  <si>
    <t>05.02.03.021</t>
  </si>
  <si>
    <t>Jardines del Puerto</t>
  </si>
  <si>
    <t>36.488722, -4.960607</t>
  </si>
  <si>
    <t>Avda. José banús, s/n. 29660 Puerto Banús - Marbella</t>
  </si>
  <si>
    <t>https://turismo.marbella.es/index.php?option=com_content&amp;view=article&amp;id=290</t>
  </si>
  <si>
    <t>05.02.03.022</t>
  </si>
  <si>
    <t>Le Normandie</t>
  </si>
  <si>
    <t>36.509781, -4.886060</t>
  </si>
  <si>
    <t>Calle Pedraza Nº 3</t>
  </si>
  <si>
    <t>05.02.03.023</t>
  </si>
  <si>
    <t>Los Naranjos/La Dama</t>
  </si>
  <si>
    <t>36.501210, -4.951196</t>
  </si>
  <si>
    <t>Urbanizacion La Dama De Noche Blq. 2 Plta/Piso 1 Pta/Letra C</t>
  </si>
  <si>
    <t>https://turismo.marbella.es/index.php?option=com_content&amp;view=article&amp;id=5094</t>
  </si>
  <si>
    <t>05.02.03.024</t>
  </si>
  <si>
    <t>Marbella Beach AT Playa Real</t>
  </si>
  <si>
    <t>36.489108, -4.764364</t>
  </si>
  <si>
    <t>Urb. Marbesa Playa Real, km 193 - 29604 Marbella</t>
  </si>
  <si>
    <t>https://turismo.marbella.es/index.php?option=com_content&amp;view=article&amp;id=289</t>
  </si>
  <si>
    <t>05.02.03.025</t>
  </si>
  <si>
    <t>Marbella House</t>
  </si>
  <si>
    <t>36.509605, -4.898583</t>
  </si>
  <si>
    <t>C/ Ramón Gómez de la Serna, 23 - 29602 Marbella</t>
  </si>
  <si>
    <t>https://turismo.marbella.es/index.php?option=com_content&amp;view=article&amp;id=302</t>
  </si>
  <si>
    <t>05.02.03.026</t>
  </si>
  <si>
    <t>Marbella San Francisco-10</t>
  </si>
  <si>
    <t>36.518502, -4.886740</t>
  </si>
  <si>
    <t>Calle Carlos Iii Nº 10 Portal 10</t>
  </si>
  <si>
    <t>05.02.03.027</t>
  </si>
  <si>
    <t>Marbella Town</t>
  </si>
  <si>
    <t>36.510223, -4.884569</t>
  </si>
  <si>
    <t>Plaza General Chinchilla Nº 7</t>
  </si>
  <si>
    <t>https://turismo.marbella.es/index.php?option=com_content&amp;view=article&amp;id=3938</t>
  </si>
  <si>
    <t>05.02.03.028</t>
  </si>
  <si>
    <t>Marbesun Beach Properties</t>
  </si>
  <si>
    <t>36.507193, -4.887491</t>
  </si>
  <si>
    <t>Avenida Duque De Ahumada Nº 7 Compl.Dom. Edificio Marisol 1</t>
  </si>
  <si>
    <t>https://turismo.marbella.es/index.php?option=com_content&amp;view=article&amp;id=2404</t>
  </si>
  <si>
    <t>05.02.03.029</t>
  </si>
  <si>
    <t>Marina Myramar Banús</t>
  </si>
  <si>
    <t>36.489735, -4.951863</t>
  </si>
  <si>
    <t>Urbanizacion Marina Banús Blq. 2 Plta/Piso 1 Pta/Letra J Compl.Dom. Puerto Banús</t>
  </si>
  <si>
    <t>https://turismo.marbella.es/index.php?option=com_content&amp;view=article&amp;id=5096</t>
  </si>
  <si>
    <t>05.02.03.030</t>
  </si>
  <si>
    <t>Mimosas Suite Banús</t>
  </si>
  <si>
    <t>36.483149, -4.967805</t>
  </si>
  <si>
    <t>C/ las Mimosas, 3 Urb. Las Mimosas de Puerto Banús- 29660 Marbella</t>
  </si>
  <si>
    <t>https://turismo.marbella.es/index.php?option=com_content&amp;view=article&amp;id=293</t>
  </si>
  <si>
    <t>05.02.03.031</t>
  </si>
  <si>
    <t>Mirazure</t>
  </si>
  <si>
    <t>36.513342, -4.851250</t>
  </si>
  <si>
    <t>Avenida La Finca Nº S/N Compl.Dom. Urb. La Finca De Marbella 2 - Villas - Parcela 18</t>
  </si>
  <si>
    <t>05.02.03.032</t>
  </si>
  <si>
    <t>Parque Marbella</t>
  </si>
  <si>
    <t>36.509446, -4.892102</t>
  </si>
  <si>
    <t>Calle Alonso De Bazan Nº 17</t>
  </si>
  <si>
    <t>05.02.03.033</t>
  </si>
  <si>
    <t>Playas Del Duque</t>
  </si>
  <si>
    <t>36.487485, -4.958190</t>
  </si>
  <si>
    <t>Urbanizacion Playas Del Duque Nº Sn Compl.Dom. Edificio Sevilla - Oficina</t>
  </si>
  <si>
    <t>05.02.03.034</t>
  </si>
  <si>
    <t>Playas del Duque</t>
  </si>
  <si>
    <t>36.484235, -4.961752</t>
  </si>
  <si>
    <t>Admite mascotas Urb. Playas del Duque, s/n. Compl. Dom. Edif. Sevilla. Ofic Nueva Andalucia. 29660 Marbella</t>
  </si>
  <si>
    <t>https://turismo.marbella.es/index.php?option=com_content&amp;view=article&amp;id=5086</t>
  </si>
  <si>
    <t>05.02.03.035</t>
  </si>
  <si>
    <t>Puerta de Aduares</t>
  </si>
  <si>
    <t>36.511583, -4.885705</t>
  </si>
  <si>
    <t>C/ Aduar, 18 29601 Marbella</t>
  </si>
  <si>
    <t>https://turismo.marbella.es/index.php?option=com_content&amp;view=article&amp;id=255</t>
  </si>
  <si>
    <t>05.02.03.036</t>
  </si>
  <si>
    <t>Puerto Banus Apartment</t>
  </si>
  <si>
    <t>36.491082, -4.950822</t>
  </si>
  <si>
    <t>Urbanizacion Playa Rocio</t>
  </si>
  <si>
    <t>05.02.03.037</t>
  </si>
  <si>
    <t>Puerto Banús Beach Apartments</t>
  </si>
  <si>
    <t>36.486206, -4.956762</t>
  </si>
  <si>
    <t>Calle Las Camelias Nº 26</t>
  </si>
  <si>
    <t>https://turismo.marbella.es/index.php?option=com_content&amp;view=article&amp;id=6116</t>
  </si>
  <si>
    <t>05.02.03.038</t>
  </si>
  <si>
    <t>San Pedro Apartamentos</t>
  </si>
  <si>
    <t>36.490476, -4.988923</t>
  </si>
  <si>
    <t>C/ Fuente Nueva, nº 61 - 29670 San Pedro Alcántara</t>
  </si>
  <si>
    <t>https://turismo.marbella.es/index.php?option=com_content&amp;view=article&amp;id=295</t>
  </si>
  <si>
    <t>05.02.03.039</t>
  </si>
  <si>
    <t>Serinamar</t>
  </si>
  <si>
    <t>36.508434, -4.952838</t>
  </si>
  <si>
    <t>Urb. Los Naranjos de Marbella, fase 3 num 1 - 29660 Marbella</t>
  </si>
  <si>
    <t>https://turismo.marbella.es/index.php?option=com_content&amp;view=article&amp;id=266</t>
  </si>
  <si>
    <t>05.02.03.040</t>
  </si>
  <si>
    <t>Tula Banus</t>
  </si>
  <si>
    <t>Avenida José Banús Nº S/N Pta/Letra 501 Compl.Dom. Urb Jardines Del Puerto. Puerto Banús</t>
  </si>
  <si>
    <t>05.02.03.041</t>
  </si>
  <si>
    <t>Urbanizacion Alhambra Del Mar</t>
  </si>
  <si>
    <t>36.507992, -4.904623</t>
  </si>
  <si>
    <t>Calle Roy Boston Nº S/N Compl.Dom. Urbanización Alahmbra Del Mar</t>
  </si>
  <si>
    <t>05.02.03.042</t>
  </si>
  <si>
    <t>36.481632, -4.969633</t>
  </si>
  <si>
    <t>Urb. Ventura del Mar, Ap. 602 - C/ Isabel de Farnesio - 29660 Puerto Banus</t>
  </si>
  <si>
    <t>https://turismo.marbella.es/index.php?option=com_content&amp;view=article&amp;id=296</t>
  </si>
  <si>
    <t>05.02.03.043</t>
  </si>
  <si>
    <t>Vientos de Marbella</t>
  </si>
  <si>
    <t>36.508566, -4.882425</t>
  </si>
  <si>
    <t>C/ Río, 11- 29660 Marbella</t>
  </si>
  <si>
    <t>https://turismo.marbella.es/index.php?option=com_content&amp;view=article&amp;id=297</t>
  </si>
  <si>
    <t>05.02.03.044</t>
  </si>
  <si>
    <t>Villa Kika</t>
  </si>
  <si>
    <t>36.517696, -4.855290</t>
  </si>
  <si>
    <t>Finca Camino Cristo De Los Molinos Nº 5</t>
  </si>
  <si>
    <t>05.02.03.045</t>
  </si>
  <si>
    <t>36.511033, -4.859350</t>
  </si>
  <si>
    <t>Admite mascotas Finca Camino Cristo de los Molinos, 5, 29603 Marbella</t>
  </si>
  <si>
    <t>https://turismo.marbella.es/index.php?option=com_content&amp;view=article&amp;id=2407</t>
  </si>
  <si>
    <t>05.02.03.046</t>
  </si>
  <si>
    <t>Villacasa Marbella</t>
  </si>
  <si>
    <t>36.510092, -4.861547</t>
  </si>
  <si>
    <t>Camino Cristo De Los Molinos Nº 25B</t>
  </si>
  <si>
    <t>https://turismo.marbella.es/index.php?option=com_content&amp;view=article&amp;id=2865</t>
  </si>
  <si>
    <t>05.02.03.047</t>
  </si>
  <si>
    <t>Villas las Lomas de Marbella</t>
  </si>
  <si>
    <t>36.512912, -4.940032</t>
  </si>
  <si>
    <t>C/ Montemayor, 71 - 29601 Marbella</t>
  </si>
  <si>
    <t>https://turismo.marbella.es/index.php?option=com_content&amp;view=article&amp;id=323</t>
  </si>
  <si>
    <t>05.02.04</t>
  </si>
  <si>
    <t>AT 1 llave</t>
  </si>
  <si>
    <t>Apartamentos turísticos de 1 llave.</t>
  </si>
  <si>
    <t>https://turismo.marbella.es/vive/alojamientos/at-1-llave.html</t>
  </si>
  <si>
    <t>05.02.04.001</t>
  </si>
  <si>
    <t>Anfitrión Marbella Villas &amp; Suites</t>
  </si>
  <si>
    <t>36.486062, -4.962483</t>
  </si>
  <si>
    <t>(Villa Marina) A7, km 1051 Urb. Villa Marina – Puerto Banús 29660 Marbella</t>
  </si>
  <si>
    <t>https://turismo.marbella.es/index.php?option=com_content&amp;view=article&amp;id=6117</t>
  </si>
  <si>
    <t>05.02.04.002</t>
  </si>
  <si>
    <t>Antonio Herrero</t>
  </si>
  <si>
    <t>36.507766, -4.886838</t>
  </si>
  <si>
    <t>Avenida Del Mar Nº 12 Portal 4 Esc. 1 Pta/Letra A Compl.Dom. Edificio Antonio Herrero</t>
  </si>
  <si>
    <t>05.02.04.003</t>
  </si>
  <si>
    <t>Apartamentos Albatros Xiv-Xv</t>
  </si>
  <si>
    <t>36.498701, -4.978894</t>
  </si>
  <si>
    <t>Calle Miguel Delibes Nº 6 Calif.Nº B Esc. 1 Plta/Piso 7 Pta/Letra 01 Compl.Dom. Edificio Albatros Xv</t>
  </si>
  <si>
    <t>05.02.04.004</t>
  </si>
  <si>
    <t>Aromas De Una Dama</t>
  </si>
  <si>
    <t>36.518741, -4.883261</t>
  </si>
  <si>
    <t>Calle Huerto Del Cafe Nº 6-B</t>
  </si>
  <si>
    <t>05.02.04.005</t>
  </si>
  <si>
    <t>Bb Caeser Imperator</t>
  </si>
  <si>
    <t>36.507773, -4.895750</t>
  </si>
  <si>
    <t>Edificio Caesar'S Imperator, Paseo Marítimo Nº S/N</t>
  </si>
  <si>
    <t>05.02.04.006</t>
  </si>
  <si>
    <t>Casa Rosa Nova</t>
  </si>
  <si>
    <t>36.486481, -4.986876</t>
  </si>
  <si>
    <t>Avenida Oriental Nº 46/48 Compl.Dom. Pasaje San Jose 2, Edificio San Pedro De Alcantara</t>
  </si>
  <si>
    <t>05.02.04.007</t>
  </si>
  <si>
    <t>Cp Collection</t>
  </si>
  <si>
    <t>36.506990, -4.925548</t>
  </si>
  <si>
    <t>Urbanizacion The Collection, Calle Cecilia Bohl De Faber Nº 9 Compl.Dom. Sector Del Arroyo Nagueles, Villas Números 9, 10, 23 Y 24</t>
  </si>
  <si>
    <t>05.02.04.008</t>
  </si>
  <si>
    <t>Fade Out</t>
  </si>
  <si>
    <t>36.494638, -4.949170</t>
  </si>
  <si>
    <t>Urb. La Alcazaba, s/n - 29660 Nueva Andalucia Marbella</t>
  </si>
  <si>
    <t>https://turismo.marbella.es/index.php?option=com_content&amp;view=article&amp;id=282</t>
  </si>
  <si>
    <t>05.02.04.009</t>
  </si>
  <si>
    <t>Gaban Cazorla</t>
  </si>
  <si>
    <t>Calle Los Granados Nº 5 Plta/Piso 2 Pta/Letra 36 Compl.Dom. Urbanizacion Playa Rocio</t>
  </si>
  <si>
    <t>05.02.04.010</t>
  </si>
  <si>
    <t>Hapimag Marbella</t>
  </si>
  <si>
    <t>36.507737, -4.897193</t>
  </si>
  <si>
    <t>Congresos, Admite mascotas C/ Camilo José Cela, nº 17 - 29602 Marbella</t>
  </si>
  <si>
    <t>https://turismo.marbella.es/index.php?option=com_content&amp;view=article&amp;id=315</t>
  </si>
  <si>
    <t>05.02.04.011</t>
  </si>
  <si>
    <t>Jardines de Santa María Golf</t>
  </si>
  <si>
    <t>36.497127, -4.770394</t>
  </si>
  <si>
    <t>CN-340 Km. 192, Elviria, 29604 Marbella</t>
  </si>
  <si>
    <t>https://turismo.marbella.es/index.php?option=com_content&amp;view=article&amp;id=320</t>
  </si>
  <si>
    <t>05.02.04.012</t>
  </si>
  <si>
    <t>Maes and Partners</t>
  </si>
  <si>
    <t>36.510616, -4.883747</t>
  </si>
  <si>
    <t>Calle Ancha Nº 10 Plta/Piso Bj</t>
  </si>
  <si>
    <t>https://turismo.marbella.es/index.php?option=com_content&amp;view=article&amp;id=2409</t>
  </si>
  <si>
    <t>05.02.04.013</t>
  </si>
  <si>
    <t>Maia Properties And Estate</t>
  </si>
  <si>
    <t>36.486124, -4.967318</t>
  </si>
  <si>
    <t>Avenida Jose Luis Carrillo Benite Nº 225 Blq. A Esc. 1 Plta/Piso 00 Pta/Letra 03 Compl.Dom. Cortijo Fuentes Del Rodeo-Apartamento A-2</t>
  </si>
  <si>
    <t>05.02.04.014</t>
  </si>
  <si>
    <t>Marbella Banús Suites Playa Rocío</t>
  </si>
  <si>
    <t>36.493059, -4.950204</t>
  </si>
  <si>
    <t>C/ Los Granados, nº 5, plta 2, pta. 44 Urb. Playa Rocío Nueva Andalucía 29660 Marbella</t>
  </si>
  <si>
    <t>https://turismo.marbella.es/index.php?option=com_content&amp;view=article&amp;id=6120</t>
  </si>
  <si>
    <t>05.02.04.015</t>
  </si>
  <si>
    <t>Marbella Bella</t>
  </si>
  <si>
    <t>36.512029, -4.884316</t>
  </si>
  <si>
    <t>C/ Postigo, 24 29601 Marbella</t>
  </si>
  <si>
    <t>https://turismo.marbella.es/index.php?option=com_content&amp;view=article&amp;id=2395</t>
  </si>
  <si>
    <t>05.02.04.016</t>
  </si>
  <si>
    <t>Marbella Skol</t>
  </si>
  <si>
    <t>36.507813, -4.893068</t>
  </si>
  <si>
    <t>Avda. Arias Maldonado, 16 Edif. Skol 29602, Marbella</t>
  </si>
  <si>
    <t>https://turismo.marbella.es/index.php?option=com_content&amp;view=article&amp;id=2411</t>
  </si>
  <si>
    <t>05.02.04.017</t>
  </si>
  <si>
    <t>Modern Apartments San Pedro De Alcantara</t>
  </si>
  <si>
    <t>36.488205, -4.990363</t>
  </si>
  <si>
    <t>Calle Jose Ramos Nº 6</t>
  </si>
  <si>
    <t>05.02.04.018</t>
  </si>
  <si>
    <t>Parquesol</t>
  </si>
  <si>
    <t>Calle Feliz Rodriguez De La Fuente Nº 2 Plta/Piso 2 Pta/Letra F</t>
  </si>
  <si>
    <t>05.02.04.019</t>
  </si>
  <si>
    <t>Ranhomes Rental</t>
  </si>
  <si>
    <t>36.500104, -4.982276</t>
  </si>
  <si>
    <t>Avenida Miguel De Cervantes Nº 59 Portal 2 Plta/Piso 1 Pta/Letra B</t>
  </si>
  <si>
    <t>05.02.04.020</t>
  </si>
  <si>
    <t>36.499186, -4.975789</t>
  </si>
  <si>
    <t>Avda. Miguel de Cervantes, 59, portal 2, plta/piso 1, letra B 29670 San Pedro Alcántara</t>
  </si>
  <si>
    <t>https://turismo.marbella.es/index.php?option=com_content&amp;view=article&amp;id=8169</t>
  </si>
  <si>
    <t>05.02.04.021</t>
  </si>
  <si>
    <t>Reserva del Conde</t>
  </si>
  <si>
    <t>36.513709, -4.985096</t>
  </si>
  <si>
    <t>Calle Casiopea Nº 5F Compl.Dom. Parcela 24A</t>
  </si>
  <si>
    <t>https://turismo.marbella.es/index.php?option=com_content&amp;view=article&amp;id=4504</t>
  </si>
  <si>
    <t>05.02.04.022</t>
  </si>
  <si>
    <t>Rodeo Sol Marbella</t>
  </si>
  <si>
    <t>36.489623, -4.958561</t>
  </si>
  <si>
    <t>Avda. José Luis Carrillo Benítez, 225, blq. A, esc. 1, letra 03 - Urb. Fuentes del Rodeo, Apartamento A2 29660 Marbella</t>
  </si>
  <si>
    <t>https://turismo.marbella.es/index.php?option=com_content&amp;view=article&amp;id=5830</t>
  </si>
  <si>
    <t>05.02.04.023</t>
  </si>
  <si>
    <t>Villa Marina</t>
  </si>
  <si>
    <t>36.486096, -4.962403</t>
  </si>
  <si>
    <t>Urbanizacion Villa Marina S/N</t>
  </si>
  <si>
    <t>https://turismo.marbella.es/index.php?option=com_content&amp;view=article&amp;id=317</t>
  </si>
  <si>
    <t>05.02.04.024</t>
  </si>
  <si>
    <t>Villas Altos de Marbella</t>
  </si>
  <si>
    <t>36.523815, -4.898121</t>
  </si>
  <si>
    <t>Avenida La Florida Nº 33</t>
  </si>
  <si>
    <t>https://turismo.marbella.es/index.php?option=com_content&amp;view=article&amp;id=322</t>
  </si>
  <si>
    <t>05.02.04.025</t>
  </si>
  <si>
    <t>Webtegui</t>
  </si>
  <si>
    <t>36.486146, -4.968152</t>
  </si>
  <si>
    <t>Avenida Jose Luis Carrillo Benite Nº 225 Blq. A Esc. 1 Plta/Piso 00 Pta/Letra 01 Compl.Dom. Cjt Fuentes Del Rodeo - Apartamento A1</t>
  </si>
  <si>
    <t>https://turismo.marbella.es/index.php?option=com_content&amp;view=article&amp;id=4507</t>
  </si>
  <si>
    <t>05.03</t>
  </si>
  <si>
    <t>Campings</t>
  </si>
  <si>
    <t>Campings.</t>
  </si>
  <si>
    <t>https://turismo.marbella.es/vive/alojamientos/campings.html</t>
  </si>
  <si>
    <t>05.03.001</t>
  </si>
  <si>
    <t>Cabopino y Kampaoh Marbella</t>
  </si>
  <si>
    <t>36.489802, -4.743387</t>
  </si>
  <si>
    <t>Camping 3* N-340, Km.194, 7, 29604 Marbella</t>
  </si>
  <si>
    <t>https://turismo.marbella.es/index.php?option=com_content&amp;view=article&amp;id=352</t>
  </si>
  <si>
    <t>05.03.002</t>
  </si>
  <si>
    <t>Camping Cabopino</t>
  </si>
  <si>
    <t>36.490241, -4.743254</t>
  </si>
  <si>
    <t>https://www.campingcabopino.com/</t>
  </si>
  <si>
    <t>05.03.003</t>
  </si>
  <si>
    <t>Camping Marbella Playa</t>
  </si>
  <si>
    <t>36.490623, -4.764627</t>
  </si>
  <si>
    <t>05.03.004</t>
  </si>
  <si>
    <t>Caravaning Marbella Playa</t>
  </si>
  <si>
    <t>36.491570, -4.763720</t>
  </si>
  <si>
    <t>Camping 4* N 340 Km 192.800 , 29604 Marbella</t>
  </si>
  <si>
    <t>https://turismo.marbella.es/index.php?option=com_content&amp;view=article&amp;id=328</t>
  </si>
  <si>
    <t>05.03.005</t>
  </si>
  <si>
    <t>La Buganvilla</t>
  </si>
  <si>
    <t>36.502550, -4.804468</t>
  </si>
  <si>
    <t>N-340</t>
  </si>
  <si>
    <t>https://turismo.marbella.es/index.php?option=com_content&amp;view=article&amp;id=350</t>
  </si>
  <si>
    <t>05.04</t>
  </si>
  <si>
    <t>Albergues</t>
  </si>
  <si>
    <t>Albergues y residencias.</t>
  </si>
  <si>
    <t>https://turismo.marbella.es/vive/alojamientos/albergues-y-residencias.html</t>
  </si>
  <si>
    <t>05.04.001</t>
  </si>
  <si>
    <t>Albergue Campamento Fuerte Nagueles</t>
  </si>
  <si>
    <t>36.522803, -4.924026</t>
  </si>
  <si>
    <t>Camping / albergue Pinar de Nagüeles, s/n - 29602 Marbella</t>
  </si>
  <si>
    <t>https://turismo.marbella.es/index.php?option=com_content&amp;view=article&amp;id=355</t>
  </si>
  <si>
    <t>05.04.002</t>
  </si>
  <si>
    <t>Albergue Inturjoven Marbella</t>
  </si>
  <si>
    <t>36.514462, -4.885402</t>
  </si>
  <si>
    <t>Camping / albergue C/ Trapiche, 2 y 4 - 29601 Marbella</t>
  </si>
  <si>
    <t>https://turismo.marbella.es/index.php?option=com_content&amp;view=article&amp;id=354</t>
  </si>
  <si>
    <t>05.04.003</t>
  </si>
  <si>
    <t>Residencia Tiempo Libre Marbella</t>
  </si>
  <si>
    <t>36.497163, -4.794372</t>
  </si>
  <si>
    <t>A-7, Km 190, 29604 Marbella</t>
  </si>
  <si>
    <t>https://turismo.marbella.es/index.php?option=com_content&amp;view=article&amp;id=2539</t>
  </si>
  <si>
    <t>05.05</t>
  </si>
  <si>
    <t>Alojamiento rural</t>
  </si>
  <si>
    <t>Casas rurales y viviendas turísticas de alojamiento rural (complementaria).</t>
  </si>
  <si>
    <t>05.05.001</t>
  </si>
  <si>
    <t>Casa Monte Marina</t>
  </si>
  <si>
    <t>36.523863, -4.830958</t>
  </si>
  <si>
    <t>Cuesta Carril Del General Urb Monte Marina Pueta S/N Nº S/N</t>
  </si>
  <si>
    <t>05.05.002</t>
  </si>
  <si>
    <t>Finca Ines</t>
  </si>
  <si>
    <t>36.518473, -4.749971</t>
  </si>
  <si>
    <t>Avenida Las Chapas Nº S/N Compl.Dom. Finca Ines</t>
  </si>
  <si>
    <t>05.05.003</t>
  </si>
  <si>
    <t>Habitacion En Marbella</t>
  </si>
  <si>
    <t>36.507456, -4.809706</t>
  </si>
  <si>
    <t>Calle Las Margaritas Nº 208 Pta/Letra A Compl.Dom. Urbanización El Rosario</t>
  </si>
  <si>
    <t>05.05.004</t>
  </si>
  <si>
    <t>Hibiscus 5</t>
  </si>
  <si>
    <t>36.510620, -4.805592</t>
  </si>
  <si>
    <t>Hibiscus 5 Marbella Club</t>
  </si>
  <si>
    <t>05.05.005</t>
  </si>
  <si>
    <t>Jardines De La Reina</t>
  </si>
  <si>
    <t>36.516709, -4.950395</t>
  </si>
  <si>
    <t>Carretera Istan A7176 Nº 2.4 Compl.Dom. Partido De Los Manchones Bajos</t>
  </si>
  <si>
    <t>05.05.006</t>
  </si>
  <si>
    <t>Maduan</t>
  </si>
  <si>
    <t>36.503437, -4.946108</t>
  </si>
  <si>
    <t>Urbanizacion Lomas De Rio Verde Nº 13 Compl.Dom. Casa Maduan</t>
  </si>
  <si>
    <t>05.05.007</t>
  </si>
  <si>
    <t>Villa Alborana</t>
  </si>
  <si>
    <t>36.522623, -4.883662</t>
  </si>
  <si>
    <t>Diseminado Poligono Nº 6 Compl.Dom. 14 Polígono 5</t>
  </si>
  <si>
    <t>05.05.008</t>
  </si>
  <si>
    <t>Villa Oasis</t>
  </si>
  <si>
    <t>36.492612, -4.973904</t>
  </si>
  <si>
    <t>Calle Rio Miño-Altos Del Rodeo Esc. 1 Plta/Piso 00 Pta/Letra 77 Compl.Dom. Cjt Condes De Iza</t>
  </si>
  <si>
    <t>06</t>
  </si>
  <si>
    <t>Naturaleza</t>
  </si>
  <si>
    <t>Espacios naturales, puntos de interés, senderos, parques y jardines.</t>
  </si>
  <si>
    <t>https://turismo.marbella.es/vive/naturaleza.html</t>
  </si>
  <si>
    <t>06.01</t>
  </si>
  <si>
    <t>Puntos de interés</t>
  </si>
  <si>
    <t>Espacios naturales singulares, miradores y cumbres de Sierra Blanca.</t>
  </si>
  <si>
    <t>06.01.01</t>
  </si>
  <si>
    <t>Dunas de Artola</t>
  </si>
  <si>
    <t>Monumento Natural Dunas de Artola (Cabopino).</t>
  </si>
  <si>
    <t>turismo.marbella.es; OpenStreetMap (ODbL); REDIAM (servicio WMS)</t>
  </si>
  <si>
    <t>https://turismo.marbella.es/vive/naturaleza/dunas-de-artola.html</t>
  </si>
  <si>
    <t>06.01.01.001</t>
  </si>
  <si>
    <t>36.486540, -4.748234</t>
  </si>
  <si>
    <t>06.01.02</t>
  </si>
  <si>
    <t>Lago de las Tortugas</t>
  </si>
  <si>
    <t>Lago de las Tortugas, antiguamente denominado Embalse Viejo.</t>
  </si>
  <si>
    <t>https://turismo.marbella.es/vive/naturaleza/lago-de-las-tortugas.html</t>
  </si>
  <si>
    <t>06.01.02.001</t>
  </si>
  <si>
    <t>36.522132, -4.966265</t>
  </si>
  <si>
    <t>06.01.03</t>
  </si>
  <si>
    <t>Miradores</t>
  </si>
  <si>
    <t>Miradores con nombre (complementaria).</t>
  </si>
  <si>
    <t>06.01.03.001</t>
  </si>
  <si>
    <t>Cantera de la Legua</t>
  </si>
  <si>
    <t>36.541909, -4.938107</t>
  </si>
  <si>
    <t>06.01.03.002</t>
  </si>
  <si>
    <t>Mirador de los Gitanos</t>
  </si>
  <si>
    <t>36.539159, -4.894388</t>
  </si>
  <si>
    <t>06.01.03.003</t>
  </si>
  <si>
    <t>Mirador del Muelle de Honor</t>
  </si>
  <si>
    <t>36.484233, -4.953380</t>
  </si>
  <si>
    <t>06.01.03.004</t>
  </si>
  <si>
    <t>Mirador la Concha</t>
  </si>
  <si>
    <t>36.550592, -4.926172</t>
  </si>
  <si>
    <t>06.01.04</t>
  </si>
  <si>
    <t>Sierra Blanca: cumbres</t>
  </si>
  <si>
    <t>Cumbres de Sierra Blanca: La Concha, Cruz de Juanar, Tajo Negro, Salto del Lobo, Lastonar…</t>
  </si>
  <si>
    <t>https://turismo.marbella.es/vive/naturaleza/sierra-blanca.html
https://turismo.marbella.es/vive/naturaleza/sierra-blanca/cumbres-de-la-sierra.html</t>
  </si>
  <si>
    <t>06.01.04.001</t>
  </si>
  <si>
    <t>Cerro del Lastonar</t>
  </si>
  <si>
    <t>36.559586, -4.919890</t>
  </si>
  <si>
    <t>https://turismo.marbella.es/index.php?option=com_content&amp;view=article&amp;id=195</t>
  </si>
  <si>
    <t>06.01.04.002</t>
  </si>
  <si>
    <t>Cerro Torron</t>
  </si>
  <si>
    <t>36.528099, -4.855272</t>
  </si>
  <si>
    <t>06.01.04.003</t>
  </si>
  <si>
    <t>Galeria de imágenes de Sierra Blanca</t>
  </si>
  <si>
    <t>36.574765, -4.902952</t>
  </si>
  <si>
    <t>https://turismo.marbella.es/index.php?option=com_content&amp;view=article&amp;id=6982</t>
  </si>
  <si>
    <t>06.01.04.004</t>
  </si>
  <si>
    <t>Pico / Cruz de Juanar</t>
  </si>
  <si>
    <t>36.564431, -4.897692</t>
  </si>
  <si>
    <t>https://turismo.marbella.es/index.php?option=com_content&amp;view=article&amp;id=198</t>
  </si>
  <si>
    <t>06.01.04.005</t>
  </si>
  <si>
    <t>Pico de la Concha</t>
  </si>
  <si>
    <t>36.551645, -4.924977</t>
  </si>
  <si>
    <t>https://turismo.marbella.es/index.php?option=com_content&amp;view=article&amp;id=194</t>
  </si>
  <si>
    <t>06.01.04.006</t>
  </si>
  <si>
    <t>Pico del Águila</t>
  </si>
  <si>
    <t>36.537417, -4.879791</t>
  </si>
  <si>
    <t>06.01.04.007</t>
  </si>
  <si>
    <t>Puerto de la Cruz</t>
  </si>
  <si>
    <t>36.538950, -4.898620</t>
  </si>
  <si>
    <t>06.01.04.008</t>
  </si>
  <si>
    <t>Puerto de Santillana</t>
  </si>
  <si>
    <t>36.536239, -4.893739</t>
  </si>
  <si>
    <t>06.01.04.009</t>
  </si>
  <si>
    <t>Puerto del Acebuche</t>
  </si>
  <si>
    <t>36.538910, -4.879256</t>
  </si>
  <si>
    <t>06.01.04.010</t>
  </si>
  <si>
    <t>Puerto del Pino</t>
  </si>
  <si>
    <t>36.544474, -4.890141</t>
  </si>
  <si>
    <t>06.01.04.011</t>
  </si>
  <si>
    <t>Puerto Juan Ruiz</t>
  </si>
  <si>
    <t>36.533608, -4.896900</t>
  </si>
  <si>
    <t>06.01.04.012</t>
  </si>
  <si>
    <t>Puerto Las Pitas</t>
  </si>
  <si>
    <t>36.543504, -4.898372</t>
  </si>
  <si>
    <t>06.01.04.013</t>
  </si>
  <si>
    <t>Puerto Rico Alto</t>
  </si>
  <si>
    <t>36.546213, -4.885981</t>
  </si>
  <si>
    <t>06.01.04.014</t>
  </si>
  <si>
    <t>Salto del Lobo</t>
  </si>
  <si>
    <t>36.564003, -4.912835</t>
  </si>
  <si>
    <t>https://turismo.marbella.es/index.php?option=com_content&amp;view=article&amp;id=197</t>
  </si>
  <si>
    <t>06.01.04.015</t>
  </si>
  <si>
    <t>Tajo Negro</t>
  </si>
  <si>
    <t>36.564137, -4.885516</t>
  </si>
  <si>
    <t>https://turismo.marbella.es/index.php?option=com_content&amp;view=article&amp;id=200</t>
  </si>
  <si>
    <t>06.02</t>
  </si>
  <si>
    <t>Senderos</t>
  </si>
  <si>
    <t>línea</t>
  </si>
  <si>
    <t>Senda del Litoral, Gran Senda de Málaga y rutas de senderismo de Sierra Blanca.</t>
  </si>
  <si>
    <t>06.02.01</t>
  </si>
  <si>
    <t>Senda del Litoral</t>
  </si>
  <si>
    <t>Senda Litoral de la provincia de Málaga a su paso por Marbella (también señalizada como GR 92).</t>
  </si>
  <si>
    <t>https://turismo.marbella.es/vive/naturaleza/senda-del-litoral.html</t>
  </si>
  <si>
    <t>06.02.01.001</t>
  </si>
  <si>
    <t>36.499895, -4.927864</t>
  </si>
  <si>
    <t>06.02.02</t>
  </si>
  <si>
    <t>Gran Senda de Málaga (GR-249)</t>
  </si>
  <si>
    <t>Etapas Estepona–Marbella y Marbella–Ojén de la Gran Senda de Málaga (complementaria).</t>
  </si>
  <si>
    <t>06.02.02.001</t>
  </si>
  <si>
    <t>Estepona - Marbella</t>
  </si>
  <si>
    <t>36.476284, -4.980982</t>
  </si>
  <si>
    <t>06.02.03</t>
  </si>
  <si>
    <t>Rutas de senderismo</t>
  </si>
  <si>
    <t>Senderos de Sierra Blanca (PR-A y SL-A). Las que tienen trazado en OpenStreetMap se dibujan como línea; el resto, en su punto de inicio.</t>
  </si>
  <si>
    <t>https://turismo.marbella.es/vive/naturaleza/sierra-blanca/rutas-de-senderismo.html</t>
  </si>
  <si>
    <t>06.02.03.001</t>
  </si>
  <si>
    <t>Istán - La Concha (PR-A 135)</t>
  </si>
  <si>
    <t>36.553535, -4.923692</t>
  </si>
  <si>
    <t>https://turismo.marbella.es/index.php?option=com_content&amp;view=article&amp;id=525</t>
  </si>
  <si>
    <t>06.02.03.002</t>
  </si>
  <si>
    <t>Istán - Ojén (PR-A 167)</t>
  </si>
  <si>
    <t>36.576917, -4.943150</t>
  </si>
  <si>
    <t>https://turismo.marbella.es/index.php?option=com_content&amp;view=article&amp;id=518</t>
  </si>
  <si>
    <t>06.02.03.003</t>
  </si>
  <si>
    <t>Juanar - La Concha (PR-A 168)</t>
  </si>
  <si>
    <t>36.553537, -4.923700</t>
  </si>
  <si>
    <t>https://turismo.marbella.es/index.php?option=com_content&amp;view=article&amp;id=519</t>
  </si>
  <si>
    <t>06.02.03.004</t>
  </si>
  <si>
    <t>Marbella - Cruz de Juanar (PR-A 169)</t>
  </si>
  <si>
    <t>36.540079, -4.884274</t>
  </si>
  <si>
    <t>https://turismo.marbella.es/index.php?option=com_content&amp;view=article&amp;id=521</t>
  </si>
  <si>
    <t>06.02.03.005</t>
  </si>
  <si>
    <t>Marbella - Istán (PR-A 140)</t>
  </si>
  <si>
    <t>36.534185, -4.930322</t>
  </si>
  <si>
    <t>https://turismo.marbella.es/index.php?option=com_content&amp;view=article&amp;id=520</t>
  </si>
  <si>
    <t>06.02.03.006</t>
  </si>
  <si>
    <t>Marbella - Ojén (GR 249)</t>
  </si>
  <si>
    <t>36.538605, -4.897869</t>
  </si>
  <si>
    <t>https://turismo.marbella.es/index.php?option=com_content&amp;view=article&amp;id=522</t>
  </si>
  <si>
    <t>06.02.03.007</t>
  </si>
  <si>
    <t>Nagüeles - Los Monjes (PR-A 428)</t>
  </si>
  <si>
    <t>36.527183, -4.922183</t>
  </si>
  <si>
    <t>https://turismo.marbella.es/index.php?option=com_content&amp;view=article&amp;id=526</t>
  </si>
  <si>
    <t>06.02.03.008</t>
  </si>
  <si>
    <t>Ruta de Los Tres Valles (PR-A 430)</t>
  </si>
  <si>
    <t>36.542805, -4.900274</t>
  </si>
  <si>
    <t>https://turismo.marbella.es/index.php?option=com_content&amp;view=article&amp;id=528</t>
  </si>
  <si>
    <t>06.02.03.009</t>
  </si>
  <si>
    <t>Ruta Salvador Moreno (SL-A 025)</t>
  </si>
  <si>
    <t>36.528694, -4.890878</t>
  </si>
  <si>
    <t>https://turismo.marbella.es/index.php?option=com_content&amp;view=article&amp;id=4044</t>
  </si>
  <si>
    <t>06.02.03.010</t>
  </si>
  <si>
    <t>Senda José Lima - Pozuelo  (PR-A 278)</t>
  </si>
  <si>
    <t>36.584200, -4.882700</t>
  </si>
  <si>
    <t>https://turismo.marbella.es/index.php?option=com_content&amp;view=article&amp;id=523</t>
  </si>
  <si>
    <t>06.02.03.011</t>
  </si>
  <si>
    <t>Vereda del Faro (PR-A 429)</t>
  </si>
  <si>
    <t>36.538002, -4.883435</t>
  </si>
  <si>
    <t>https://turismo.marbella.es/index.php?option=com_content&amp;view=article&amp;id=524</t>
  </si>
  <si>
    <t>06.03</t>
  </si>
  <si>
    <t>Parques y jardines</t>
  </si>
  <si>
    <t>Parques urbanos y jardines (Alameda, La Represa, Arroyo de la Represa, El Mirador…).</t>
  </si>
  <si>
    <t>https://turismo.marbella.es/vive/naturaleza/parques-y-jardines.html</t>
  </si>
  <si>
    <t>06.03.001</t>
  </si>
  <si>
    <t>Avenida del Mar</t>
  </si>
  <si>
    <t>36.507749, -4.886418</t>
  </si>
  <si>
    <t>Delegación de Parques y Jardines: Edificio Cantarrana. Avda. del Mercado 10, 29602 Marbella</t>
  </si>
  <si>
    <t>https://turismo.marbella.es/index.php?option=com_content&amp;view=article&amp;id=848</t>
  </si>
  <si>
    <t>06.03.002</t>
  </si>
  <si>
    <t>Boulevard Pablo Ráez Martínez</t>
  </si>
  <si>
    <t>36.513510, -4.873097</t>
  </si>
  <si>
    <t>https://turismo.marbella.es/index.php?option=com_content&amp;view=article&amp;id=3600</t>
  </si>
  <si>
    <t>06.03.003</t>
  </si>
  <si>
    <t>Boulevard San Pedro Alcántara</t>
  </si>
  <si>
    <t>36.482167, -4.988387</t>
  </si>
  <si>
    <t>https://turismo.marbella.es/index.php?option=com_content&amp;view=article&amp;id=849</t>
  </si>
  <si>
    <t>06.03.004</t>
  </si>
  <si>
    <t>Cortijo Miraflores</t>
  </si>
  <si>
    <t>36.515581, -4.889007</t>
  </si>
  <si>
    <t>06.03.005</t>
  </si>
  <si>
    <t>El Capricho</t>
  </si>
  <si>
    <t>36.512057, -4.904890</t>
  </si>
  <si>
    <t>https://turismo.marbella.es/index.php?option=com_content&amp;view=article&amp;id=3596</t>
  </si>
  <si>
    <t>06.03.006</t>
  </si>
  <si>
    <t>Jardín El Ángel</t>
  </si>
  <si>
    <t>36.510878, -4.953611</t>
  </si>
  <si>
    <t>https://turismo.marbella.es/index.php?option=com_content&amp;view=article&amp;id=850</t>
  </si>
  <si>
    <t>06.03.007</t>
  </si>
  <si>
    <t>Jardín Tropical</t>
  </si>
  <si>
    <t>36.501822, -4.927899</t>
  </si>
  <si>
    <t>06.03.008</t>
  </si>
  <si>
    <t>36.522133, -4.965470</t>
  </si>
  <si>
    <t>https://turismo.marbella.es/index.php?option=com_content&amp;view=article&amp;id=851</t>
  </si>
  <si>
    <t>06.03.009</t>
  </si>
  <si>
    <t>Parque Antonio Gálvez Olmedo</t>
  </si>
  <si>
    <t>36.493666, -4.786377</t>
  </si>
  <si>
    <t>06.03.010</t>
  </si>
  <si>
    <t>Parque Arroyo de la Represa</t>
  </si>
  <si>
    <t>36.514063, -4.883318</t>
  </si>
  <si>
    <t>https://turismo.marbella.es/index.php?option=com_content&amp;view=article&amp;id=852</t>
  </si>
  <si>
    <t>06.03.011</t>
  </si>
  <si>
    <t>Parque de La Alameda</t>
  </si>
  <si>
    <t>36.508703, -4.885695</t>
  </si>
  <si>
    <t>Avenida de Ramón y Cajal</t>
  </si>
  <si>
    <t>https://turismo.marbella.es/index.php?option=com_content&amp;view=article&amp;id=3602</t>
  </si>
  <si>
    <t>06.03.012</t>
  </si>
  <si>
    <t>Parque de la avenida</t>
  </si>
  <si>
    <t>36.481518, -4.995107</t>
  </si>
  <si>
    <t>avenida Virgen del Rocio</t>
  </si>
  <si>
    <t>06.03.013</t>
  </si>
  <si>
    <t>Parque de la Constitución</t>
  </si>
  <si>
    <t>36.508106, -4.891690</t>
  </si>
  <si>
    <t>https://turismo.marbella.es/index.php?option=com_content&amp;view=article&amp;id=853</t>
  </si>
  <si>
    <t>06.03.014</t>
  </si>
  <si>
    <t>Parque de las Damas</t>
  </si>
  <si>
    <t>36.513084, -4.877395</t>
  </si>
  <si>
    <t>06.03.015</t>
  </si>
  <si>
    <t>Parque de Los Enamorados</t>
  </si>
  <si>
    <t>36.511761, -4.900125</t>
  </si>
  <si>
    <t>https://turismo.marbella.es/index.php?option=com_content&amp;view=article&amp;id=7605</t>
  </si>
  <si>
    <t>06.03.016</t>
  </si>
  <si>
    <t>Parque de los Tres Jardines</t>
  </si>
  <si>
    <t>36.495601, -4.991500</t>
  </si>
  <si>
    <t>https://turismo.marbella.es/index.php?option=com_content&amp;view=article&amp;id=854</t>
  </si>
  <si>
    <t>06.03.017</t>
  </si>
  <si>
    <t>Parque de Nagüeles</t>
  </si>
  <si>
    <t>36.523165, -4.922276</t>
  </si>
  <si>
    <t>https://turismo.marbella.es/index.php?option=com_content&amp;view=article&amp;id=855</t>
  </si>
  <si>
    <t>06.03.018</t>
  </si>
  <si>
    <t>Parque del Arquillo</t>
  </si>
  <si>
    <t>36.487445, -4.994402</t>
  </si>
  <si>
    <t>06.03.019</t>
  </si>
  <si>
    <t>Parque del Mediterráneo</t>
  </si>
  <si>
    <t>36.507989, -4.860113</t>
  </si>
  <si>
    <t>https://turismo.marbella.es/index.php?option=com_content&amp;view=article&amp;id=7156</t>
  </si>
  <si>
    <t>06.03.020</t>
  </si>
  <si>
    <t>Parque El Mirador</t>
  </si>
  <si>
    <t>36.520181, -4.896453</t>
  </si>
  <si>
    <t>06.03.021</t>
  </si>
  <si>
    <t>Parque Finlandia</t>
  </si>
  <si>
    <t>36.509767, -4.901592</t>
  </si>
  <si>
    <t>06.03.022</t>
  </si>
  <si>
    <t>Parque Francisco Cuevas Blanco</t>
  </si>
  <si>
    <t>36.506763, -4.889156</t>
  </si>
  <si>
    <t>https://turismo.marbella.es/index.php?option=com_content&amp;view=article&amp;id=3606</t>
  </si>
  <si>
    <t>06.03.023</t>
  </si>
  <si>
    <t>Parque infantil La Patera</t>
  </si>
  <si>
    <t>36.518273, -4.880209</t>
  </si>
  <si>
    <t>06.03.024</t>
  </si>
  <si>
    <t>Parque José Rodríguez de los Santos</t>
  </si>
  <si>
    <t>36.514723, -4.874104</t>
  </si>
  <si>
    <t>06.03.025</t>
  </si>
  <si>
    <t>Parque Marqués del Duero</t>
  </si>
  <si>
    <t>36.480417, -4.988427</t>
  </si>
  <si>
    <t>06.03.026</t>
  </si>
  <si>
    <t>Parque Vigil de Quiñones</t>
  </si>
  <si>
    <t>36.514091, -4.898462</t>
  </si>
  <si>
    <t>https://turismo.marbella.es/index.php?option=com_content&amp;view=article&amp;id=856</t>
  </si>
  <si>
    <t>06.03.027</t>
  </si>
  <si>
    <t>Parque Xarblanca</t>
  </si>
  <si>
    <t>36.525178, -4.894970</t>
  </si>
  <si>
    <t>https://turismo.marbella.es/index.php?option=com_content&amp;view=article&amp;id=3598</t>
  </si>
  <si>
    <t>06.03.028</t>
  </si>
  <si>
    <t>Plaza Arenas de San Pedro</t>
  </si>
  <si>
    <t>36.491212, -4.992584</t>
  </si>
  <si>
    <t>06.03.029</t>
  </si>
  <si>
    <t>Plaza de Antonio Banderas</t>
  </si>
  <si>
    <t>36.488588, -4.953562</t>
  </si>
  <si>
    <t>06.03.030</t>
  </si>
  <si>
    <t>Plaza de la Concordia</t>
  </si>
  <si>
    <t>36.517638, -4.878752</t>
  </si>
  <si>
    <t>06.03.031</t>
  </si>
  <si>
    <t>Plaza de Monseñor Rodrigo Bocanegra</t>
  </si>
  <si>
    <t>36.510308, -4.901236</t>
  </si>
  <si>
    <t>06.03.032</t>
  </si>
  <si>
    <t>Plaza del Mar</t>
  </si>
  <si>
    <t>36.509212, -4.898916</t>
  </si>
  <si>
    <t>https://turismo.marbella.es/index.php?option=com_content&amp;view=article&amp;id=3608</t>
  </si>
  <si>
    <t>06.03.033</t>
  </si>
  <si>
    <t>Plaza el Ejido</t>
  </si>
  <si>
    <t>36.509261, -4.883209</t>
  </si>
  <si>
    <t>06.03.034</t>
  </si>
  <si>
    <t>Plaza José Agüera</t>
  </si>
  <si>
    <t>36.486746, -4.990830</t>
  </si>
  <si>
    <t>06.03.035</t>
  </si>
  <si>
    <t>Plaza Juan Romero</t>
  </si>
  <si>
    <t>36.508536, -4.887849</t>
  </si>
  <si>
    <t>06.03.036</t>
  </si>
  <si>
    <t>Plaza Marqués del Turia</t>
  </si>
  <si>
    <t>36.510672, -4.876723</t>
  </si>
  <si>
    <t>06.03.037</t>
  </si>
  <si>
    <t>Plaza María Román</t>
  </si>
  <si>
    <t>36.482606, -4.989160</t>
  </si>
  <si>
    <t>06.03.038</t>
  </si>
  <si>
    <t>Plaza Pepe Santaella</t>
  </si>
  <si>
    <t>36.484323, -4.992096</t>
  </si>
  <si>
    <t>06.03.039</t>
  </si>
  <si>
    <t>Plaza Ramón Martínez</t>
  </si>
  <si>
    <t>36.509835, -4.878283</t>
  </si>
  <si>
    <t>06.04</t>
  </si>
  <si>
    <t>Rutas cicloturismo</t>
  </si>
  <si>
    <t>Rutas ciclistas señalizadas (complementaria).</t>
  </si>
  <si>
    <t>06.04.001</t>
  </si>
  <si>
    <t>[CIMA ML01] Ojén - Refugio Juanar</t>
  </si>
  <si>
    <t>36.525716, -4.881462</t>
  </si>
  <si>
    <t>https://www.retocima.es/mal01.htm</t>
  </si>
  <si>
    <t>06.04.002</t>
  </si>
  <si>
    <t>[CIMA ML13] El Madroño * San Pedro de Alcántara</t>
  </si>
  <si>
    <t>36.500870, -5.001426</t>
  </si>
  <si>
    <t>https://www.retocima.es/mal13.htm</t>
  </si>
  <si>
    <t>07</t>
  </si>
  <si>
    <t>Turismo activo</t>
  </si>
  <si>
    <t>Cicloturismo y empresas de turismo activo.</t>
  </si>
  <si>
    <t>07.01</t>
  </si>
  <si>
    <t>Cicloturismo</t>
  </si>
  <si>
    <t>Alquiler, tiendas y rutas guiadas en bicicleta.</t>
  </si>
  <si>
    <t>https://turismo.marbella.es/vive/naturaleza/cicloturismo-2.html</t>
  </si>
  <si>
    <t>07.01.001</t>
  </si>
  <si>
    <t>Aloha Bikes</t>
  </si>
  <si>
    <t>36.499625, -4.961659</t>
  </si>
  <si>
    <t>Avda del Prado, 16, 29660 Marbella - Málaga</t>
  </si>
  <si>
    <t>https://turismo.marbella.es/index.php?option=com_content&amp;view=article&amp;id=595</t>
  </si>
  <si>
    <t>07.01.002</t>
  </si>
  <si>
    <t>Alquilo Scooter Marbella</t>
  </si>
  <si>
    <t>36.509281, -4.893251</t>
  </si>
  <si>
    <t>Avda. Arias Maldonado s/n Parking Público Occidental, Planta -1 (frente al puesto de control del parking) 29602 Marbella</t>
  </si>
  <si>
    <t>https://turismo.marbella.es/index.php?option=com_content&amp;view=article&amp;id=6463</t>
  </si>
  <si>
    <t>07.01.003</t>
  </si>
  <si>
    <t>Benalmadena Segway Tours &amp; Bikes</t>
  </si>
  <si>
    <t>36.490410, -4.950218</t>
  </si>
  <si>
    <t>https://www.marbellasegwaytours.com/</t>
  </si>
  <si>
    <t>07.01.004</t>
  </si>
  <si>
    <t>Bicitur</t>
  </si>
  <si>
    <t>36.485539, -4.991267</t>
  </si>
  <si>
    <t>C/ Vélez Málaga, 4, local 1 29670 San Pedro Alcántara</t>
  </si>
  <si>
    <t>https://turismo.marbella.es/index.php?option=com_content&amp;view=article&amp;id=7143</t>
  </si>
  <si>
    <t>07.01.005</t>
  </si>
  <si>
    <t>Bike Base</t>
  </si>
  <si>
    <t>36.483263, -4.987813</t>
  </si>
  <si>
    <t>Avenida Luis Braille 24</t>
  </si>
  <si>
    <t>https://www.bikebase.es/</t>
  </si>
  <si>
    <t>07.01.006</t>
  </si>
  <si>
    <t>Bike Philosophy</t>
  </si>
  <si>
    <t>36.509841, -4.868969</t>
  </si>
  <si>
    <t>Polígono Industrial La Ermita C/ Carbón 29601 Marbella.</t>
  </si>
  <si>
    <t>https://turismo.marbella.es/index.php?option=com_content&amp;view=article&amp;id=567</t>
  </si>
  <si>
    <t>07.01.007</t>
  </si>
  <si>
    <t>Bike Philosophy Marbella</t>
  </si>
  <si>
    <t>36.515972, -4.880576</t>
  </si>
  <si>
    <t>Avenida Arias de Velasco 8</t>
  </si>
  <si>
    <t>07.01.008</t>
  </si>
  <si>
    <t>Carril Bicicletas Marbella</t>
  </si>
  <si>
    <t>https://turismo.marbella.es/index.php?option=com_content&amp;view=article&amp;id=7855</t>
  </si>
  <si>
    <t>07.01.009</t>
  </si>
  <si>
    <t>Costa Deluxe</t>
  </si>
  <si>
    <t>36.507406, -4.885039</t>
  </si>
  <si>
    <t>Avda. Duque de Ahumada, 3 - 29602 Marbella</t>
  </si>
  <si>
    <t>https://turismo.marbella.es/index.php?option=com_content&amp;view=article&amp;id=2612</t>
  </si>
  <si>
    <t>07.01.010</t>
  </si>
  <si>
    <t>Fantastica Playa les Cucis</t>
  </si>
  <si>
    <t>36.494089, -4.944885</t>
  </si>
  <si>
    <t>https://marbellarentabike.com/</t>
  </si>
  <si>
    <t>07.01.011</t>
  </si>
  <si>
    <t>Faro Bikes</t>
  </si>
  <si>
    <t>36.507442, -4.889052</t>
  </si>
  <si>
    <t>Av. Duque de Ahumada, 11, Edificio Marbella 2000, Local 5, 29602 Marbella, Málaga</t>
  </si>
  <si>
    <t>https://turismo.marbella.es/index.php?option=com_content&amp;view=article&amp;id=568</t>
  </si>
  <si>
    <t>07.01.012</t>
  </si>
  <si>
    <t>Gravitate Bikes</t>
  </si>
  <si>
    <t>36.484229, -4.987924</t>
  </si>
  <si>
    <t>Av. Lope de Mena, 14, 29670 San Pedro Alcántara.</t>
  </si>
  <si>
    <t>https://turismo.marbella.es/index.php?option=com_content&amp;view=article&amp;id=8263</t>
  </si>
  <si>
    <t>07.01.013</t>
  </si>
  <si>
    <t>Green Bikes</t>
  </si>
  <si>
    <t>36.511200, -4.886903</t>
  </si>
  <si>
    <t>C/ Jacinto Benavente, 5 - local 1B29601 Marbella</t>
  </si>
  <si>
    <t>https://turismo.marbella.es/index.php?option=com_content&amp;view=article&amp;id=7144</t>
  </si>
  <si>
    <t>07.01.014</t>
  </si>
  <si>
    <t>Kamaga Bike Tours &amp; Rentals</t>
  </si>
  <si>
    <t>36.519222, -4.882240</t>
  </si>
  <si>
    <t>Calle la Rampa, 29601 Marbella, Málaga</t>
  </si>
  <si>
    <t>https://turismo.marbella.es/index.php?option=com_content&amp;view=article&amp;id=569</t>
  </si>
  <si>
    <t>07.01.015</t>
  </si>
  <si>
    <t>Marbella Rent a Bike</t>
  </si>
  <si>
    <t>36.504326, -4.978687</t>
  </si>
  <si>
    <t>Poligono Industrial Nueva Campana 87</t>
  </si>
  <si>
    <t>https://turismo.marbella.es/index.php?option=com_content&amp;view=article&amp;id=596</t>
  </si>
  <si>
    <t>07.01.016</t>
  </si>
  <si>
    <t>Moto Mercado</t>
  </si>
  <si>
    <t>36.510805, -4.901685</t>
  </si>
  <si>
    <t>Av. Ricardo Soriano, 76, 29600 Marbella, Málaga</t>
  </si>
  <si>
    <t>https://turismo.marbella.es/index.php?option=com_content&amp;view=article&amp;id=570</t>
  </si>
  <si>
    <t>07.01.017</t>
  </si>
  <si>
    <t>Motos Bicis Banús</t>
  </si>
  <si>
    <t>36.490951, -4.950803</t>
  </si>
  <si>
    <t>Centro Comercial Cristamar - Avd. Naciones Unidas loc. 64-B Puerto Banús. 29660 Marbella</t>
  </si>
  <si>
    <t>https://turismo.marbella.es/index.php?option=com_content&amp;view=article&amp;id=589</t>
  </si>
  <si>
    <t>07.01.018</t>
  </si>
  <si>
    <t>One Bike</t>
  </si>
  <si>
    <t>36.514186, -4.879323</t>
  </si>
  <si>
    <t>C/Serenata, s/n Huerto del Cura –bloque 9,local B 29603 Marbella</t>
  </si>
  <si>
    <t>https://turismo.marbella.es/index.php?option=com_content&amp;view=article&amp;id=574</t>
  </si>
  <si>
    <t>07.01.019</t>
  </si>
  <si>
    <t>Rent-2</t>
  </si>
  <si>
    <t>36.507435, -4.882521</t>
  </si>
  <si>
    <t>C/ Antonio Montero Sánchez,1 Edificio Torremarina, local 3 29602 Marbella</t>
  </si>
  <si>
    <t>https://turismo.marbella.es/index.php?option=com_content&amp;view=article&amp;id=3720</t>
  </si>
  <si>
    <t>07.01.020</t>
  </si>
  <si>
    <t>Rent4fun</t>
  </si>
  <si>
    <t>36.507383, -4.897837</t>
  </si>
  <si>
    <t>Centro Comercial Plaza del Mar 10 - 29602 Marbella.</t>
  </si>
  <si>
    <t>https://turismo.marbella.es/index.php?option=com_content&amp;view=article&amp;id=580</t>
  </si>
  <si>
    <t>07.01.021</t>
  </si>
  <si>
    <t>Riderlix</t>
  </si>
  <si>
    <t>36.509976, -4.893857</t>
  </si>
  <si>
    <t>C/ Ramón Gómez de la Serna, Planta 1- 29602 Marbella</t>
  </si>
  <si>
    <t>https://turismo.marbella.es/index.php?option=com_content&amp;view=article&amp;id=7741</t>
  </si>
  <si>
    <t>07.01.022</t>
  </si>
  <si>
    <t>Samoa</t>
  </si>
  <si>
    <t>36.508857, -4.911595</t>
  </si>
  <si>
    <t>Urb. Marbellamar, 8, 29602 Marbella, Málaga</t>
  </si>
  <si>
    <t>https://turismo.marbella.es/index.php?option=com_content&amp;view=article&amp;id=583</t>
  </si>
  <si>
    <t>07.01.023</t>
  </si>
  <si>
    <t>Sunbikes</t>
  </si>
  <si>
    <t>36.507132, -4.889467</t>
  </si>
  <si>
    <t>Terrazas del Puerto Deportivo 29602 Marbella</t>
  </si>
  <si>
    <t>https://turismo.marbella.es/index.php?option=com_content&amp;view=article&amp;id=586</t>
  </si>
  <si>
    <t>07.01.024</t>
  </si>
  <si>
    <t>Tienda Ciclista Grupo Biciclick</t>
  </si>
  <si>
    <t>36.482121, -4.992838</t>
  </si>
  <si>
    <t>C/Vélez Málaga 4. Local 1 29670 San Pedro de Alcántara (Marbella, Málaga)</t>
  </si>
  <si>
    <t>https://turismo.marbella.es/index.php?option=com_content&amp;view=article&amp;id=599</t>
  </si>
  <si>
    <t>07.02</t>
  </si>
  <si>
    <t>Empresas de turismo activo</t>
  </si>
  <si>
    <t>Empresas de turismo activo y guías de montaña.</t>
  </si>
  <si>
    <t>https://turismo.marbella.es/vive/naturaleza/turismo-activo.html</t>
  </si>
  <si>
    <t>07.02.001</t>
  </si>
  <si>
    <t>Born To Be Wild</t>
  </si>
  <si>
    <t>36.481729, -4.992346</t>
  </si>
  <si>
    <t>C/ Igualada, 3 29670 San Pedro Alcántara - Marbella</t>
  </si>
  <si>
    <t>https://turismo.marbella.es/index.php?option=com_content&amp;view=article&amp;id=531</t>
  </si>
  <si>
    <t>07.02.002</t>
  </si>
  <si>
    <t>C-Walkers</t>
  </si>
  <si>
    <t>https://turismo.marbella.es/index.php?option=com_content&amp;view=article&amp;id=8076</t>
  </si>
  <si>
    <t>07.02.003</t>
  </si>
  <si>
    <t>Fuerte Nagüeles</t>
  </si>
  <si>
    <t>36.522636, -4.923513</t>
  </si>
  <si>
    <t>Albergue Juvenil Fuerte Nagüeles Pinar de Nagüeles s/n 29601 – Marbella – España</t>
  </si>
  <si>
    <t>https://turismo.marbella.es/index.php?option=com_content&amp;view=article&amp;id=533</t>
  </si>
  <si>
    <t>07.02.004</t>
  </si>
  <si>
    <t>Indiana Natura</t>
  </si>
  <si>
    <t>36.485524, -4.988030</t>
  </si>
  <si>
    <t>C/ Carlota Navarrete, 3 29670 San Pedro Alcántara - Marbella</t>
  </si>
  <si>
    <t>https://turismo.marbella.es/index.php?option=com_content&amp;view=article&amp;id=534</t>
  </si>
  <si>
    <t>07.02.005</t>
  </si>
  <si>
    <t>Jon Sanz (Guía de Montaña)</t>
  </si>
  <si>
    <t>https://turismo.marbella.es/index.php?option=com_content&amp;view=article&amp;id=539</t>
  </si>
  <si>
    <t>07.02.006</t>
  </si>
  <si>
    <t>Marbella Adventures</t>
  </si>
  <si>
    <t>C/ Sp 28 de Febrero, 14, 29670 San Pedro Alcántara</t>
  </si>
  <si>
    <t>https://turismo.marbella.es/index.php?option=com_content&amp;view=article&amp;id=8134</t>
  </si>
  <si>
    <t>07.02.007</t>
  </si>
  <si>
    <t>Nalusur</t>
  </si>
  <si>
    <t>36.506718, -4.887998</t>
  </si>
  <si>
    <t>Real Club Marítimo de Marbella Virgen del Carmen - Puerto Deportivo</t>
  </si>
  <si>
    <t>https://turismo.marbella.es/index.php?option=com_content&amp;view=article&amp;id=547</t>
  </si>
  <si>
    <t>07.02.008</t>
  </si>
  <si>
    <t>Rutas Marbella</t>
  </si>
  <si>
    <t>36.510139, -4.873214</t>
  </si>
  <si>
    <t>Av. General López Domínguez, 4, 29603 Marbella</t>
  </si>
  <si>
    <t>https://turismo.marbella.es/index.php?option=com_content&amp;view=article&amp;id=7053</t>
  </si>
  <si>
    <t>07.02.009</t>
  </si>
  <si>
    <t>Sierra Blanca Natura</t>
  </si>
  <si>
    <t>36.508669, -4.929551</t>
  </si>
  <si>
    <t>Calle San Bernabé Nº 4 Plta/Piso 2 Pta/Letra B</t>
  </si>
  <si>
    <t>07.02.010</t>
  </si>
  <si>
    <t>Conjunto Puerto Deportivo De Marbella Nº 51</t>
  </si>
  <si>
    <t>07.02.011</t>
  </si>
  <si>
    <t>Team 4 You</t>
  </si>
  <si>
    <t>36.491180, -4.950478</t>
  </si>
  <si>
    <t>Avda. Naciones Unidas. C.C.Cristamar, local B-64. Puerto Banús</t>
  </si>
  <si>
    <t>https://turismo.marbella.es/index.php?option=com_content&amp;view=article&amp;id=516</t>
  </si>
  <si>
    <t>07.02.012</t>
  </si>
  <si>
    <t>Tuur Adventure Experts</t>
  </si>
  <si>
    <t>36.480670, -4.995365</t>
  </si>
  <si>
    <t>C/ Soria nº 16, local 3 29670 San Pedro Alcántara</t>
  </si>
  <si>
    <t>https://turismo.marbella.es/index.php?option=com_content&amp;view=article&amp;id=529</t>
  </si>
  <si>
    <t>08</t>
  </si>
  <si>
    <t>Compras</t>
  </si>
  <si>
    <t>Mercados, centros comerciales y firmas de moda.</t>
  </si>
  <si>
    <t>https://turismo.marbella.es/vive/compras.html</t>
  </si>
  <si>
    <t>08.01</t>
  </si>
  <si>
    <t>Mercados y mercadillos</t>
  </si>
  <si>
    <t>Mercados municipales de abastos y mercadillos.</t>
  </si>
  <si>
    <t>https://turismo.marbella.es/vive/compras/mercados-de-abastos-y-mercadillos.html</t>
  </si>
  <si>
    <t>08.01.001</t>
  </si>
  <si>
    <t>Mercadillo Acuam San Pedro Alcántara</t>
  </si>
  <si>
    <t>36.478290, -4.977183</t>
  </si>
  <si>
    <t>Paseo Marítimo San Pedro, Avda. Carlos Cano, (Restaurante el Alabardero) 29670 San Pedro Alcántara.</t>
  </si>
  <si>
    <t>https://turismo.marbella.es/index.php?option=com_content&amp;view=article&amp;id=4676</t>
  </si>
  <si>
    <t>08.01.002</t>
  </si>
  <si>
    <t>Mercadillo Culturalte San Pedro Alcántara</t>
  </si>
  <si>
    <t>https://turismo.marbella.es/index.php?option=com_content&amp;view=article&amp;id=7140</t>
  </si>
  <si>
    <t>08.01.003</t>
  </si>
  <si>
    <t>Mercadillo de Las Chapas</t>
  </si>
  <si>
    <t>36.496855, -4.780740</t>
  </si>
  <si>
    <t>Pinar de Elviria. Calle Pinsapo. Las Chapas. Marbella</t>
  </si>
  <si>
    <t>https://turismo.marbella.es/index.php?option=com_content&amp;view=article&amp;id=387</t>
  </si>
  <si>
    <t>08.01.004</t>
  </si>
  <si>
    <t>Mercadillo Ecológico</t>
  </si>
  <si>
    <t>36.496348, -4.775781</t>
  </si>
  <si>
    <t>Avda. España. Pinares de Elviria - 29604 Elviria</t>
  </si>
  <si>
    <t>https://turismo.marbella.es/index.php?option=com_content&amp;view=article&amp;id=671</t>
  </si>
  <si>
    <t>08.01.005</t>
  </si>
  <si>
    <t>Mercadillo Marbella</t>
  </si>
  <si>
    <t>36.513334, -4.872333</t>
  </si>
  <si>
    <t>Avenida José Manuel Vallés</t>
  </si>
  <si>
    <t>https://turismo.marbella.es/index.php?option=com_content&amp;view=article&amp;id=385</t>
  </si>
  <si>
    <t>08.01.006</t>
  </si>
  <si>
    <t>Mercadillo Puerto Banús</t>
  </si>
  <si>
    <t>36.492362, -4.959911</t>
  </si>
  <si>
    <t>Avenida Pilar Calvo - 29660 Puerto Banús</t>
  </si>
  <si>
    <t>https://turismo.marbella.es/index.php?option=com_content&amp;view=article&amp;id=386</t>
  </si>
  <si>
    <t>08.01.007</t>
  </si>
  <si>
    <t>Mercadillo San Pedro Alcántara</t>
  </si>
  <si>
    <t>36.491043, -4.994716</t>
  </si>
  <si>
    <t>C/ Jorge Guillén - 29670 San Pedro Alcántara</t>
  </si>
  <si>
    <t>https://turismo.marbella.es/index.php?option=com_content&amp;view=article&amp;id=384</t>
  </si>
  <si>
    <t>08.01.008</t>
  </si>
  <si>
    <t>Mercado Azalea</t>
  </si>
  <si>
    <t>36.485925, -4.971667</t>
  </si>
  <si>
    <t>08.01.009</t>
  </si>
  <si>
    <t>Mercado Central</t>
  </si>
  <si>
    <t>36.511440, -4.886754</t>
  </si>
  <si>
    <t>08.01.010</t>
  </si>
  <si>
    <t>Mercado Municipal de Marbella</t>
  </si>
  <si>
    <t>36.511356, -4.886729</t>
  </si>
  <si>
    <t>Calle Francisco de Quevedo, 29601 Marbella</t>
  </si>
  <si>
    <t>https://turismo.marbella.es/index.php?option=com_content&amp;view=article&amp;id=6471</t>
  </si>
  <si>
    <t>08.01.011</t>
  </si>
  <si>
    <t>Mercado Municipal Divina Pastora</t>
  </si>
  <si>
    <t>36.512314, -4.880601</t>
  </si>
  <si>
    <t>Calle José Chacón, 29601 Marbella.</t>
  </si>
  <si>
    <t>https://turismo.marbella.es/index.php?option=com_content&amp;view=article&amp;id=6472</t>
  </si>
  <si>
    <t>08.01.012</t>
  </si>
  <si>
    <t>Mercado Municipal San Pedro Alcántara</t>
  </si>
  <si>
    <t>36.487780, -4.991754</t>
  </si>
  <si>
    <t>Calle Caravaca, 1, 29670 San Pedro Alcántara</t>
  </si>
  <si>
    <t>https://turismo.marbella.es/index.php?option=com_content&amp;view=article&amp;id=6473</t>
  </si>
  <si>
    <t>08.01.013</t>
  </si>
  <si>
    <t>Muestra Internacional de Artesanía</t>
  </si>
  <si>
    <t>36.488693, -4.953597</t>
  </si>
  <si>
    <t>Plaza Antonio Banderas, 29660 Puerto Banús.</t>
  </si>
  <si>
    <t>https://turismo.marbella.es/index.php?option=com_content&amp;view=article&amp;id=7139</t>
  </si>
  <si>
    <t>08.01.014</t>
  </si>
  <si>
    <t>Soho Market Marbella</t>
  </si>
  <si>
    <t>36.473760, -5.004565</t>
  </si>
  <si>
    <t>CC Guadalmina IV, Local 30 Bajo, 29670 San Pedro Alcántara</t>
  </si>
  <si>
    <t>https://turismo.marbella.es/index.php?option=com_content&amp;view=article&amp;id=2679</t>
  </si>
  <si>
    <t>08.01.015</t>
  </si>
  <si>
    <t>Street Market Arena</t>
  </si>
  <si>
    <t>36.492121, -4.959306</t>
  </si>
  <si>
    <t>Antigua Pl. de Toros, Av. Pilar Calvo, s/n, 29660 Marbella</t>
  </si>
  <si>
    <t>https://turismo.marbella.es/index.php?option=com_content&amp;view=article&amp;id=4784</t>
  </si>
  <si>
    <t>08.01.016</t>
  </si>
  <si>
    <t>Zoco del Sol</t>
  </si>
  <si>
    <t>36.490837, -4.948918</t>
  </si>
  <si>
    <t>Paseo Marítimo Alberto Vidiella Tudores (Junto a estatua de “El Marbellero”) 29660 Puerto Banús</t>
  </si>
  <si>
    <t>https://turismo.marbella.es/index.php?option=com_content&amp;view=article&amp;id=4674</t>
  </si>
  <si>
    <t>08.02</t>
  </si>
  <si>
    <t>Centros comerciales</t>
  </si>
  <si>
    <t>Centros comerciales y grandes almacenes.</t>
  </si>
  <si>
    <t>https://turismo.marbella.es/vive/compras/centros-comerciales.html</t>
  </si>
  <si>
    <t>08.02.001</t>
  </si>
  <si>
    <t>Centro Comercial Doña Pepa</t>
  </si>
  <si>
    <t>36.493080, -4.749657</t>
  </si>
  <si>
    <t>Av. la Reserva de Marbella, 29604 Las Chapas - Marbella</t>
  </si>
  <si>
    <t>https://turismo.marbella.es/index.php?option=com_content&amp;view=article&amp;id=7128</t>
  </si>
  <si>
    <t>08.02.002</t>
  </si>
  <si>
    <t>Centro Comercial El Corte Inglés El Capricho</t>
  </si>
  <si>
    <t>36.510797, -4.903045</t>
  </si>
  <si>
    <t>Bulevar Principe Alfonso Hohenlohe, 2 - 29602 Marbella</t>
  </si>
  <si>
    <t>https://turismo.marbella.es/index.php?option=com_content&amp;view=article&amp;id=390</t>
  </si>
  <si>
    <t>08.02.003</t>
  </si>
  <si>
    <t>Centro Comercial Guadalmina</t>
  </si>
  <si>
    <t>36.474574, -5.002606</t>
  </si>
  <si>
    <t>Urb. Guadalmina - 29670 San Pedro Alcántara</t>
  </si>
  <si>
    <t>https://turismo.marbella.es/index.php?option=com_content&amp;view=article&amp;id=391</t>
  </si>
  <si>
    <t>08.02.004</t>
  </si>
  <si>
    <t>Centro comercial Las Flores</t>
  </si>
  <si>
    <t>36.511418, -4.892199</t>
  </si>
  <si>
    <t>08.02.005</t>
  </si>
  <si>
    <t>Centro Comercial Nuevo Rosario</t>
  </si>
  <si>
    <t>36.504934, -4.809446</t>
  </si>
  <si>
    <t>Calle Rosemary, 3, 29604 Marbella</t>
  </si>
  <si>
    <t>https://turismo.marbella.es/index.php?option=com_content&amp;view=article&amp;id=7129</t>
  </si>
  <si>
    <t>08.02.006</t>
  </si>
  <si>
    <t>Centro Plaza</t>
  </si>
  <si>
    <t>36.493130, -4.960038</t>
  </si>
  <si>
    <t>Avda. Manolete, 1.29660 Nueva Andalucía</t>
  </si>
  <si>
    <t>https://turismo.marbella.es/index.php?option=com_content&amp;view=article&amp;id=388</t>
  </si>
  <si>
    <t>08.02.007</t>
  </si>
  <si>
    <t>Cristamar</t>
  </si>
  <si>
    <t>36.491127, -4.950758</t>
  </si>
  <si>
    <t>C/ Naciones Unidas, s/n - 29660 Puerto Banús</t>
  </si>
  <si>
    <t>https://turismo.marbella.es/index.php?option=com_content&amp;view=article&amp;id=389</t>
  </si>
  <si>
    <t>08.02.008</t>
  </si>
  <si>
    <t>El Corte Inglés Marbella</t>
  </si>
  <si>
    <t>36.490734, -4.952618</t>
  </si>
  <si>
    <t>C/ Ramón Areces, s/n, 29660 Puerto Banús</t>
  </si>
  <si>
    <t>https://turismo.marbella.es/index.php?option=com_content&amp;view=article&amp;id=5559</t>
  </si>
  <si>
    <t>08.02.009</t>
  </si>
  <si>
    <t>Forum</t>
  </si>
  <si>
    <t>36.505375, -4.923777</t>
  </si>
  <si>
    <t>Av. Bulevar Príncipe Alfonso de Hohenlohe, 7 - 29602 Marbella</t>
  </si>
  <si>
    <t>https://turismo.marbella.es/index.php?option=com_content&amp;view=article&amp;id=7413</t>
  </si>
  <si>
    <t>08.02.010</t>
  </si>
  <si>
    <t>La Cañada Shopping</t>
  </si>
  <si>
    <t>36.521982, -4.874004</t>
  </si>
  <si>
    <t>Carretera de Ojén s/n, 29603 Marbella</t>
  </si>
  <si>
    <t>https://turismo.marbella.es/index.php?option=com_content&amp;view=article&amp;id=392</t>
  </si>
  <si>
    <t>08.02.011</t>
  </si>
  <si>
    <t>La Cañada Shopping Parking</t>
  </si>
  <si>
    <t>36.521187, -4.874595</t>
  </si>
  <si>
    <t>https://turismo.marbella.es/index.php?option=com_content&amp;view=article&amp;id=7725</t>
  </si>
  <si>
    <t>08.02.012</t>
  </si>
  <si>
    <t>36.479733, -4.995245</t>
  </si>
  <si>
    <t>Av. Virgen del Rocío, 29670 San Pedro Alcántara</t>
  </si>
  <si>
    <t>https://turismo.marbella.es/index.php?option=com_content&amp;view=article&amp;id=393</t>
  </si>
  <si>
    <t>08.02.013</t>
  </si>
  <si>
    <t>Los Pinares de Elviria</t>
  </si>
  <si>
    <t>36.495649, -4.777513</t>
  </si>
  <si>
    <t>Urb. Cerrado de Elviria, A-7 Km 192 29604 Marbella</t>
  </si>
  <si>
    <t>https://turismo.marbella.es/index.php?option=com_content&amp;view=article&amp;id=7734</t>
  </si>
  <si>
    <t>08.02.014</t>
  </si>
  <si>
    <t>Marina Banús Centro Comercial</t>
  </si>
  <si>
    <t>36.489928, -4.952011</t>
  </si>
  <si>
    <t>C/ Ramón Areces, s/n - 29660 Puerto Banús</t>
  </si>
  <si>
    <t>https://turismo.marbella.es/index.php?option=com_content&amp;view=article&amp;id=395</t>
  </si>
  <si>
    <t>08.02.015</t>
  </si>
  <si>
    <t>36.507738, -4.898215</t>
  </si>
  <si>
    <t>Calle Camilo José Cela 17</t>
  </si>
  <si>
    <t>08.02.016</t>
  </si>
  <si>
    <t>RS 20</t>
  </si>
  <si>
    <t>36.510232, -4.888537</t>
  </si>
  <si>
    <t>08.02.017</t>
  </si>
  <si>
    <t>Zona comercial Tembo</t>
  </si>
  <si>
    <t>36.489612, -4.953870</t>
  </si>
  <si>
    <t>Urb. Puerto José Banús, 29660 Puerto Banús</t>
  </si>
  <si>
    <t>https://turismo.marbella.es/index.php?option=com_content&amp;view=article&amp;id=396</t>
  </si>
  <si>
    <t>08.03</t>
  </si>
  <si>
    <t>Firmas de moda</t>
  </si>
  <si>
    <t>Tiendas de las grandes firmas de moda (Puerto Banús, Marbella Club, Puente Romano, La Cañada…).</t>
  </si>
  <si>
    <t>https://turismo.marbella.es/vive/compras/firmas-de-moda.html</t>
  </si>
  <si>
    <t>08.03.001</t>
  </si>
  <si>
    <t>All Saints</t>
  </si>
  <si>
    <t>36.489804, -4.952768</t>
  </si>
  <si>
    <t>Calle Ramón Areces s/n 29660 Puerto Banús</t>
  </si>
  <si>
    <t>https://turismo.marbella.es/index.php?option=com_content&amp;view=article&amp;id=6857</t>
  </si>
  <si>
    <t>08.03.002</t>
  </si>
  <si>
    <t>Bottega Venetta Marbella Club</t>
  </si>
  <si>
    <t>36.506780, -4.919075</t>
  </si>
  <si>
    <t>Muelle Ribera , Casa F, Local20 29660 Puerto Banús - 2ª Direccion: Hotel Marbella Club Avenida Bulevar Príncipe Alfonso Von Hohenlohe, s/n, 29602 Marbella</t>
  </si>
  <si>
    <t>https://turismo.marbella.es/index.php?option=com_content&amp;view=article&amp;id=5581</t>
  </si>
  <si>
    <t>08.03.003</t>
  </si>
  <si>
    <t>Bulgari</t>
  </si>
  <si>
    <t>36.486256, -4.954310</t>
  </si>
  <si>
    <t>C. Mlle. Ribera, Casa E, Local 3, 29660 Puerto Banús</t>
  </si>
  <si>
    <t>https://turismo.marbella.es/index.php?option=com_content&amp;view=article&amp;id=5536</t>
  </si>
  <si>
    <t>08.03.004</t>
  </si>
  <si>
    <t>Burdelier</t>
  </si>
  <si>
    <t>36.489261, -4.950138</t>
  </si>
  <si>
    <t>C. Mlle. Ribera, 11, edif N, 29660 Marbella.</t>
  </si>
  <si>
    <t>https://turismo.marbella.es/index.php?option=com_content&amp;view=article&amp;id=5657</t>
  </si>
  <si>
    <t>08.03.005</t>
  </si>
  <si>
    <t>CH Carolina Herrera</t>
  </si>
  <si>
    <t>36.485732, -4.954428</t>
  </si>
  <si>
    <t>C. Ribera, 8, 29660 Marbella.</t>
  </si>
  <si>
    <t>https://turismo.marbella.es/index.php?option=com_content&amp;view=article&amp;id=5598</t>
  </si>
  <si>
    <t>08.03.006</t>
  </si>
  <si>
    <t>Dior</t>
  </si>
  <si>
    <t>36.486723, -4.953654</t>
  </si>
  <si>
    <t>C/ Ribera, 15F, Local B, 29660 Marbella.</t>
  </si>
  <si>
    <t>https://turismo.marbella.es/index.php?option=com_content&amp;view=article&amp;id=5535</t>
  </si>
  <si>
    <t>08.03.007</t>
  </si>
  <si>
    <t>Dolce &amp; Gabanna</t>
  </si>
  <si>
    <t>36.486650, -4.953538</t>
  </si>
  <si>
    <t>C/ Ribera, Casa F Local 16 y 17, Pueblo Marinero de Ribera, 29660 Puerto Banus, Marbella.</t>
  </si>
  <si>
    <t>https://turismo.marbella.es/index.php?option=com_content&amp;view=article&amp;id=5601</t>
  </si>
  <si>
    <t>08.03.008</t>
  </si>
  <si>
    <t>Ekseption</t>
  </si>
  <si>
    <t>36.487693, -4.952329</t>
  </si>
  <si>
    <t>Muelle de Ribera, Puerto Banús, 57, 29660 Marbella.</t>
  </si>
  <si>
    <t>https://turismo.marbella.es/index.php?option=com_content&amp;view=article&amp;id=5660</t>
  </si>
  <si>
    <t>08.03.009</t>
  </si>
  <si>
    <t>Fendi</t>
  </si>
  <si>
    <t>36.486738, -4.953893</t>
  </si>
  <si>
    <t>Calle Rivera, local 6, 29660 Puerto Banus</t>
  </si>
  <si>
    <t>https://turismo.marbella.es/index.php?option=com_content&amp;view=article&amp;id=5541</t>
  </si>
  <si>
    <t>08.03.010</t>
  </si>
  <si>
    <t>Firmas de Moda de Puerto Banús</t>
  </si>
  <si>
    <t>36.488921, -4.950554</t>
  </si>
  <si>
    <t>https://turismo.marbella.es/index.php?option=com_content&amp;view=article&amp;id=2433</t>
  </si>
  <si>
    <t>08.03.011</t>
  </si>
  <si>
    <t>Fugaro Banús</t>
  </si>
  <si>
    <t>36.488752, -4.950707</t>
  </si>
  <si>
    <t>C. Mlle. Ribera, 32, Casa M, 29660 Marbella.</t>
  </si>
  <si>
    <t>https://turismo.marbella.es/index.php?option=com_content&amp;view=article&amp;id=5658</t>
  </si>
  <si>
    <t>08.03.012</t>
  </si>
  <si>
    <t>Gucci</t>
  </si>
  <si>
    <t>36.488301, -4.951361</t>
  </si>
  <si>
    <t>C. Mlle. Ribera, Locales 15-16, Bloque K, 29660 Marbella</t>
  </si>
  <si>
    <t>https://turismo.marbella.es/index.php?option=com_content&amp;view=article&amp;id=5656</t>
  </si>
  <si>
    <t>08.03.013</t>
  </si>
  <si>
    <t>Guess</t>
  </si>
  <si>
    <t>36.487575, -4.952532</t>
  </si>
  <si>
    <t>C. Mlle. Ribera, Casa, 53, 29660 Marbella.</t>
  </si>
  <si>
    <t>https://turismo.marbella.es/index.php?option=com_content&amp;view=article&amp;id=5661</t>
  </si>
  <si>
    <t>08.03.014</t>
  </si>
  <si>
    <t>Hermés Paris</t>
  </si>
  <si>
    <t>36.486571, -4.953990</t>
  </si>
  <si>
    <t>C. Ribera, 11, Bajo, Casa E, 29660 Marbella.</t>
  </si>
  <si>
    <t>https://turismo.marbella.es/index.php?option=com_content&amp;view=article&amp;id=5534</t>
  </si>
  <si>
    <t>08.03.015</t>
  </si>
  <si>
    <t>Homiés Marbella</t>
  </si>
  <si>
    <t>36.486573, -4.954257</t>
  </si>
  <si>
    <t>C/ Ribera local 12 y 13. Casa 0 Puerto Banús, 29660 Marbella.</t>
  </si>
  <si>
    <t>https://turismo.marbella.es/index.php?option=com_content&amp;view=article&amp;id=5616</t>
  </si>
  <si>
    <t>08.03.016</t>
  </si>
  <si>
    <t>Jimmy Choo</t>
  </si>
  <si>
    <t>36.489034, -4.950246</t>
  </si>
  <si>
    <t>C/ Ribera, local 5-6, Edificio Casa N, 29660, Marbella.</t>
  </si>
  <si>
    <t>https://turismo.marbella.es/index.php?option=com_content&amp;view=article&amp;id=5610</t>
  </si>
  <si>
    <t>08.03.017</t>
  </si>
  <si>
    <t>La Cañada Shopping Center</t>
  </si>
  <si>
    <t>Carretera de Ojén s/n, 29600 Marbella</t>
  </si>
  <si>
    <t>https://turismo.marbella.es/index.php?option=com_content&amp;view=article&amp;id=5558</t>
  </si>
  <si>
    <t>08.03.018</t>
  </si>
  <si>
    <t>La Martina Puerto Banús</t>
  </si>
  <si>
    <t>36.487562, -4.952586</t>
  </si>
  <si>
    <t>C. Ribera, local 52, 29660 Marbella.</t>
  </si>
  <si>
    <t>https://turismo.marbella.es/index.php?option=com_content&amp;view=article&amp;id=5662</t>
  </si>
  <si>
    <t>08.03.019</t>
  </si>
  <si>
    <t>Las Noches Ibiza en Puente Romano</t>
  </si>
  <si>
    <t>36.503813, -4.925279</t>
  </si>
  <si>
    <t>Bulevar Príncipe Alfonso von Hohenlohe, s/n, 29602 Marbella.</t>
  </si>
  <si>
    <t>https://turismo.marbella.es/index.php?option=com_content&amp;view=article&amp;id=5503</t>
  </si>
  <si>
    <t>08.03.020</t>
  </si>
  <si>
    <t>Loewe</t>
  </si>
  <si>
    <t>36.486943, -4.953141</t>
  </si>
  <si>
    <t>Casa F - Apartamento 16, C. Ribera, 29660 Marbella.</t>
  </si>
  <si>
    <t>https://turismo.marbella.es/index.php?option=com_content&amp;view=article&amp;id=5597</t>
  </si>
  <si>
    <t>08.03.021</t>
  </si>
  <si>
    <t>Loro Piana</t>
  </si>
  <si>
    <t>36.486330, -4.954531</t>
  </si>
  <si>
    <t>C. Ribera, 10, 29660 Marbella.</t>
  </si>
  <si>
    <t>https://turismo.marbella.es/index.php?option=com_content&amp;view=article&amp;id=5615</t>
  </si>
  <si>
    <t>08.03.022</t>
  </si>
  <si>
    <t>Louis Fugaro</t>
  </si>
  <si>
    <t>36.509385, -4.885191</t>
  </si>
  <si>
    <t>Calle Valdés, 12 y Calle Estación. 29602 Marbella</t>
  </si>
  <si>
    <t>https://turismo.marbella.es/index.php?option=com_content&amp;view=article&amp;id=5689</t>
  </si>
  <si>
    <t>08.03.023</t>
  </si>
  <si>
    <t>Louis Vuitton</t>
  </si>
  <si>
    <t>36.488889, -4.950430</t>
  </si>
  <si>
    <t>C. Muelle. Ribera, Casa N, 29660 Marbella./ 2ª Boutique en Marbella Club Hotel</t>
  </si>
  <si>
    <t>https://turismo.marbella.es/index.php?option=com_content&amp;view=article&amp;id=5544</t>
  </si>
  <si>
    <t>08.03.024</t>
  </si>
  <si>
    <t>Louis Vuitton Marbella Club</t>
  </si>
  <si>
    <t>36.506796, -4.918441</t>
  </si>
  <si>
    <t>Av. Bulevar Príncipe Alfonso Hohenlohe. 29602 Marbella.</t>
  </si>
  <si>
    <t>https://turismo.marbella.es/index.php?option=com_content&amp;view=article&amp;id=5509</t>
  </si>
  <si>
    <t>08.03.025</t>
  </si>
  <si>
    <t>Malo Boutique Marbella Club</t>
  </si>
  <si>
    <t>36.506618, -4.919415</t>
  </si>
  <si>
    <t>Hotel Marbella Club Avenida Bulevar Príncipe Alfonso Von Hohenlohe, s/n, 29602 Marbella.</t>
  </si>
  <si>
    <t>https://turismo.marbella.es/index.php?option=com_content&amp;view=article&amp;id=5510</t>
  </si>
  <si>
    <t>08.03.026</t>
  </si>
  <si>
    <t>Marc Cain</t>
  </si>
  <si>
    <t>36.507499, -4.896991</t>
  </si>
  <si>
    <t>C/ Camilo Jose Cela, 17. 29600 Marbella.</t>
  </si>
  <si>
    <t>https://turismo.marbella.es/index.php?option=com_content&amp;view=article&amp;id=5515</t>
  </si>
  <si>
    <t>08.03.027</t>
  </si>
  <si>
    <t>Max Mara</t>
  </si>
  <si>
    <t>36.488513, -4.951182</t>
  </si>
  <si>
    <t>C. C. El Corte Inglés C/ Ramón Areces - 29660 Marbella</t>
  </si>
  <si>
    <t>https://turismo.marbella.es/index.php?option=com_content&amp;view=article&amp;id=5613</t>
  </si>
  <si>
    <t>08.03.028</t>
  </si>
  <si>
    <t>Orlebar Brown</t>
  </si>
  <si>
    <t>Hotel Puente Romano - Autovía del Mediterráneo, 177 - 29602 Marbella</t>
  </si>
  <si>
    <t>https://turismo.marbella.es/index.php?option=com_content&amp;view=article&amp;id=5502</t>
  </si>
  <si>
    <t>08.03.029</t>
  </si>
  <si>
    <t>Peserico</t>
  </si>
  <si>
    <t>36.488986, -4.950195</t>
  </si>
  <si>
    <t>C. Ribera, 21, 13C, 29660 Marbella.</t>
  </si>
  <si>
    <t>https://turismo.marbella.es/index.php?option=com_content&amp;view=article&amp;id=6158</t>
  </si>
  <si>
    <t>08.03.030</t>
  </si>
  <si>
    <t>Philipp Plein</t>
  </si>
  <si>
    <t>36.488397, -4.951202</t>
  </si>
  <si>
    <t>C. Mlle. Ribera, 19, 29660 Marbella.</t>
  </si>
  <si>
    <t>https://turismo.marbella.es/index.php?option=com_content&amp;view=article&amp;id=5659</t>
  </si>
  <si>
    <t>08.03.031</t>
  </si>
  <si>
    <t>Pinko Boutique</t>
  </si>
  <si>
    <t>36.488777, -4.950425</t>
  </si>
  <si>
    <t>Muelle Ribera - Edificio de Levante Local 1 Puerto Banús 29660 Marbella.</t>
  </si>
  <si>
    <t>https://turismo.marbella.es/index.php?option=com_content&amp;view=article&amp;id=5611</t>
  </si>
  <si>
    <t>08.03.032</t>
  </si>
  <si>
    <t>Polo Ralph Lauren</t>
  </si>
  <si>
    <t>36.486357, -4.954606</t>
  </si>
  <si>
    <t>C. Ribera, 10, 29660 Marbella. Segundo establecimeinto en La Cañada</t>
  </si>
  <si>
    <t>https://turismo.marbella.es/index.php?option=com_content&amp;view=article&amp;id=5605</t>
  </si>
  <si>
    <t>08.03.033</t>
  </si>
  <si>
    <t>Pop Up Chanel en Marbella Club</t>
  </si>
  <si>
    <t>36.506774, -4.919142</t>
  </si>
  <si>
    <t>Club Hotel, Av. Bulevar Príncipe Alfonso de Hohenlohe, s/n, 29602 Marbella.</t>
  </si>
  <si>
    <t>https://turismo.marbella.es/index.php?option=com_content&amp;view=article&amp;id=5508</t>
  </si>
  <si>
    <t>08.03.034</t>
  </si>
  <si>
    <t>Salvatore Ferragamo</t>
  </si>
  <si>
    <t>36.488335, -4.951306</t>
  </si>
  <si>
    <t>C. Mlle. Ribera, local, 17 k - 29660 Marbella</t>
  </si>
  <si>
    <t>https://turismo.marbella.es/index.php?option=com_content&amp;view=article&amp;id=5543</t>
  </si>
  <si>
    <t>08.03.035</t>
  </si>
  <si>
    <t>Tom Ford</t>
  </si>
  <si>
    <t>36.486840, -4.953238</t>
  </si>
  <si>
    <t>Muelle de Ribera, 20 -Bis Puerto Banús - Casa F Local, 29660 Marbella</t>
  </si>
  <si>
    <t>https://turismo.marbella.es/index.php?option=com_content&amp;view=article&amp;id=5533</t>
  </si>
  <si>
    <t>08.03.036</t>
  </si>
  <si>
    <t>Valentino</t>
  </si>
  <si>
    <t>36.488929, -4.950148</t>
  </si>
  <si>
    <t>Muelle De Ribera, Local 3/B-4-5, 29660 Puerto Banús, Marbella.</t>
  </si>
  <si>
    <t>https://turismo.marbella.es/index.php?option=com_content&amp;view=article&amp;id=5542</t>
  </si>
  <si>
    <t>08.03.037</t>
  </si>
  <si>
    <t>Versace</t>
  </si>
  <si>
    <t>36.486804, -4.953880</t>
  </si>
  <si>
    <t>C. Ribera, Local 7, Casa P, 29660 Marbella.</t>
  </si>
  <si>
    <t>https://turismo.marbella.es/index.php?option=com_content&amp;view=article&amp;id=5600</t>
  </si>
  <si>
    <t>08.03.038</t>
  </si>
  <si>
    <t>Vilebrequin</t>
  </si>
  <si>
    <t>36.486336, -4.953994</t>
  </si>
  <si>
    <t>C. Mlle. Ribera, 9B, Casa E, 29660 Marbella.</t>
  </si>
  <si>
    <t>https://turismo.marbella.es/index.php?option=com_content&amp;view=article&amp;id=5537</t>
  </si>
  <si>
    <t>08.03.039</t>
  </si>
  <si>
    <t>Wolford</t>
  </si>
  <si>
    <t>36.486950, -4.953333</t>
  </si>
  <si>
    <t>C. Mlle. Ribera, Local 21, 29660 Marbella.</t>
  </si>
  <si>
    <t>https://turismo.marbella.es/index.php?option=com_content&amp;view=article&amp;id=5538</t>
  </si>
  <si>
    <t>08.03.040</t>
  </si>
  <si>
    <t>Yves Saint Laurent</t>
  </si>
  <si>
    <t>36.487057, -4.953454</t>
  </si>
  <si>
    <t>Muelle Rivera Planta Baja N 4, Local Q4, Edificio O.P.Q, 29660 Marbella</t>
  </si>
  <si>
    <t>https://turismo.marbella.es/index.php?option=com_content&amp;view=article&amp;id=5539</t>
  </si>
  <si>
    <t>09</t>
  </si>
  <si>
    <t>Cultura</t>
  </si>
  <si>
    <t>Centros culturales, galerías y patrimonio histórico.</t>
  </si>
  <si>
    <t>https://turismo.marbella.es/vive/cultura.html</t>
  </si>
  <si>
    <t>09.01</t>
  </si>
  <si>
    <t>Bibliotecas</t>
  </si>
  <si>
    <t>Bibliotecas municipales.</t>
  </si>
  <si>
    <t>https://turismo.marbella.es/vive/cultura/centros-culturales-municpales.html</t>
  </si>
  <si>
    <t>09.01.001</t>
  </si>
  <si>
    <t>Biblioteca Antonio Gala</t>
  </si>
  <si>
    <t>36.498421, -4.975737</t>
  </si>
  <si>
    <t>Bibliotecas Avda. Miguel de Cervantes, 15 - 29660 Nueva Andalucía - Marbella</t>
  </si>
  <si>
    <t>https://turismo.marbella.es/index.php?option=com_content&amp;view=article&amp;id=1840</t>
  </si>
  <si>
    <t>09.01.002</t>
  </si>
  <si>
    <t>Biblioteca Central Fernando Alcalá Marín</t>
  </si>
  <si>
    <t>36.513480, -4.883413</t>
  </si>
  <si>
    <t>Bibliotecas Parque de la Represa. Avenida Doctor Maíz Viñals.</t>
  </si>
  <si>
    <t>https://turismo.marbella.es/index.php?option=com_content&amp;view=article&amp;id=6654</t>
  </si>
  <si>
    <t>09.01.003</t>
  </si>
  <si>
    <t>Biblioteca J. M. Caballero Bonald</t>
  </si>
  <si>
    <t>36.496682, -4.781167</t>
  </si>
  <si>
    <t>Bibliotecas Tenencia de Alcaldía de Las Chapas. C/ Pinsapo, s/n - 29604 Marbella</t>
  </si>
  <si>
    <t>https://turismo.marbella.es/index.php?option=com_content&amp;view=article&amp;id=1843</t>
  </si>
  <si>
    <t>09.01.004</t>
  </si>
  <si>
    <t>Biblioteca José Manuel Vallés y Maíz Viñals</t>
  </si>
  <si>
    <t>36.510822, -4.881756</t>
  </si>
  <si>
    <t>Bibliotecas, Sala de estudio C/ Peñuelas, 32 - 29601 Marbella</t>
  </si>
  <si>
    <t>https://turismo.marbella.es/index.php?option=com_content&amp;view=article&amp;id=1845</t>
  </si>
  <si>
    <t>09.01.005</t>
  </si>
  <si>
    <t>Biblioteca San Pedro Alcántara</t>
  </si>
  <si>
    <t>36.487806, -4.992106</t>
  </si>
  <si>
    <t>Bibliotecas Complejo San Luis, Bl. 7 - 29670 San Pedro Alcántara - Marbella</t>
  </si>
  <si>
    <t>https://turismo.marbella.es/index.php?option=com_content&amp;view=article&amp;id=1846</t>
  </si>
  <si>
    <t>09.02</t>
  </si>
  <si>
    <t>Centros culturales municipales</t>
  </si>
  <si>
    <t>Teatro, museos, escuelas de música y centros culturales municipales</t>
  </si>
  <si>
    <t>09.02.001</t>
  </si>
  <si>
    <t>Centro Cultural Cortijo de Miraflores</t>
  </si>
  <si>
    <t>36.515863, -4.889195</t>
  </si>
  <si>
    <t>Centro cultural, Sala de estudio, Museos C/ San Pedro Alcántara s/n - 29601 Marbella</t>
  </si>
  <si>
    <t>https://turismo.marbella.es/index.php?option=com_content&amp;view=article&amp;id=1847</t>
  </si>
  <si>
    <t>09.02.002</t>
  </si>
  <si>
    <t>Centro Cultural Hospital Real de la Misericordia - Hospitalillo</t>
  </si>
  <si>
    <t>36.509275, -4.884124</t>
  </si>
  <si>
    <t>Centro cultural Plaza Practicante Manuel Cantos s/n - 29601 Marbella</t>
  </si>
  <si>
    <t>https://turismo.marbella.es/index.php?option=com_content&amp;view=article&amp;id=1848</t>
  </si>
  <si>
    <t>09.02.003</t>
  </si>
  <si>
    <t>Centro Cultural Rosa Verde</t>
  </si>
  <si>
    <t>36.483058, -4.992092</t>
  </si>
  <si>
    <t>Centro cultural, Sala de estudio Plaza de la Libertad, s/n - 29670 San Pedro Alcántara - Marbella</t>
  </si>
  <si>
    <t>https://turismo.marbella.es/index.php?option=com_content&amp;view=article&amp;id=1850</t>
  </si>
  <si>
    <t>09.02.004</t>
  </si>
  <si>
    <t>Centro Cultural Trapiche de Guadaiza</t>
  </si>
  <si>
    <t>36.486598, -4.985027</t>
  </si>
  <si>
    <t>Espacios Escénicos Avda. Oriental s/n. CP 29670 San Pedro Alcántara - Marbella</t>
  </si>
  <si>
    <t>https://turismo.marbella.es/index.php?option=com_content&amp;view=article&amp;id=1849</t>
  </si>
  <si>
    <t>09.02.005</t>
  </si>
  <si>
    <t>Centro de Artes Escénicas La Alcoholera (El Ingenio)</t>
  </si>
  <si>
    <t>36.478077, -4.994600</t>
  </si>
  <si>
    <t>Centro cultural, Museos, Espacios Escénicos C/ La Morena s/n - 29670 San Pedro Alcántara - Marbella</t>
  </si>
  <si>
    <t>https://turismo.marbella.es/index.php?option=com_content&amp;view=article&amp;id=1852</t>
  </si>
  <si>
    <t>09.02.006</t>
  </si>
  <si>
    <t>Centro Polivalente Parque de Miraflores</t>
  </si>
  <si>
    <t>36.516794, -4.891115</t>
  </si>
  <si>
    <t>Centro cultural C/ José Luis Morales Marín, 20 / local 17 - 29601 Marbella</t>
  </si>
  <si>
    <t>https://turismo.marbella.es/index.php?option=com_content&amp;view=article&amp;id=1855</t>
  </si>
  <si>
    <t>09.02.007</t>
  </si>
  <si>
    <t>Escuela Municipal de Música de San Pedro</t>
  </si>
  <si>
    <t>36.482736, -4.990981</t>
  </si>
  <si>
    <t>Centro cultural Plaza de la Libertad s/n - 29670 San Pedro Alcántara - Marbella</t>
  </si>
  <si>
    <t>https://turismo.marbella.es/index.php?option=com_content&amp;view=article&amp;id=1853</t>
  </si>
  <si>
    <t>09.02.008</t>
  </si>
  <si>
    <t>Escuela Municipal de Música y Danza de Marbella</t>
  </si>
  <si>
    <t>36.508328, -4.891508</t>
  </si>
  <si>
    <t>Centro cultural Parque de la Constitución s/n - 29601 Marbella</t>
  </si>
  <si>
    <t>https://turismo.marbella.es/index.php?option=com_content&amp;view=article&amp;id=1854</t>
  </si>
  <si>
    <t>09.02.009</t>
  </si>
  <si>
    <t>Museo del Grabado Español Contemporáneo</t>
  </si>
  <si>
    <t>36.510236, -4.882938</t>
  </si>
  <si>
    <t>Museos C/ Hospital Bazán, s/n - 29601 Marbella</t>
  </si>
  <si>
    <t>https://turismo.marbella.es/index.php?option=com_content&amp;view=article&amp;id=1857</t>
  </si>
  <si>
    <t>09.02.010</t>
  </si>
  <si>
    <t>Teatro Ciudad de Marbella</t>
  </si>
  <si>
    <t>36.509719, -4.877971</t>
  </si>
  <si>
    <t>Espacios Escénicos Plaza Ramón Martínez, 3 - 29603 Marbella</t>
  </si>
  <si>
    <t>https://turismo.marbella.es/index.php?option=com_content&amp;view=article&amp;id=1858</t>
  </si>
  <si>
    <t>09.03</t>
  </si>
  <si>
    <t>Galerías de arte</t>
  </si>
  <si>
    <t>Galerías de arte y talleres de artistas.</t>
  </si>
  <si>
    <t>https://turismo.marbella.es/vive/cultura/galerias-y-talleres-de-arte.html</t>
  </si>
  <si>
    <t>09.03.001</t>
  </si>
  <si>
    <t>Acuarela</t>
  </si>
  <si>
    <t>36.511021, -4.884873</t>
  </si>
  <si>
    <t>Taller de Arte C/ Remedios, 7. Local 1 - 29601 Marbella</t>
  </si>
  <si>
    <t>https://turismo.marbella.es/index.php?option=com_content&amp;view=article&amp;id=397</t>
  </si>
  <si>
    <t>09.03.002</t>
  </si>
  <si>
    <t>Adela Aguilera</t>
  </si>
  <si>
    <t>36.511153, -4.870115</t>
  </si>
  <si>
    <t>Taller de Arte C/Pirita 18/ C/ Alba 26 - 29603 Marbella</t>
  </si>
  <si>
    <t>https://turismo.marbella.es/index.php?option=com_content&amp;view=article&amp;id=499</t>
  </si>
  <si>
    <t>09.03.003</t>
  </si>
  <si>
    <t>Alejandro Hermann Art Gallery</t>
  </si>
  <si>
    <t>36.510187, -4.905339</t>
  </si>
  <si>
    <t>Galería de Arte C.N. Tembo,Alhambra del Mar, Local 4 29602 Marbella</t>
  </si>
  <si>
    <t>https://turismo.marbella.es/index.php?option=com_content&amp;view=article&amp;id=400</t>
  </si>
  <si>
    <t>09.03.004</t>
  </si>
  <si>
    <t>Art Wanson</t>
  </si>
  <si>
    <t>36.506779, -4.918791</t>
  </si>
  <si>
    <t>Galería de Arte Marbella</t>
  </si>
  <si>
    <t>https://turismo.marbella.es/index.php?option=com_content&amp;view=article&amp;id=401</t>
  </si>
  <si>
    <t>09.03.005</t>
  </si>
  <si>
    <t>Arte By Leyton</t>
  </si>
  <si>
    <t>36.489281, -4.951397</t>
  </si>
  <si>
    <t>Galería de Arte Avda. Julio Iglesias s/n 29660 Puerto Banús</t>
  </si>
  <si>
    <t>https://turismo.marbella.es/index.php?option=com_content&amp;view=article&amp;id=3732</t>
  </si>
  <si>
    <t>09.03.006</t>
  </si>
  <si>
    <t>Cipressi Gallery</t>
  </si>
  <si>
    <t>36.490881, -4.960477</t>
  </si>
  <si>
    <t>Centro House Marbella - Calle Las Azaleas 51 29660 Marbella.</t>
  </si>
  <si>
    <t>https://turismo.marbella.es/index.php?option=com_content&amp;view=article&amp;id=4564</t>
  </si>
  <si>
    <t>09.03.007</t>
  </si>
  <si>
    <t>Es arte Gallery</t>
  </si>
  <si>
    <t>36.507380, -4.884387</t>
  </si>
  <si>
    <t>Galería de Arte Hotel El Fuerte</t>
  </si>
  <si>
    <t>https://turismo.marbella.es/index.php?option=com_content&amp;view=article&amp;id=6329</t>
  </si>
  <si>
    <t>09.03.008</t>
  </si>
  <si>
    <t>Espona</t>
  </si>
  <si>
    <t>36.511037, -4.891880</t>
  </si>
  <si>
    <t>Galería de Arte Plaza Joaquín Gómez Agüera Edificio María II. Oficina. 4 Entresuelo – Esquina Calle Hermanos Salom 29601 Marbella.</t>
  </si>
  <si>
    <t>https://turismo.marbella.es/index.php?option=com_content&amp;view=article&amp;id=402</t>
  </si>
  <si>
    <t>09.03.009</t>
  </si>
  <si>
    <t>Excellence Art Gallery</t>
  </si>
  <si>
    <t>36.495047, -4.947102</t>
  </si>
  <si>
    <t>Galería de Arte Hotel Meliá Marbella Banús Avda. Mario Vargas Llosa s/n 29660 Marbella</t>
  </si>
  <si>
    <t>https://turismo.marbella.es/index.php?option=com_content&amp;view=article&amp;id=440</t>
  </si>
  <si>
    <t>09.03.010</t>
  </si>
  <si>
    <t>Felix Muyo</t>
  </si>
  <si>
    <t>36.495717, -4.961881</t>
  </si>
  <si>
    <t>Taller de Arte C/ Jacinto Benavente, núm. 14 C.C. Las Flores (Junto a Correos) - 29601 Marbella</t>
  </si>
  <si>
    <t>https://turismo.marbella.es/index.php?option=com_content&amp;view=article&amp;id=500</t>
  </si>
  <si>
    <t>09.03.011</t>
  </si>
  <si>
    <t>Fornara Gallery</t>
  </si>
  <si>
    <t>36.485306, -4.954879</t>
  </si>
  <si>
    <t>Galería de Arte Paseo Benabolá, 6-D 29660 Puerto Banús Marbella</t>
  </si>
  <si>
    <t>https://turismo.marbella.es/index.php?option=com_content&amp;view=article&amp;id=441</t>
  </si>
  <si>
    <t>09.03.012</t>
  </si>
  <si>
    <t>Galería de Arte Reja</t>
  </si>
  <si>
    <t>36.509681, -4.883349</t>
  </si>
  <si>
    <t>Galería de Arte Calle Misericordia 15 - 29601 Marbella</t>
  </si>
  <si>
    <t>https://turismo.marbella.es/index.php?option=com_content&amp;view=article&amp;id=444</t>
  </si>
  <si>
    <t>09.03.013</t>
  </si>
  <si>
    <t>Galería Lamanai</t>
  </si>
  <si>
    <t>Galería de Arte Calle Peral nº7 - 29601 Marbella</t>
  </si>
  <si>
    <t>https://turismo.marbella.es/index.php?option=com_content&amp;view=article&amp;id=4025</t>
  </si>
  <si>
    <t>09.03.014</t>
  </si>
  <si>
    <t>Galería Taller Ricardo Alario</t>
  </si>
  <si>
    <t>Galería de Arte C/ Paco Cerván Gómez, 1 29601 Marbella</t>
  </si>
  <si>
    <t>https://turismo.marbella.es/index.php?option=com_content&amp;view=article&amp;id=446</t>
  </si>
  <si>
    <t>09.03.015</t>
  </si>
  <si>
    <t>Isolina Arbulu</t>
  </si>
  <si>
    <t>36.517527, -4.915348</t>
  </si>
  <si>
    <t>Taller de Arte Urb. Cortijo de Nagüeles, 88D - 29602 Marbella</t>
  </si>
  <si>
    <t>https://turismo.marbella.es/index.php?option=com_content&amp;view=article&amp;id=3971</t>
  </si>
  <si>
    <t>09.03.016</t>
  </si>
  <si>
    <t>Jerónimo Muñiz</t>
  </si>
  <si>
    <t>36.514264, -4.901576</t>
  </si>
  <si>
    <t>Taller de Arte C/ Díez de Oñate s/n. Casa ‘La Viruta’ 29602 Marbella</t>
  </si>
  <si>
    <t>https://turismo.marbella.es/index.php?option=com_content&amp;view=article&amp;id=447</t>
  </si>
  <si>
    <t>09.03.017</t>
  </si>
  <si>
    <t>Jesús Chacón</t>
  </si>
  <si>
    <t>36.524296, -4.893614</t>
  </si>
  <si>
    <t>Taller de Arte Urb. Xarblanca, C/ León, 7 - 29602 Marbella</t>
  </si>
  <si>
    <t>https://turismo.marbella.es/index.php?option=com_content&amp;view=article&amp;id=501</t>
  </si>
  <si>
    <t>09.03.018</t>
  </si>
  <si>
    <t>JoGis Art Gallery</t>
  </si>
  <si>
    <t>36.498240, -4.989538</t>
  </si>
  <si>
    <t>Galería de Arte C/ Ucrania, Nave 18, Polígono Industrial San Pedro Alcántara</t>
  </si>
  <si>
    <t>https://turismo.marbella.es/index.php?option=com_content&amp;view=article&amp;id=7077</t>
  </si>
  <si>
    <t>09.03.019</t>
  </si>
  <si>
    <t>Libertad Couso Art Gallery</t>
  </si>
  <si>
    <t>36.508840, -4.886890</t>
  </si>
  <si>
    <t>Av. Miguel Cano, 6, Local 10 -29602 Marbella</t>
  </si>
  <si>
    <t>https://turismo.marbella.es/index.php?option=com_content&amp;view=article&amp;id=7153</t>
  </si>
  <si>
    <t>09.03.020</t>
  </si>
  <si>
    <t>Lía G</t>
  </si>
  <si>
    <t>36.513064, -4.880176</t>
  </si>
  <si>
    <t>Plaza. Paco Cantos, s/n – local,6 29601 – Marbella</t>
  </si>
  <si>
    <t>https://turismo.marbella.es/index.php?option=com_content&amp;view=article&amp;id=502</t>
  </si>
  <si>
    <t>09.03.021</t>
  </si>
  <si>
    <t>Messeg Design</t>
  </si>
  <si>
    <t>36.512789, -4.869070</t>
  </si>
  <si>
    <t>Galería de Arte C/ Aluminio, 6 Polígono Industrial La Ermita 29603 Marbella</t>
  </si>
  <si>
    <t>https://turismo.marbella.es/index.php?option=com_content&amp;view=article&amp;id=450</t>
  </si>
  <si>
    <t>09.03.022</t>
  </si>
  <si>
    <t>Metamorphose</t>
  </si>
  <si>
    <t>36.496953, -4.991564</t>
  </si>
  <si>
    <t>Galería de Arte Carril de Picaza, 25 San Pedro Alcántara, Marbella.</t>
  </si>
  <si>
    <t>https://turismo.marbella.es/index.php?option=com_content&amp;view=article&amp;id=6567</t>
  </si>
  <si>
    <t>09.03.023</t>
  </si>
  <si>
    <t>Museo Ralli Marbella</t>
  </si>
  <si>
    <t>36.498064, -4.940975</t>
  </si>
  <si>
    <t>Urb. Coral Beach, Rio Verde, N-340, km.176, 29602 Marbella</t>
  </si>
  <si>
    <t>https://turismo.marbella.es/index.php?option=com_content&amp;view=article&amp;id=6361</t>
  </si>
  <si>
    <t>09.03.024</t>
  </si>
  <si>
    <t>Nítido Gallery</t>
  </si>
  <si>
    <t>36.507835, -4.885898</t>
  </si>
  <si>
    <t>Galería de Arte Avda. del Mar - Edif. Marino, 1 (fachada norte)</t>
  </si>
  <si>
    <t>https://turismo.marbella.es/index.php?option=com_content&amp;view=article&amp;id=4120</t>
  </si>
  <si>
    <t>09.03.025</t>
  </si>
  <si>
    <t>Pedro Peña Art Gallery</t>
  </si>
  <si>
    <t>36.510121, -4.905157</t>
  </si>
  <si>
    <t>Galería de Arte Centro Comercial Tembo. Bloque C.CN-340 km. 179 29602 Marbella</t>
  </si>
  <si>
    <t>https://turismo.marbella.es/index.php?option=com_content&amp;view=article&amp;id=452</t>
  </si>
  <si>
    <t>09.03.026</t>
  </si>
  <si>
    <t>Perdiguero</t>
  </si>
  <si>
    <t>36.509956, -4.892899</t>
  </si>
  <si>
    <t>Taller de Arte Avda. Arias Maldonado, 3 29601 – Marbella</t>
  </si>
  <si>
    <t>https://turismo.marbella.es/index.php?option=com_content&amp;view=article&amp;id=504</t>
  </si>
  <si>
    <t>09.03.027</t>
  </si>
  <si>
    <t>Raven Art Studio Marbella</t>
  </si>
  <si>
    <t>36.510403, -4.867057</t>
  </si>
  <si>
    <t>C/ Oro num. 9 - 29603 Marbella</t>
  </si>
  <si>
    <t>https://turismo.marbella.es/index.php?option=com_content&amp;view=article&amp;id=7216</t>
  </si>
  <si>
    <t>09.03.028</t>
  </si>
  <si>
    <t>Sammer Gallery</t>
  </si>
  <si>
    <t>36.488247, -4.954295</t>
  </si>
  <si>
    <t>C/ Jesús Puente, 10 -14 29660 Puerto Banús Marbella</t>
  </si>
  <si>
    <t>https://turismo.marbella.es/index.php?option=com_content&amp;view=article&amp;id=457</t>
  </si>
  <si>
    <t>09.03.029</t>
  </si>
  <si>
    <t>Saud Rifat</t>
  </si>
  <si>
    <t>36.496420, -4.993766</t>
  </si>
  <si>
    <t>Galería de Arte Conjunto Pueblo del Río 400 A-412 Pol. Ind. San Pedro Alcántara, nº, Calle Dublin</t>
  </si>
  <si>
    <t>https://turismo.marbella.es/index.php?option=com_content&amp;view=article&amp;id=505</t>
  </si>
  <si>
    <t>09.03.030</t>
  </si>
  <si>
    <t>Sholeh Abghari</t>
  </si>
  <si>
    <t>36.507202, -4.919655</t>
  </si>
  <si>
    <t>Galería de Arte Av. Bulevar Príncipe Alfonso de Hohenlohe, s/n, 29602 Marbella.</t>
  </si>
  <si>
    <t>https://turismo.marbella.es/index.php?option=com_content&amp;view=article&amp;id=7154</t>
  </si>
  <si>
    <t>09.03.031</t>
  </si>
  <si>
    <t>Sin Studio Gallery</t>
  </si>
  <si>
    <t>36.510231, -4.898644</t>
  </si>
  <si>
    <t>Galería de Arte Avda. Ricardo Soriano, 59 - 29602 Marbella</t>
  </si>
  <si>
    <t>https://turismo.marbella.es/index.php?option=com_content&amp;view=article&amp;id=6869</t>
  </si>
  <si>
    <t>09.03.032</t>
  </si>
  <si>
    <t>Studio Marbella by Victoria Nasyrova</t>
  </si>
  <si>
    <t>36.507103, -4.953035</t>
  </si>
  <si>
    <t>Urb. Los Naranjos de Marbella, 9, Nueva Andalucía. 29660 Marbella</t>
  </si>
  <si>
    <t>https://turismo.marbella.es/index.php?option=com_content&amp;view=article&amp;id=399</t>
  </si>
  <si>
    <t>09.03.033</t>
  </si>
  <si>
    <t>Twisted Art Gallery</t>
  </si>
  <si>
    <t>36.488830, -4.954163</t>
  </si>
  <si>
    <t>Galería de Arte Plaza De Antonio Banderas, 18, 29660, Puerto Banús.</t>
  </si>
  <si>
    <t>https://turismo.marbella.es/index.php?option=com_content&amp;view=article&amp;id=5678</t>
  </si>
  <si>
    <t>09.03.034</t>
  </si>
  <si>
    <t>Victoria</t>
  </si>
  <si>
    <t>36.504721, -4.808693</t>
  </si>
  <si>
    <t>Taller de Arte Urb. El Rosario. Edificio Yellow Car 29604 Marbella</t>
  </si>
  <si>
    <t>https://turismo.marbella.es/index.php?option=com_content&amp;view=article&amp;id=463</t>
  </si>
  <si>
    <t>09.03.035</t>
  </si>
  <si>
    <t>Wanted</t>
  </si>
  <si>
    <t>36.509174, -4.890744</t>
  </si>
  <si>
    <t>Galería de Arte C. Ntra. Sra. de Gracia, 9, 29602 Marbella</t>
  </si>
  <si>
    <t>https://turismo.marbella.es/index.php?option=com_content&amp;view=article&amp;id=7155</t>
  </si>
  <si>
    <t>09.03.036</t>
  </si>
  <si>
    <t>Yellow Korner</t>
  </si>
  <si>
    <t>36.491779, -4.959049</t>
  </si>
  <si>
    <t>Galería de Arte Avda. Pilar Calvo s/n - 29660 Nueva Andalucía</t>
  </si>
  <si>
    <t>https://turismo.marbella.es/index.php?option=com_content&amp;view=article&amp;id=3975</t>
  </si>
  <si>
    <t>09.03.037</t>
  </si>
  <si>
    <t>Yusto Giner</t>
  </si>
  <si>
    <t>36.510293, -4.867623</t>
  </si>
  <si>
    <t>Galería de Arte C/ Madera, 9- Polígono Industrial La Ermita - 29603 Marbella</t>
  </si>
  <si>
    <t>https://turismo.marbella.es/index.php?option=com_content&amp;view=article&amp;id=464</t>
  </si>
  <si>
    <t>09.04</t>
  </si>
  <si>
    <t>Casco histórico</t>
  </si>
  <si>
    <t>Plazas, iglesias y edificios del casco antiguo.</t>
  </si>
  <si>
    <t>https://turismo.marbella.es/vive/cultura/patrimonio-historico/casco-historico.html</t>
  </si>
  <si>
    <t>09.04.001</t>
  </si>
  <si>
    <t>36.507832, -4.886429</t>
  </si>
  <si>
    <t>https://turismo.marbella.es/index.php?option=com_content&amp;view=article&amp;id=1760</t>
  </si>
  <si>
    <t>09.04.002</t>
  </si>
  <si>
    <t>Ayuntamiento - Casa Consistorial</t>
  </si>
  <si>
    <t>36.510390, -4.885026</t>
  </si>
  <si>
    <t>Plaza de los Naranjos, 1, 29601 Marbella</t>
  </si>
  <si>
    <t>https://turismo.marbella.es/index.php?option=com_content&amp;view=article&amp;id=1747</t>
  </si>
  <si>
    <t>09.04.003</t>
  </si>
  <si>
    <t>Calle Ancha</t>
  </si>
  <si>
    <t>36.511322, -4.885306</t>
  </si>
  <si>
    <t>https://turismo.marbella.es/index.php?option=com_content&amp;view=article&amp;id=1756</t>
  </si>
  <si>
    <t>09.04.004</t>
  </si>
  <si>
    <t>Capilla de San Juan de Dios</t>
  </si>
  <si>
    <t>36.509431, -4.884127</t>
  </si>
  <si>
    <t>C/ Misericordia, 2, 29601 Marbella</t>
  </si>
  <si>
    <t>https://turismo.marbella.es/index.php?option=com_content&amp;view=article&amp;id=1770</t>
  </si>
  <si>
    <t>09.04.005</t>
  </si>
  <si>
    <t>Capilla del Santo Sepulcro</t>
  </si>
  <si>
    <t>36.510281, -4.883023</t>
  </si>
  <si>
    <t>https://turismo.marbella.es/index.php?option=com_content&amp;view=article&amp;id=1755</t>
  </si>
  <si>
    <t>09.04.006</t>
  </si>
  <si>
    <t>Casa del Corregidor</t>
  </si>
  <si>
    <t>36.510108, -4.885361</t>
  </si>
  <si>
    <t>Pl. de los Naranjos, 6, 29601 Marbella</t>
  </si>
  <si>
    <t>https://turismo.marbella.es/index.php?option=com_content&amp;view=article&amp;id=1761</t>
  </si>
  <si>
    <t>09.04.007</t>
  </si>
  <si>
    <t>Casona de los Cano Saldaña</t>
  </si>
  <si>
    <t>36.509594, -4.883108</t>
  </si>
  <si>
    <t>https://turismo.marbella.es/index.php?option=com_content&amp;view=article&amp;id=1754</t>
  </si>
  <si>
    <t>09.04.008</t>
  </si>
  <si>
    <t>Castillo de Marbella: Alcazaba y Muralla</t>
  </si>
  <si>
    <t>36.511352, -4.883822</t>
  </si>
  <si>
    <t>https://turismo.marbella.es/index.php?option=com_content&amp;view=article&amp;id=1769</t>
  </si>
  <si>
    <t>09.04.009</t>
  </si>
  <si>
    <t>Calle San Pedro de Alcántara, 10, 29601 Marbella, Málaga</t>
  </si>
  <si>
    <t>https://turismo.marbella.es/index.php?option=com_content&amp;view=article&amp;id=1752</t>
  </si>
  <si>
    <t>09.04.010</t>
  </si>
  <si>
    <t>Ermita de Santiago</t>
  </si>
  <si>
    <t>36.509967, -4.885122</t>
  </si>
  <si>
    <t>Pl. de los Naranjos, s/n, 29601 Marbella</t>
  </si>
  <si>
    <t>https://turismo.marbella.es/index.php?option=com_content&amp;view=article&amp;id=1767</t>
  </si>
  <si>
    <t>09.04.011</t>
  </si>
  <si>
    <t>Hospital Bazán - Museo del Grabado</t>
  </si>
  <si>
    <t>36.510123, -4.883028</t>
  </si>
  <si>
    <t>C/ Hospital Bazán, 10-5, 29601 Marbella</t>
  </si>
  <si>
    <t>https://turismo.marbella.es/index.php?option=com_content&amp;view=article&amp;id=1766</t>
  </si>
  <si>
    <t>09.04.012</t>
  </si>
  <si>
    <t>Hospital Real de la Misericordia</t>
  </si>
  <si>
    <t>Pl. Practicante Manuel Cantos, 29601 Marbella</t>
  </si>
  <si>
    <t>https://turismo.marbella.es/index.php?option=com_content&amp;view=article&amp;id=1764</t>
  </si>
  <si>
    <t>09.04.013</t>
  </si>
  <si>
    <t>Iglesia de Ntra. Sra. de la Encarnación</t>
  </si>
  <si>
    <t>36.509890, -4.883993</t>
  </si>
  <si>
    <t>Pl. de la Iglesia, 29601 Marbella</t>
  </si>
  <si>
    <t>https://turismo.marbella.es/index.php?option=com_content&amp;view=article&amp;id=1763</t>
  </si>
  <si>
    <t>09.04.014</t>
  </si>
  <si>
    <t>Iglesia del Santo Cristo de la Veracruz</t>
  </si>
  <si>
    <t>36.512399, -4.885103</t>
  </si>
  <si>
    <t>https://turismo.marbella.es/index.php?option=com_content&amp;view=article&amp;id=1762</t>
  </si>
  <si>
    <t>09.04.015</t>
  </si>
  <si>
    <t>Jardines y Puente de la Represa</t>
  </si>
  <si>
    <t>36.514081, -4.883333</t>
  </si>
  <si>
    <t>https://turismo.marbella.es/index.php?option=com_content&amp;view=article&amp;id=1753</t>
  </si>
  <si>
    <t>09.04.016</t>
  </si>
  <si>
    <t>Parque de la Alameda</t>
  </si>
  <si>
    <t>https://turismo.marbella.es/index.php?option=com_content&amp;view=article&amp;id=1751</t>
  </si>
  <si>
    <t>09.04.017</t>
  </si>
  <si>
    <t>Plaza de los Naranjos</t>
  </si>
  <si>
    <t>36.510264, -4.884702</t>
  </si>
  <si>
    <t>https://turismo.marbella.es/index.php?option=com_content&amp;view=article&amp;id=1750</t>
  </si>
  <si>
    <t>09.04.018</t>
  </si>
  <si>
    <t>Plaza del Altamirano</t>
  </si>
  <si>
    <t>36.509721, -4.883193</t>
  </si>
  <si>
    <t>https://turismo.marbella.es/index.php?option=com_content&amp;view=article&amp;id=1749</t>
  </si>
  <si>
    <t>09.04.019</t>
  </si>
  <si>
    <t>Plaza del Puente de Ronda</t>
  </si>
  <si>
    <t>36.510928, -4.885359</t>
  </si>
  <si>
    <t>https://turismo.marbella.es/index.php?option=com_content&amp;view=article&amp;id=1748</t>
  </si>
  <si>
    <t>09.05</t>
  </si>
  <si>
    <t>Patrimonio</t>
  </si>
  <si>
    <t>Torres vigía y yacimientos arqueológicos.</t>
  </si>
  <si>
    <t>09.05.01</t>
  </si>
  <si>
    <t>Torres vigía</t>
  </si>
  <si>
    <t>Torres almenaras de la costa.</t>
  </si>
  <si>
    <t>https://turismo.marbella.es/vive/cultura/patrimonio-historico/torres-vigia.html</t>
  </si>
  <si>
    <t>09.05.01.001</t>
  </si>
  <si>
    <t>Torre Ancón</t>
  </si>
  <si>
    <t>36.500651, -4.931597</t>
  </si>
  <si>
    <t>https://turismo.marbella.es/index.php?option=com_content&amp;view=article&amp;id=1799</t>
  </si>
  <si>
    <t>09.05.01.002</t>
  </si>
  <si>
    <t>Torre de El Duque</t>
  </si>
  <si>
    <t>36.486274, -4.956049</t>
  </si>
  <si>
    <t>https://turismo.marbella.es/index.php?option=com_content&amp;view=article&amp;id=1798</t>
  </si>
  <si>
    <t>09.05.01.003</t>
  </si>
  <si>
    <t>Torre de las Bóvedas</t>
  </si>
  <si>
    <t>36.468185, -4.993047</t>
  </si>
  <si>
    <t>https://turismo.marbella.es/index.php?option=com_content&amp;view=article&amp;id=1797</t>
  </si>
  <si>
    <t>09.05.01.004</t>
  </si>
  <si>
    <t>Torre de Río Real</t>
  </si>
  <si>
    <t>36.505458, -4.845327</t>
  </si>
  <si>
    <t>https://turismo.marbella.es/index.php?option=com_content&amp;view=article&amp;id=1800</t>
  </si>
  <si>
    <t>09.05.01.005</t>
  </si>
  <si>
    <t>Torre Ladrones o Torre de Los Ladrones</t>
  </si>
  <si>
    <t>36.485247, -4.743312</t>
  </si>
  <si>
    <t>https://turismo.marbella.es/index.php?option=com_content&amp;view=article&amp;id=1802</t>
  </si>
  <si>
    <t>09.05.01.006</t>
  </si>
  <si>
    <t>Torre Lance de las Cañas</t>
  </si>
  <si>
    <t>36.486588, -4.759726</t>
  </si>
  <si>
    <t>https://turismo.marbella.es/index.php?option=com_content&amp;view=article&amp;id=1801</t>
  </si>
  <si>
    <t>09.05.02</t>
  </si>
  <si>
    <t>Arqueología</t>
  </si>
  <si>
    <t>Villa romana de Río Verde, termas de Las Bóvedas, basílica de Vega del Mar, yacimiento fenicio de Río Real…</t>
  </si>
  <si>
    <t>https://turismo.marbella.es/vive/cultura/patrimonio-historico/arqueologia.html</t>
  </si>
  <si>
    <t>09.05.02.001</t>
  </si>
  <si>
    <t>Basílica Paleocristiana de Vega del Mar</t>
  </si>
  <si>
    <t>36.472031, -4.990278</t>
  </si>
  <si>
    <t>A7, Km. 171. Urb. Linda Vista Baja - San Pedro Alcántara</t>
  </si>
  <si>
    <t>https://turismo.marbella.es/index.php?option=com_content&amp;view=article&amp;id=1814</t>
  </si>
  <si>
    <t>09.05.02.002</t>
  </si>
  <si>
    <t>Fondos Arqueológicos</t>
  </si>
  <si>
    <t>36.508065, -4.891937</t>
  </si>
  <si>
    <t>Av. Arias Maldonado, 14 - 29602 Marbella</t>
  </si>
  <si>
    <t>https://turismo.marbella.es/index.php?option=com_content&amp;view=article&amp;id=1817</t>
  </si>
  <si>
    <t>09.05.02.003</t>
  </si>
  <si>
    <t>Sala Arqueológica</t>
  </si>
  <si>
    <t>36.515739, -4.888913</t>
  </si>
  <si>
    <t>Centro Cultural Cortijo Miraflores - C/ San Pedro Alcántara s/n, Marbella</t>
  </si>
  <si>
    <t>https://turismo.marbella.es/index.php?option=com_content&amp;view=article&amp;id=1816</t>
  </si>
  <si>
    <t>09.05.02.004</t>
  </si>
  <si>
    <t>Termas Romanas de las Bóvedas</t>
  </si>
  <si>
    <t>36.468093, -4.993683</t>
  </si>
  <si>
    <t>Calle 6 - Urbanización Guadalmina</t>
  </si>
  <si>
    <t>https://turismo.marbella.es/index.php?option=com_content&amp;view=article&amp;id=1818</t>
  </si>
  <si>
    <t>09.05.02.005</t>
  </si>
  <si>
    <t>Villa Romana de Río Verde</t>
  </si>
  <si>
    <t>36.495723, -4.944446</t>
  </si>
  <si>
    <t>CN-340, KM 176. Urb. Río Verde Playa. Puerto Banús</t>
  </si>
  <si>
    <t>https://turismo.marbella.es/index.php?option=com_content&amp;view=article&amp;id=1815</t>
  </si>
  <si>
    <t>09.05.02.006</t>
  </si>
  <si>
    <t>Yacimiento Fenicio de Río Real</t>
  </si>
  <si>
    <t>36.504904, -4.844567</t>
  </si>
  <si>
    <t>A-7 salida Río Real, punto kilométrico 1040 dentro del complejo residencial Río Real.</t>
  </si>
  <si>
    <t>https://turismo.marbella.es/index.php?option=com_content&amp;view=article&amp;id=1819</t>
  </si>
  <si>
    <t>09.06</t>
  </si>
  <si>
    <t>Patrimonio Industrial</t>
  </si>
  <si>
    <t>Trapiches, ferrería, mina y el cargadero de El Cable.</t>
  </si>
  <si>
    <t>https://turismo.marbella.es/vive/cultura/patrimonio-historico/patrimonio-industrial.html</t>
  </si>
  <si>
    <t>09.06.001</t>
  </si>
  <si>
    <t>https://turismo.marbella.es/index.php?option=com_content&amp;view=article&amp;id=1826</t>
  </si>
  <si>
    <t>09.06.002</t>
  </si>
  <si>
    <t>36.504794, -4.868034</t>
  </si>
  <si>
    <t>Avenida Juan de la Cierva s/n</t>
  </si>
  <si>
    <t>https://turismo.marbella.es/index.php?option=com_content&amp;view=article&amp;id=1827</t>
  </si>
  <si>
    <t>09.06.003</t>
  </si>
  <si>
    <t>Ferrería la Concepción</t>
  </si>
  <si>
    <t>36.520643, -4.955308</t>
  </si>
  <si>
    <t>Calle de las Águilas s/n - Marbella</t>
  </si>
  <si>
    <t>https://turismo.marbella.es/index.php?option=com_content&amp;view=article&amp;id=1828</t>
  </si>
  <si>
    <t>09.06.004</t>
  </si>
  <si>
    <t>Mina de Buenavista</t>
  </si>
  <si>
    <t>36.538593, -4.917227</t>
  </si>
  <si>
    <t>Barranco de las Encinas</t>
  </si>
  <si>
    <t>https://turismo.marbella.es/index.php?option=com_content&amp;view=article&amp;id=1830</t>
  </si>
  <si>
    <t>09.06.005</t>
  </si>
  <si>
    <t>Trapiche de Guadaiza</t>
  </si>
  <si>
    <t>36.486902, -4.984278</t>
  </si>
  <si>
    <t>Av. Oriental, 23, 29670 San Pedro Alcántara, Málaga</t>
  </si>
  <si>
    <t>https://turismo.marbella.es/index.php?option=com_content&amp;view=article&amp;id=1829</t>
  </si>
  <si>
    <t>09.06.006</t>
  </si>
  <si>
    <t>Trapiche del Prado</t>
  </si>
  <si>
    <t>36.526368, -4.888650</t>
  </si>
  <si>
    <t>Calle Brabante s/n - Marbella</t>
  </si>
  <si>
    <t>https://turismo.marbella.es/index.php?option=com_content&amp;view=article&amp;id=1831</t>
  </si>
  <si>
    <t>09.07</t>
  </si>
  <si>
    <t>Museos</t>
  </si>
  <si>
    <t>Monumentos, edificios históricos y museos no citados en la web (complementaria).</t>
  </si>
  <si>
    <t>AMMA Consulting</t>
  </si>
  <si>
    <t>09.07.001</t>
  </si>
  <si>
    <t>Museo de esculturas al aire libre</t>
  </si>
  <si>
    <t>Ubicación tomada de Avenida del Mar (esculturas de Dalí), revisar</t>
  </si>
  <si>
    <t>09.07.002</t>
  </si>
  <si>
    <t>Museo del grabado</t>
  </si>
  <si>
    <t>Coordenadas tomadas de Museo del Grabado Español Contemporáneo (otra subcapa)</t>
  </si>
  <si>
    <t>09.07.003</t>
  </si>
  <si>
    <t>Museo Rally</t>
  </si>
  <si>
    <t>Coordenadas tomadas de Museo Ralli Marbella (otra subcapa)</t>
  </si>
  <si>
    <t>09.08</t>
  </si>
  <si>
    <t>Arte en la calle</t>
  </si>
  <si>
    <t>Esculturas y arte público: las esculturas de Dalí de la Avenida del Mar, monumentos y estatuas (complementaria).</t>
  </si>
  <si>
    <t>Pendiente de completar</t>
  </si>
  <si>
    <t>10</t>
  </si>
  <si>
    <t>Centros religiosos</t>
  </si>
  <si>
    <t>Iglesias, capillas, ermitas y otros templos.</t>
  </si>
  <si>
    <t>10.01</t>
  </si>
  <si>
    <t>Iglesias, capillas, ermitas y templos.</t>
  </si>
  <si>
    <t>10.01.001</t>
  </si>
  <si>
    <t>Capilla de la Inmaculada Concepcion</t>
  </si>
  <si>
    <t>36.472103, -5.003888</t>
  </si>
  <si>
    <t>10.01.002</t>
  </si>
  <si>
    <t>Capilla de Santiago</t>
  </si>
  <si>
    <t>36.509969, -4.885086</t>
  </si>
  <si>
    <t>Plaza de los Naranjos 8</t>
  </si>
  <si>
    <t>10.01.003</t>
  </si>
  <si>
    <t>Capilla Virgen de la amargura</t>
  </si>
  <si>
    <t>36.513132, -4.885530</t>
  </si>
  <si>
    <t>10.01.004</t>
  </si>
  <si>
    <t>Capilla Virgen del Carmen</t>
  </si>
  <si>
    <t>36.508472, -4.874287</t>
  </si>
  <si>
    <t>10.01.005</t>
  </si>
  <si>
    <t>36.508446, -4.872094</t>
  </si>
  <si>
    <t>10.01.006</t>
  </si>
  <si>
    <t>Capilla Virgen del Pilar</t>
  </si>
  <si>
    <t>36.515015, -4.886294</t>
  </si>
  <si>
    <t>10.01.007</t>
  </si>
  <si>
    <t>Ermita de San Bernabé</t>
  </si>
  <si>
    <t>36.524176, -4.923756</t>
  </si>
  <si>
    <t>10.01.008</t>
  </si>
  <si>
    <t>Ermita del Santo Cristo de la Vera Cruz</t>
  </si>
  <si>
    <t>36.512482, -4.885118</t>
  </si>
  <si>
    <t>10.01.009</t>
  </si>
  <si>
    <t>Iglesia Divina Pastora</t>
  </si>
  <si>
    <t>36.512612, -4.880890</t>
  </si>
  <si>
    <t>10.01.010</t>
  </si>
  <si>
    <t>Iglesia San Pedro de Alcántara</t>
  </si>
  <si>
    <t>36.486761, -4.990081</t>
  </si>
  <si>
    <t>10.01.011</t>
  </si>
  <si>
    <t>Iglesia Virgen del Rocío</t>
  </si>
  <si>
    <t>36.482802, -4.994467</t>
  </si>
  <si>
    <t>10.01.012</t>
  </si>
  <si>
    <t>Mezquita de Marbella</t>
  </si>
  <si>
    <t>36.504287, -4.927649</t>
  </si>
  <si>
    <t>10.01.013</t>
  </si>
  <si>
    <t>Parroquia Nuestra Señora de La Encarnación</t>
  </si>
  <si>
    <t>36.509834, -4.883881</t>
  </si>
  <si>
    <t>10.01.014</t>
  </si>
  <si>
    <t>Parroquia Santo Cristo del Calvario</t>
  </si>
  <si>
    <t>36.511783, -4.890224</t>
  </si>
  <si>
    <t>11</t>
  </si>
  <si>
    <t>Deporte</t>
  </si>
  <si>
    <t>Instalaciones y centros deportivos.</t>
  </si>
  <si>
    <t>https://turismo.marbella.es/vive/deporte.html</t>
  </si>
  <si>
    <t>11.01</t>
  </si>
  <si>
    <t>Instalaciones municipales</t>
  </si>
  <si>
    <t>Instalaciones deportivas municipales por distrito (Marbella, San Pedro Alcántara, Nueva Andalucía y Las Chapas).</t>
  </si>
  <si>
    <t>11.01.01</t>
  </si>
  <si>
    <t>Marbella</t>
  </si>
  <si>
    <t>Instalaciones deportivas municipales en Marbella.</t>
  </si>
  <si>
    <t>https://turismo.marbella.es/vive/deporte/tenis-y-padel.html</t>
  </si>
  <si>
    <t>11.01.01.001</t>
  </si>
  <si>
    <t>Polideportivo Francisco Norte</t>
  </si>
  <si>
    <t>36.508947, -4.889579</t>
  </si>
  <si>
    <t>C/Francisco Norte, s/n - 29602 Marbella</t>
  </si>
  <si>
    <t>https://turismo.marbella.es/index.php?option=com_content&amp;view=article&amp;id=981</t>
  </si>
  <si>
    <t>11.01.01.002</t>
  </si>
  <si>
    <t>Polideportivo Paco Cantos</t>
  </si>
  <si>
    <t>36.512150, -4.898309</t>
  </si>
  <si>
    <t>Avda. Cánovas del Castillo, s/n 29602 Marbella</t>
  </si>
  <si>
    <t>https://turismo.marbella.es/index.php?option=com_content&amp;view=article&amp;id=978</t>
  </si>
  <si>
    <t>11.01.02</t>
  </si>
  <si>
    <t>Instalaciones deportivas municipales en San Pedro Alcántara.</t>
  </si>
  <si>
    <t>https://turismo.marbella.es/vive/deporte/gimnasios.html</t>
  </si>
  <si>
    <t>11.01.02.001</t>
  </si>
  <si>
    <t>Palacio de los Deportes Elena Benítez</t>
  </si>
  <si>
    <t>36.491587, -4.988759</t>
  </si>
  <si>
    <t>Calle Fuente Nueva s/n, 29670 San Pedro Alcántara</t>
  </si>
  <si>
    <t>https://turismo.marbella.es/index.php?option=com_content&amp;view=article&amp;id=4365</t>
  </si>
  <si>
    <t>11.01.03</t>
  </si>
  <si>
    <t>Instalaciones deportivas municipales en Nueva Andalucía.</t>
  </si>
  <si>
    <t>11.01.03.001</t>
  </si>
  <si>
    <t>Polideportivo La Campana</t>
  </si>
  <si>
    <t>36.499572, -4.981028</t>
  </si>
  <si>
    <t>C/Torrente Ballester, s/n, 29660 Nueva Andalucía</t>
  </si>
  <si>
    <t>https://turismo.marbella.es/index.php?option=com_content&amp;view=article&amp;id=979</t>
  </si>
  <si>
    <t>11.01.04</t>
  </si>
  <si>
    <t>Instalaciones deportivas municipales en Las Chapas.</t>
  </si>
  <si>
    <t>11.02</t>
  </si>
  <si>
    <t>Tenis y pádel</t>
  </si>
  <si>
    <t>Clubes y academias de tenis y pádel.</t>
  </si>
  <si>
    <t>11.02.001</t>
  </si>
  <si>
    <t>Bellamar Pádel</t>
  </si>
  <si>
    <t>36.516720, -4.870274</t>
  </si>
  <si>
    <t>C/ Haza del Perro, s/n 29603 Marbella</t>
  </si>
  <si>
    <t>https://turismo.marbella.es/index.php?option=com_content&amp;view=article&amp;id=7172</t>
  </si>
  <si>
    <t>11.02.002</t>
  </si>
  <si>
    <t>Beyond Padel Academy</t>
  </si>
  <si>
    <t>36.501070, -4.982561</t>
  </si>
  <si>
    <t>Av. Valle Inclán, 41, Nueva Andalucía, 29660 Marbella</t>
  </si>
  <si>
    <t>https://turismo.marbella.es/index.php?option=com_content&amp;view=article&amp;id=7994</t>
  </si>
  <si>
    <t>11.02.003</t>
  </si>
  <si>
    <t>Club de Pádel Los Granados</t>
  </si>
  <si>
    <t>36.493109, -4.950862</t>
  </si>
  <si>
    <t>Urb. Playas Españolas, s/n - 29660 Puerto Banús</t>
  </si>
  <si>
    <t>https://turismo.marbella.es/index.php?option=com_content&amp;view=article&amp;id=974</t>
  </si>
  <si>
    <t>11.02.004</t>
  </si>
  <si>
    <t>Club de Pádel Los Naranjos</t>
  </si>
  <si>
    <t>36.510191, -4.951615</t>
  </si>
  <si>
    <t>Urb. Los Naranjos de Marbella</t>
  </si>
  <si>
    <t>https://turismo.marbella.es/index.php?option=com_content&amp;view=article&amp;id=956</t>
  </si>
  <si>
    <t>11.02.005</t>
  </si>
  <si>
    <t>Club de Tenis Costa del Sol</t>
  </si>
  <si>
    <t>36.522525, -4.896585</t>
  </si>
  <si>
    <t>Urb.Las Cancelas - 29602 Marbella</t>
  </si>
  <si>
    <t>https://turismo.marbella.es/index.php?option=com_content&amp;view=article&amp;id=940</t>
  </si>
  <si>
    <t>11.02.006</t>
  </si>
  <si>
    <t>Club de Tenis Hotel Puente Romano</t>
  </si>
  <si>
    <t>36.502452, -4.925791</t>
  </si>
  <si>
    <t>Bulevar Príncipe Alfonso de Hohenlohe, s/n. 29602 Marbella</t>
  </si>
  <si>
    <t>https://turismo.marbella.es/index.php?option=com_content&amp;view=article&amp;id=952</t>
  </si>
  <si>
    <t>11.02.007</t>
  </si>
  <si>
    <t>Club de Tenis Sierra Blanca</t>
  </si>
  <si>
    <t>36.512141, -4.897808</t>
  </si>
  <si>
    <t>C/ Albéniz, 4 Puerta 28 - 29603 Marbella</t>
  </si>
  <si>
    <t>https://turismo.marbella.es/index.php?option=com_content&amp;view=article&amp;id=948</t>
  </si>
  <si>
    <t>11.02.008</t>
  </si>
  <si>
    <t>Club Internacional de Tenis</t>
  </si>
  <si>
    <t>36.489539, -4.968024</t>
  </si>
  <si>
    <t>A-7, km.173, Urb. El Rodeíto. 29660 San Pedro Alcántara</t>
  </si>
  <si>
    <t>https://turismo.marbella.es/index.php?option=com_content&amp;view=article&amp;id=950</t>
  </si>
  <si>
    <t>11.02.009</t>
  </si>
  <si>
    <t>Echevarri Sports Tennis &amp; Padel Academy</t>
  </si>
  <si>
    <t>36.527697, -4.893305</t>
  </si>
  <si>
    <t>C./Padre Paco Ostos, 29601 Marbella</t>
  </si>
  <si>
    <t>https://turismo.marbella.es/index.php?option=com_content&amp;view=article&amp;id=7297</t>
  </si>
  <si>
    <t>11.02.010</t>
  </si>
  <si>
    <t>El Mirador</t>
  </si>
  <si>
    <t>36.520318, -4.898755</t>
  </si>
  <si>
    <t>Urbanización el Mirador, C/ Algarrobo, s/n. 29602 Marbella</t>
  </si>
  <si>
    <t>https://turismo.marbella.es/index.php?option=com_content&amp;view=article&amp;id=954</t>
  </si>
  <si>
    <t>11.02.011</t>
  </si>
  <si>
    <t>Hofsaess Tennis Academy</t>
  </si>
  <si>
    <t>36.530680, -4.754310</t>
  </si>
  <si>
    <t>Monte Elviria 29600 Marbella</t>
  </si>
  <si>
    <t>https://turismo.marbella.es/index.php?option=com_content&amp;view=article&amp;id=7442</t>
  </si>
  <si>
    <t>11.02.012</t>
  </si>
  <si>
    <t>Manolo Santana Racquets Club</t>
  </si>
  <si>
    <t>36.512469, -4.949196</t>
  </si>
  <si>
    <t>Ctra. de Istán, km.2. 29602 Marbella</t>
  </si>
  <si>
    <t>https://turismo.marbella.es/index.php?option=com_content&amp;view=article&amp;id=969</t>
  </si>
  <si>
    <t>11.02.013</t>
  </si>
  <si>
    <t>NAC Club de Pádel Nueva Alcántara</t>
  </si>
  <si>
    <t>36.479886, -4.984026</t>
  </si>
  <si>
    <t>Av. de Barcelona, 8, Urb. Nueva Alcántara - 29670 San Pedro Alcántara</t>
  </si>
  <si>
    <t>https://turismo.marbella.es/index.php?option=com_content&amp;view=article&amp;id=7441</t>
  </si>
  <si>
    <t>11.02.014</t>
  </si>
  <si>
    <t>Racket Club Los Monteros</t>
  </si>
  <si>
    <t>36.505650, -4.825878</t>
  </si>
  <si>
    <t>Ctra. de Cádiz km.187. Urb. Los Monteros. C/Lince - 29603 Marbella</t>
  </si>
  <si>
    <t>https://turismo.marbella.es/index.php?option=com_content&amp;view=article&amp;id=975</t>
  </si>
  <si>
    <t>11.02.015</t>
  </si>
  <si>
    <t>Rafa Nadal Tennis Center</t>
  </si>
  <si>
    <t>36.490797, -4.773242</t>
  </si>
  <si>
    <t>Avda. Zurita, s/n, 29604 Marbella</t>
  </si>
  <si>
    <t>https://turismo.marbella.es/index.php?option=com_content&amp;view=article&amp;id=941</t>
  </si>
  <si>
    <t>11.02.016</t>
  </si>
  <si>
    <t>Real Club Pádel Marbella</t>
  </si>
  <si>
    <t>36.488042, -4.970788</t>
  </si>
  <si>
    <t>C/ Río Amazonas s/n. Urb. Altos del Rodeo 29660 Nueva Andalucía</t>
  </si>
  <si>
    <t>https://turismo.marbella.es/index.php?option=com_content&amp;view=article&amp;id=973</t>
  </si>
  <si>
    <t>11.02.017</t>
  </si>
  <si>
    <t>Royal Tennis Club Marbella</t>
  </si>
  <si>
    <t>36.507026, -4.806376</t>
  </si>
  <si>
    <t>Autovía A7, km 188, Urb. El Rosario - 29604 Marbella</t>
  </si>
  <si>
    <t>https://turismo.marbella.es/index.php?option=com_content&amp;view=article&amp;id=976</t>
  </si>
  <si>
    <t>11.02.018</t>
  </si>
  <si>
    <t>Tennis Brothers Marbella</t>
  </si>
  <si>
    <t>36.500635, -4.958749</t>
  </si>
  <si>
    <t>C/ De las Torres, 1C. Urb. Aloha - 29660 Marbella</t>
  </si>
  <si>
    <t>https://turismo.marbella.es/index.php?option=com_content&amp;view=article&amp;id=982</t>
  </si>
  <si>
    <t>11.03</t>
  </si>
  <si>
    <t>Centros de equitación</t>
  </si>
  <si>
    <t>Centros hípicos y de equitación.</t>
  </si>
  <si>
    <t>11.04</t>
  </si>
  <si>
    <t>Gimnasios</t>
  </si>
  <si>
    <t>Gimnasios, centros deportivos y boxes.</t>
  </si>
  <si>
    <t>11.05</t>
  </si>
  <si>
    <t>Yoga y pilates</t>
  </si>
  <si>
    <t>Centros de yoga y pilates.</t>
  </si>
  <si>
    <t>https://turismo.marbella.es/vive/deporte/yoga.html</t>
  </si>
  <si>
    <t>11.05.001</t>
  </si>
  <si>
    <t>Aparthotel Monarque Sultan</t>
  </si>
  <si>
    <t>36.509492, -4.900758</t>
  </si>
  <si>
    <t>C/ Arturo Rubistein, s/n 29602 Marbella</t>
  </si>
  <si>
    <t>https://turismo.marbella.es/index.php?option=com_content&amp;view=article&amp;id=3810</t>
  </si>
  <si>
    <t>11.05.002</t>
  </si>
  <si>
    <t>Area Pilates Marbella</t>
  </si>
  <si>
    <t>36.508723, -4.883538</t>
  </si>
  <si>
    <t>Avda. Ramón y Cajal, Edf. Berrocal 21. Local 7 29601 Marbella</t>
  </si>
  <si>
    <t>https://turismo.marbella.es/index.php?option=com_content&amp;view=article&amp;id=3843</t>
  </si>
  <si>
    <t>11.05.003</t>
  </si>
  <si>
    <t>Armonia</t>
  </si>
  <si>
    <t>36.511400, -4.888083</t>
  </si>
  <si>
    <t>C/ Valentuñana, Edif. Capri, 2. Local 7 29600 Marbella</t>
  </si>
  <si>
    <t>https://turismo.marbella.es/index.php?option=com_content&amp;view=article&amp;id=3815</t>
  </si>
  <si>
    <t>11.05.004</t>
  </si>
  <si>
    <t>Arte de Pilates</t>
  </si>
  <si>
    <t>36.473303, -4.991973</t>
  </si>
  <si>
    <t>C/ Calderón de la Barca, s/n. Magna Marbella Golf Casa Club - 29660 Nueva Andalucía</t>
  </si>
  <si>
    <t>https://turismo.marbella.es/index.php?option=com_content&amp;view=article&amp;id=4367</t>
  </si>
  <si>
    <t>11.05.005</t>
  </si>
  <si>
    <t>Balanced Mind and Body Yoga</t>
  </si>
  <si>
    <t>36.485827, -4.960241</t>
  </si>
  <si>
    <t>Calle Aries, Nueva Andalucía - 29660 Marbella</t>
  </si>
  <si>
    <t>https://turismo.marbella.es/index.php?option=com_content&amp;view=article&amp;id=7400</t>
  </si>
  <si>
    <t>11.05.006</t>
  </si>
  <si>
    <t>Cuerpo Pilates</t>
  </si>
  <si>
    <t>36.508332, -4.899775</t>
  </si>
  <si>
    <t>C/ Arturo Rubinstein, Local 3 Edificio Náyade, 8 29602 Marbella</t>
  </si>
  <si>
    <t>https://turismo.marbella.es/index.php?option=com_content&amp;view=article&amp;id=3845</t>
  </si>
  <si>
    <t>11.05.007</t>
  </si>
  <si>
    <t>Darte Pilates</t>
  </si>
  <si>
    <t>36.472203, -4.992124</t>
  </si>
  <si>
    <t>C/ Carmen Sevilla - 29670 San Pedro de Alcántara</t>
  </si>
  <si>
    <t>https://turismo.marbella.es/index.php?option=com_content&amp;view=article&amp;id=3846</t>
  </si>
  <si>
    <t>11.05.008</t>
  </si>
  <si>
    <t>El Mirador Club de Tenis y Pádel</t>
  </si>
  <si>
    <t>36.519988, -4.899540</t>
  </si>
  <si>
    <t>Urbanización el Mirador, c/ Algarrobo, s/n. 29602</t>
  </si>
  <si>
    <t>https://turismo.marbella.es/index.php?option=com_content&amp;view=article&amp;id=3848</t>
  </si>
  <si>
    <t>11.05.009</t>
  </si>
  <si>
    <t>Escuela andaluza de yoga</t>
  </si>
  <si>
    <t>36.483033, -4.992301</t>
  </si>
  <si>
    <t>C/ Tolox 1, Nº5, 29670 San Pedro de Alcántara</t>
  </si>
  <si>
    <t>https://turismo.marbella.es/index.php?option=com_content&amp;view=article&amp;id=3821</t>
  </si>
  <si>
    <t>11.05.010</t>
  </si>
  <si>
    <t>Eywa</t>
  </si>
  <si>
    <t>36.488723, -4.952382</t>
  </si>
  <si>
    <t>Avda. Julio Iglesias casa VX, local 11 29660 Nueva Andalucía</t>
  </si>
  <si>
    <t>https://turismo.marbella.es/index.php?option=com_content&amp;view=article&amp;id=3816</t>
  </si>
  <si>
    <t>11.05.011</t>
  </si>
  <si>
    <t>Karuna espacio de bienestar</t>
  </si>
  <si>
    <t>36.510119, -4.870046</t>
  </si>
  <si>
    <t>Calle Pirita, 1, 29603 Marbella.</t>
  </si>
  <si>
    <t>https://turismo.marbella.es/index.php?option=com_content&amp;view=article&amp;id=7563</t>
  </si>
  <si>
    <t>11.05.012</t>
  </si>
  <si>
    <t>Luz Colores Yoga</t>
  </si>
  <si>
    <t>https://turismo.marbella.es/index.php?option=com_content&amp;view=article&amp;id=7397</t>
  </si>
  <si>
    <t>11.05.013</t>
  </si>
  <si>
    <t>Marbella Studio Pilates</t>
  </si>
  <si>
    <t>36.488280, -4.989749</t>
  </si>
  <si>
    <t>C/ 25, Edif. Iiwi, A 6 Guadalmina Alta - San Pedro Alcántara 29670 Marbella</t>
  </si>
  <si>
    <t>https://turismo.marbella.es/index.php?option=com_content&amp;view=article&amp;id=7248</t>
  </si>
  <si>
    <t>11.05.014</t>
  </si>
  <si>
    <t>MarbellaFisio</t>
  </si>
  <si>
    <t>36.514966, -4.876140</t>
  </si>
  <si>
    <t>Avda. José Torres Murciano 28 - 29603 Marbella</t>
  </si>
  <si>
    <t>https://turismo.marbella.es/index.php?option=com_content&amp;view=article&amp;id=3850</t>
  </si>
  <si>
    <t>11.05.015</t>
  </si>
  <si>
    <t>Pilates Araceli</t>
  </si>
  <si>
    <t>36.485251, -4.985720</t>
  </si>
  <si>
    <t>C/ San Ildefonso, 1, 29670 San Pedro Alcántara</t>
  </si>
  <si>
    <t>https://turismo.marbella.es/index.php?option=com_content&amp;view=article&amp;id=4369</t>
  </si>
  <si>
    <t>11.05.016</t>
  </si>
  <si>
    <t>Pilates en Puente Romano</t>
  </si>
  <si>
    <t>36.502408, -4.926067</t>
  </si>
  <si>
    <t>Puente Romano Beach Resort Bulevar Principe Alfonso von Hohenlohe, s/n 29602 Marbella</t>
  </si>
  <si>
    <t>https://turismo.marbella.es/index.php?option=com_content&amp;view=article&amp;id=7372</t>
  </si>
  <si>
    <t>11.05.017</t>
  </si>
  <si>
    <t>Pilates Plus Marbella</t>
  </si>
  <si>
    <t>36.510386, -4.890593</t>
  </si>
  <si>
    <t>C/ Nuestra Sra. De Gracia, 2 Edif.Altamira, planta 1, puerta 3 29602 Marbella</t>
  </si>
  <si>
    <t>https://turismo.marbella.es/index.php?option=com_content&amp;view=article&amp;id=3863</t>
  </si>
  <si>
    <t>11.05.018</t>
  </si>
  <si>
    <t>Pilates10</t>
  </si>
  <si>
    <t>36.485962, -4.994720</t>
  </si>
  <si>
    <t>C/ Eduardo Evangelista, 13 29670 San Pedro de Alcántara</t>
  </si>
  <si>
    <t>https://turismo.marbella.es/index.php?option=com_content&amp;view=article&amp;id=7356</t>
  </si>
  <si>
    <t>11.05.019</t>
  </si>
  <si>
    <t>Raíces Psicoterapia</t>
  </si>
  <si>
    <t>36.510692, -4.894157</t>
  </si>
  <si>
    <t>Avda. Ricardo Soriano nº 54 1, 1º C y D 29601 Marbella</t>
  </si>
  <si>
    <t>https://turismo.marbella.es/index.php?option=com_content&amp;view=article&amp;id=3812</t>
  </si>
  <si>
    <t>11.05.020</t>
  </si>
  <si>
    <t>Salud Activa</t>
  </si>
  <si>
    <t>36.510973, -4.891341</t>
  </si>
  <si>
    <t>Edificio Maria III, Av. Ricardo Soriano, 36, 2°, n° 208 - 29601 Marbella</t>
  </si>
  <si>
    <t>https://turismo.marbella.es/index.php?option=com_content&amp;view=article&amp;id=7398</t>
  </si>
  <si>
    <t>11.05.021</t>
  </si>
  <si>
    <t>Samusu Wellness</t>
  </si>
  <si>
    <t>36.522645, -4.892180</t>
  </si>
  <si>
    <t>Calle Padre Paco Ostos, 9, local 3 - 29602 Marbella</t>
  </si>
  <si>
    <t>https://turismo.marbella.es/index.php?option=com_content&amp;view=article&amp;id=7401</t>
  </si>
  <si>
    <t>11.05.022</t>
  </si>
  <si>
    <t>Sano Korpo Pilates</t>
  </si>
  <si>
    <t>36.486102, -4.989551</t>
  </si>
  <si>
    <t>Avda. Marqués del Duero, 18 29670 San Pedro Alcántara</t>
  </si>
  <si>
    <t>https://turismo.marbella.es/index.php?option=com_content&amp;view=article&amp;id=3854</t>
  </si>
  <si>
    <t>11.05.023</t>
  </si>
  <si>
    <t>Sensus Pilates Marbella</t>
  </si>
  <si>
    <t>36.509305, -4.886882</t>
  </si>
  <si>
    <t>Edificio Capitol, Av. Ricardo Soriano, 1, 2º1 - 29601 Marbella.</t>
  </si>
  <si>
    <t>https://turismo.marbella.es/index.php?option=com_content&amp;view=article&amp;id=7357</t>
  </si>
  <si>
    <t>11.05.024</t>
  </si>
  <si>
    <t>Ushna Yoga Studio</t>
  </si>
  <si>
    <t>36.501447, -4.980258</t>
  </si>
  <si>
    <t>C/ Lope de Vega, 3 Nueva Andalucía - 29660 Marbella</t>
  </si>
  <si>
    <t>https://turismo.marbella.es/index.php?option=com_content&amp;view=article&amp;id=7250</t>
  </si>
  <si>
    <t>11.05.025</t>
  </si>
  <si>
    <t>Wellness  Marbella Club</t>
  </si>
  <si>
    <t>36.504742, -4.917609</t>
  </si>
  <si>
    <t>Bulevar Príncipe Alfonso de Hohenlohe 29602 Marbella</t>
  </si>
  <si>
    <t>https://turismo.marbella.es/index.php?option=com_content&amp;view=article&amp;id=7371</t>
  </si>
  <si>
    <t>11.05.026</t>
  </si>
  <si>
    <t>Yoga Iyengar</t>
  </si>
  <si>
    <t>36.514383, -4.861798</t>
  </si>
  <si>
    <t>Finca Bellevue, C/ Fernando de Zafra, 2 F, - 29603 Marbella</t>
  </si>
  <si>
    <t>https://turismo.marbella.es/index.php?option=com_content&amp;view=article&amp;id=3813</t>
  </si>
  <si>
    <t>11.05.027</t>
  </si>
  <si>
    <t>Yogashala Institute</t>
  </si>
  <si>
    <t>36.511028, -4.890313</t>
  </si>
  <si>
    <t>C/ Calvario 1 - 29602 Marbella</t>
  </si>
  <si>
    <t>https://turismo.marbella.es/index.php?option=com_content&amp;view=article&amp;id=3814</t>
  </si>
  <si>
    <t>11.05.028</t>
  </si>
  <si>
    <t>Yosoyoga</t>
  </si>
  <si>
    <t>36.491564, -4.986940</t>
  </si>
  <si>
    <t>Calle Juan Illesca Pavón, Edf. Cortesol, Local 3 - 29670 San Pedro Alcántara</t>
  </si>
  <si>
    <t>https://turismo.marbella.es/index.php?option=com_content&amp;view=article&amp;id=7402</t>
  </si>
  <si>
    <t>12</t>
  </si>
  <si>
    <t>Salud y bienestar</t>
  </si>
  <si>
    <t>Spas, estética y servicios sanitarios.</t>
  </si>
  <si>
    <t>https://turismo.marbella.es/vive/salud-y-bienestar.html</t>
  </si>
  <si>
    <t>12.01</t>
  </si>
  <si>
    <t>Wellness &amp; spa</t>
  </si>
  <si>
    <t>Spas y centros de bienestar.</t>
  </si>
  <si>
    <t>https://turismo.marbella.es/vive/salud-y-bienestar/centros-spa.html</t>
  </si>
  <si>
    <t>12.01.001</t>
  </si>
  <si>
    <t>Alanda Spa</t>
  </si>
  <si>
    <t>36.504551, -4.926162</t>
  </si>
  <si>
    <t>https://turismo.marbella.es/index.php?option=com_content&amp;view=article&amp;id=5554</t>
  </si>
  <si>
    <t>12.01.002</t>
  </si>
  <si>
    <t>Belleza Aqua Salud</t>
  </si>
  <si>
    <t>36.485684, -4.995356</t>
  </si>
  <si>
    <t>C/ Linda Vista, 1 (Junto al Ambulatorio) - 29670 San Pedro Alcántara Marbella</t>
  </si>
  <si>
    <t>https://turismo.marbella.es/index.php?option=com_content&amp;view=article&amp;id=680</t>
  </si>
  <si>
    <t>12.01.003</t>
  </si>
  <si>
    <t>Champneys - Gran Marbella Resort &amp; Beach Club</t>
  </si>
  <si>
    <t>36.494953, -4.784530</t>
  </si>
  <si>
    <t>Ctra.A7 Km 1034A, Avenida José Ribera 25 (Urb. Real de Zaragoza), 29604 Marbella</t>
  </si>
  <si>
    <t>https://turismo.marbella.es/index.php?option=com_content&amp;view=article&amp;id=8239</t>
  </si>
  <si>
    <t>12.01.004</t>
  </si>
  <si>
    <t>Don Carlos  Spa</t>
  </si>
  <si>
    <t>Av. Zurita, s/n 29604, Marbella</t>
  </si>
  <si>
    <t>https://turismo.marbella.es/index.php?option=com_content&amp;view=article&amp;id=683</t>
  </si>
  <si>
    <t>12.01.005</t>
  </si>
  <si>
    <t>Hamman El Pachá Marbella</t>
  </si>
  <si>
    <t>36.483739, -4.985353</t>
  </si>
  <si>
    <t>Avda. Juan Vargas, Urb. Nueva Alcántara nº0 esc.2, 29670 Marbella,.</t>
  </si>
  <si>
    <t>https://turismo.marbella.es/index.php?option=com_content&amp;view=article&amp;id=4290</t>
  </si>
  <si>
    <t>12.01.006</t>
  </si>
  <si>
    <t>Hard Rock Spa</t>
  </si>
  <si>
    <t>https://turismo.marbella.es/index.php?option=com_content&amp;view=article&amp;id=682</t>
  </si>
  <si>
    <t>12.01.007</t>
  </si>
  <si>
    <t>Kimpton Los Monteros Spa</t>
  </si>
  <si>
    <t>36.505764, -4.824688</t>
  </si>
  <si>
    <t>C/ del Lince - Km 187 - 29603 Marbella</t>
  </si>
  <si>
    <t>https://turismo.marbella.es/index.php?option=com_content&amp;view=article&amp;id=7039</t>
  </si>
  <si>
    <t>12.01.008</t>
  </si>
  <si>
    <t>Legien Spa &amp; Hamman</t>
  </si>
  <si>
    <t>36.489826, -4.950738</t>
  </si>
  <si>
    <t>Avda. Julio Iglesias, 22A, 22B, 29660, Puerto Banús, Marbella.</t>
  </si>
  <si>
    <t>https://turismo.marbella.es/index.php?option=com_content&amp;view=article&amp;id=4294</t>
  </si>
  <si>
    <t>12.01.009</t>
  </si>
  <si>
    <t>Marbella Club Spa &amp; Wellness</t>
  </si>
  <si>
    <t>36.506710, -4.919164</t>
  </si>
  <si>
    <t>Bulevar Principe Alfonso von Hohenlohe - 29600 Marbella</t>
  </si>
  <si>
    <t>https://turismo.marbella.es/index.php?option=com_content&amp;view=article&amp;id=698</t>
  </si>
  <si>
    <t>12.01.010</t>
  </si>
  <si>
    <t>Rio Real Golf &amp; Wellness</t>
  </si>
  <si>
    <t>36.512744, -4.844219</t>
  </si>
  <si>
    <t>Urb. Río Real, s/n - 29603 Marbella</t>
  </si>
  <si>
    <t>https://turismo.marbella.es/index.php?option=com_content&amp;view=article&amp;id=700</t>
  </si>
  <si>
    <t>12.01.011</t>
  </si>
  <si>
    <t>Senzia Marbella Spa</t>
  </si>
  <si>
    <t>36.509763, -4.903987</t>
  </si>
  <si>
    <t>Av. Bulevar Príncipe Alfonso de Hohenlohe, 97, 29600 Marbella</t>
  </si>
  <si>
    <t>https://turismo.marbella.es/index.php?option=com_content&amp;view=article&amp;id=7014</t>
  </si>
  <si>
    <t>12.01.012</t>
  </si>
  <si>
    <t>Six Senses Spa</t>
  </si>
  <si>
    <t>36.501493, -4.923947</t>
  </si>
  <si>
    <t>Bulevar Príncipe Alfonso von Hohenlohe s/n, 29602 Marbella</t>
  </si>
  <si>
    <t>https://turismo.marbella.es/index.php?option=com_content&amp;view=article&amp;id=4292</t>
  </si>
  <si>
    <t>12.01.013</t>
  </si>
  <si>
    <t>Spa By Clarins</t>
  </si>
  <si>
    <t>36.507588, -4.885076</t>
  </si>
  <si>
    <t>Calle El Fuerte, s/n - 29602 Marbella</t>
  </si>
  <si>
    <t>https://turismo.marbella.es/index.php?option=com_content&amp;view=article&amp;id=686</t>
  </si>
  <si>
    <t>12.01.014</t>
  </si>
  <si>
    <t>SPA by Germaine de Capuccini</t>
  </si>
  <si>
    <t>36.507802, -4.881234</t>
  </si>
  <si>
    <t>C/ Francisco Pedrazuela - 29603 Marbella</t>
  </si>
  <si>
    <t>https://turismo.marbella.es/index.php?option=com_content&amp;view=article&amp;id=696</t>
  </si>
  <si>
    <t>12.01.015</t>
  </si>
  <si>
    <t>Spa Sensations Iberostar Marbella Coral Beach</t>
  </si>
  <si>
    <t>36.497595, -4.942381</t>
  </si>
  <si>
    <t>Calle Alonso de Quijada, 1, 29602, Marbella</t>
  </si>
  <si>
    <t>https://turismo.marbella.es/index.php?option=com_content&amp;view=article&amp;id=5548</t>
  </si>
  <si>
    <t>12.01.016</t>
  </si>
  <si>
    <t>SPA Sultán</t>
  </si>
  <si>
    <t>36.509328, -4.900961</t>
  </si>
  <si>
    <t>C/ Arturo Rubinstein, s/n - 29602 Marbella</t>
  </si>
  <si>
    <t>https://turismo.marbella.es/index.php?option=com_content&amp;view=article&amp;id=697</t>
  </si>
  <si>
    <t>12.01.017</t>
  </si>
  <si>
    <t>TACHA Beauty Marbella</t>
  </si>
  <si>
    <t>36.509032, -4.901954</t>
  </si>
  <si>
    <t>Hotel Don Pepe, Gran Meliá, C. José Meliá, s/n, 29602 Marbella</t>
  </si>
  <si>
    <t>https://turismo.marbella.es/index.php?option=com_content&amp;view=article&amp;id=5497</t>
  </si>
  <si>
    <t>12.02</t>
  </si>
  <si>
    <t>Centros de estética</t>
  </si>
  <si>
    <t>Clínicas de medicina y cirugía estética.</t>
  </si>
  <si>
    <t>https://turismo.marbella.es/vive/salud-y-bienestar/clinicas-de-estetica.html</t>
  </si>
  <si>
    <t>12.02.001</t>
  </si>
  <si>
    <t>Amar Clinic</t>
  </si>
  <si>
    <t>36.509927, -4.901168</t>
  </si>
  <si>
    <t>C/ Ramón Gómez de la Serna, 22. Edif. King Edward, ofic. 106. 29602 Marbella</t>
  </si>
  <si>
    <t>https://turismo.marbella.es/index.php?option=com_content&amp;view=article&amp;id=886</t>
  </si>
  <si>
    <t>12.02.002</t>
  </si>
  <si>
    <t>Arques Clinic</t>
  </si>
  <si>
    <t>36.490338, -4.951494</t>
  </si>
  <si>
    <t>C/ Ramón Areces SN. Complejo Marina Banús, Bloque 3, Local 29 - 29660 Puerto Banus</t>
  </si>
  <si>
    <t>https://turismo.marbella.es/index.php?option=com_content&amp;view=article&amp;id=4427</t>
  </si>
  <si>
    <t>12.02.003</t>
  </si>
  <si>
    <t>CelluMed Clinic</t>
  </si>
  <si>
    <t>36.487556, -4.958558</t>
  </si>
  <si>
    <t>Avenida Playa del Duque Edif.. Sevilla local 1-2 - Puerto Banús. 29660 Marbella</t>
  </si>
  <si>
    <t>https://turismo.marbella.es/index.php?option=com_content&amp;view=article&amp;id=889</t>
  </si>
  <si>
    <t>12.02.004</t>
  </si>
  <si>
    <t>Cirumed Clinic</t>
  </si>
  <si>
    <t>36.508692, -4.858243</t>
  </si>
  <si>
    <t>Carretera de Cádiz</t>
  </si>
  <si>
    <t>https://turismo.marbella.es/index.php?option=com_content&amp;view=article&amp;id=888</t>
  </si>
  <si>
    <t>12.02.005</t>
  </si>
  <si>
    <t>Clinica Vivanta</t>
  </si>
  <si>
    <t>36.510742, -4.890678</t>
  </si>
  <si>
    <t>Avda. Ricardo Soriano, 34 Marbella/ Avda. Marqués del Duero, 10 San Pedro. 29670 Marbella</t>
  </si>
  <si>
    <t>https://turismo.marbella.es/index.php?option=com_content&amp;view=article&amp;id=905</t>
  </si>
  <si>
    <t>12.02.006</t>
  </si>
  <si>
    <t>Cliniti</t>
  </si>
  <si>
    <t>36.509438, -4.893169</t>
  </si>
  <si>
    <t>Avda. Arias Maldonado 6 bajo - 29602 Marbella</t>
  </si>
  <si>
    <t>https://turismo.marbella.es/index.php?option=com_content&amp;view=article&amp;id=2654</t>
  </si>
  <si>
    <t>12.02.007</t>
  </si>
  <si>
    <t>Clínica Belaforma</t>
  </si>
  <si>
    <t>36.510693, -4.886570</t>
  </si>
  <si>
    <t>Paseo de los Jazmines. Reserva de Valdeolletas, 48. 29602 Marbella</t>
  </si>
  <si>
    <t>https://turismo.marbella.es/index.php?option=com_content&amp;view=article&amp;id=896</t>
  </si>
  <si>
    <t>12.02.008</t>
  </si>
  <si>
    <t>Clínica Dr. Campos</t>
  </si>
  <si>
    <t>36.510090, -4.900648</t>
  </si>
  <si>
    <t>Avda. Ricardo Soriano, 65. Edif. Rincón del Mar, 5ª planta, 2ª puerta. 29602 Marbella</t>
  </si>
  <si>
    <t>https://turismo.marbella.es/index.php?option=com_content&amp;view=article&amp;id=898</t>
  </si>
  <si>
    <t>12.02.009</t>
  </si>
  <si>
    <t>Clínica Estética Pisano</t>
  </si>
  <si>
    <t>36.510643, -4.891431</t>
  </si>
  <si>
    <t>Avda. Ricardo Soriano, 36 Edif. María III, 201. 29602 Marbella</t>
  </si>
  <si>
    <t>https://turismo.marbella.es/index.php?option=com_content&amp;view=article&amp;id=894</t>
  </si>
  <si>
    <t>12.02.010</t>
  </si>
  <si>
    <t>Clínica Fernández Blanco</t>
  </si>
  <si>
    <t>36.507788, -4.915606</t>
  </si>
  <si>
    <t>Avda. Príncipe Alfonso de Hohenlohe C.C. La Poveda, Blq. 2, Oficina 4. 29602 Marbella</t>
  </si>
  <si>
    <t>https://turismo.marbella.es/index.php?option=com_content&amp;view=article&amp;id=899</t>
  </si>
  <si>
    <t>12.02.011</t>
  </si>
  <si>
    <t>Clínica Isabell´s Beauty Center</t>
  </si>
  <si>
    <t>36.508576, -4.914703</t>
  </si>
  <si>
    <t>Urb. Marbella Real, 81. 29602 Marbella</t>
  </si>
  <si>
    <t>https://turismo.marbella.es/index.php?option=com_content&amp;view=article&amp;id=900</t>
  </si>
  <si>
    <t>12.02.012</t>
  </si>
  <si>
    <t>Clínica Miró Marbella</t>
  </si>
  <si>
    <t>36.511017, -4.892284</t>
  </si>
  <si>
    <t>C/ Hermanos Salom, 4 - 29602 Marbella</t>
  </si>
  <si>
    <t>https://turismo.marbella.es/index.php?option=com_content&amp;view=article&amp;id=2657</t>
  </si>
  <si>
    <t>12.02.013</t>
  </si>
  <si>
    <t>Clínica Premium</t>
  </si>
  <si>
    <t>36.508919, -4.887849</t>
  </si>
  <si>
    <t>Calle San Juan Bosco 8</t>
  </si>
  <si>
    <t>https://turismo.marbella.es/index.php?option=com_content&amp;view=article&amp;id=903</t>
  </si>
  <si>
    <t>12.02.014</t>
  </si>
  <si>
    <t>Contur</t>
  </si>
  <si>
    <t>36.494076, -4.775922</t>
  </si>
  <si>
    <t>Centro Comercial Contur 1A 29604 Marbella</t>
  </si>
  <si>
    <t>https://turismo.marbella.es/index.php?option=com_content&amp;view=article&amp;id=4428</t>
  </si>
  <si>
    <t>12.02.015</t>
  </si>
  <si>
    <t>Doctor Jesús Torres Corpas</t>
  </si>
  <si>
    <t>36.516774, -4.896646</t>
  </si>
  <si>
    <t>C/ Maestra Doña Carola, 8 - 29602 Marbella</t>
  </si>
  <si>
    <t>https://turismo.marbella.es/index.php?option=com_content&amp;view=article&amp;id=910</t>
  </si>
  <si>
    <t>12.02.016</t>
  </si>
  <si>
    <t>Dr. Javier Collado</t>
  </si>
  <si>
    <t>36.508627, -4.874061</t>
  </si>
  <si>
    <t>Avda. Severo Ochoa, 22. 29602 Marbella</t>
  </si>
  <si>
    <t>https://turismo.marbella.es/index.php?option=com_content&amp;view=article&amp;id=908</t>
  </si>
  <si>
    <t>12.02.017</t>
  </si>
  <si>
    <t>Essentia Clinic</t>
  </si>
  <si>
    <t>36.488277, -4.952385</t>
  </si>
  <si>
    <t>Avda. Julio Iglesias, 5 Edif. Miramar, casa TU, 55 campana. Portal izq. 29602 Marbella</t>
  </si>
  <si>
    <t>https://turismo.marbella.es/index.php?option=com_content&amp;view=article&amp;id=912</t>
  </si>
  <si>
    <t>12.02.018</t>
  </si>
  <si>
    <t>Estética Ochoa</t>
  </si>
  <si>
    <t>36.507317, -4.881709</t>
  </si>
  <si>
    <t>Paseo Alfonso Cañas Nogueras 1</t>
  </si>
  <si>
    <t>https://turismo.marbella.es/index.php?option=com_content&amp;view=article&amp;id=915</t>
  </si>
  <si>
    <t>12.02.019</t>
  </si>
  <si>
    <t>Glow Beauty Puerto Banús</t>
  </si>
  <si>
    <t>36.487521, -4.956467</t>
  </si>
  <si>
    <t>Avda. José Banús, 9 · Edificio Málaga local 1A · 29660 Puerto Banús, Marbella.</t>
  </si>
  <si>
    <t>https://turismo.marbella.es/index.php?option=com_content&amp;view=article&amp;id=2742</t>
  </si>
  <si>
    <t>12.02.020</t>
  </si>
  <si>
    <t>Hospital Quirón</t>
  </si>
  <si>
    <t>36.508963, -4.874386</t>
  </si>
  <si>
    <t>https://turismo.marbella.es/index.php?option=com_content&amp;view=article&amp;id=920</t>
  </si>
  <si>
    <t>12.02.021</t>
  </si>
  <si>
    <t>Instituto Médico Miramar</t>
  </si>
  <si>
    <t>36.483091, -4.988221</t>
  </si>
  <si>
    <t>C/ jaén, 2, San Pedro Alcántara. 29670 Marbella</t>
  </si>
  <si>
    <t>https://turismo.marbella.es/index.php?option=com_content&amp;view=article&amp;id=921</t>
  </si>
  <si>
    <t>12.02.022</t>
  </si>
  <si>
    <t>March Cirugía y Medicina Estética</t>
  </si>
  <si>
    <t>36.510943, -4.900907</t>
  </si>
  <si>
    <t>Avda. Cánovas del Castillo, 6. 29602 Marbella</t>
  </si>
  <si>
    <t>https://turismo.marbella.es/index.php?option=com_content&amp;view=article&amp;id=902</t>
  </si>
  <si>
    <t>12.02.023</t>
  </si>
  <si>
    <t>Ocean Clinic</t>
  </si>
  <si>
    <t>36.509117, -4.885415</t>
  </si>
  <si>
    <t>Avda. Ramón y Cajal, 7 - 2ª planta. 29602 Marbella</t>
  </si>
  <si>
    <t>https://turismo.marbella.es/index.php?option=com_content&amp;view=article&amp;id=923</t>
  </si>
  <si>
    <t>12.02.024</t>
  </si>
  <si>
    <t>Rejumed</t>
  </si>
  <si>
    <t>36.509096, -4.888293</t>
  </si>
  <si>
    <t>C/ Ramiro Campos Turmo, 6, 29602 Marbella</t>
  </si>
  <si>
    <t>https://turismo.marbella.es/index.php?option=com_content&amp;view=article&amp;id=4426</t>
  </si>
  <si>
    <t>12.03</t>
  </si>
  <si>
    <t>Hospitales</t>
  </si>
  <si>
    <t>Hospitales públicos y privados.</t>
  </si>
  <si>
    <t>12.03.01</t>
  </si>
  <si>
    <t>Públicos</t>
  </si>
  <si>
    <t>Hospitales públicos.</t>
  </si>
  <si>
    <t>https://turismo.marbella.es/vive/salud-y-bienestar/hospitales-y-clinicas-centros-de-salud.html</t>
  </si>
  <si>
    <t>12.03.01.001</t>
  </si>
  <si>
    <t>Hospital Universitario Costa del Sol</t>
  </si>
  <si>
    <t>36.507929, -4.828061</t>
  </si>
  <si>
    <t>Público A-7, Km. 187 29603 Marbella</t>
  </si>
  <si>
    <t>https://turismo.marbella.es/index.php?option=com_content&amp;view=article&amp;id=6350</t>
  </si>
  <si>
    <t>12.03.01.002</t>
  </si>
  <si>
    <t>Urgencias Hospital Costa del Sol</t>
  </si>
  <si>
    <t>36.508568, -4.826570</t>
  </si>
  <si>
    <t>Calle Bogey</t>
  </si>
  <si>
    <t>12.03.02</t>
  </si>
  <si>
    <t>Privados</t>
  </si>
  <si>
    <t>Hospitales privados.</t>
  </si>
  <si>
    <t>12.03.02.001</t>
  </si>
  <si>
    <t>High Care Marbella International Hospital</t>
  </si>
  <si>
    <t>36.484993, -4.970514</t>
  </si>
  <si>
    <t>Ventura del Mar 11</t>
  </si>
  <si>
    <t>https://turismo.marbella.es/index.php?option=com_content&amp;view=article&amp;id=988</t>
  </si>
  <si>
    <t>12.03.02.002</t>
  </si>
  <si>
    <t>Hospital Ceram</t>
  </si>
  <si>
    <t>36.516863, -4.896752</t>
  </si>
  <si>
    <t>Privado C/ Maestra Doña Carola, 8 29602 Marbella</t>
  </si>
  <si>
    <t>https://turismo.marbella.es/index.php?option=com_content&amp;view=article&amp;id=987</t>
  </si>
  <si>
    <t>12.03.02.003</t>
  </si>
  <si>
    <t>Hospital Ochoa</t>
  </si>
  <si>
    <t>36.507316, -4.882039</t>
  </si>
  <si>
    <t>Privado Paseo Marítimo, s/n. Edif. Mayoral 29603 Marbella</t>
  </si>
  <si>
    <t>https://turismo.marbella.es/index.php?option=com_content&amp;view=article&amp;id=990</t>
  </si>
  <si>
    <t>12.03.02.004</t>
  </si>
  <si>
    <t>Hospital Quironsalud Marbella</t>
  </si>
  <si>
    <t>36.508592, -4.874189</t>
  </si>
  <si>
    <t>Privado Avda. Severo Ochoa, 22 - 29603 Marbella</t>
  </si>
  <si>
    <t>https://turismo.marbella.es/index.php?option=com_content&amp;view=article&amp;id=991</t>
  </si>
  <si>
    <t>12.03.02.005</t>
  </si>
  <si>
    <t>Hospital Recoletas Salud Marbella</t>
  </si>
  <si>
    <t>36.516781, -4.896715</t>
  </si>
  <si>
    <t>https://recoletasmarbella.com/es/</t>
  </si>
  <si>
    <t>12.04</t>
  </si>
  <si>
    <t>Centros médicos</t>
  </si>
  <si>
    <t>Centros de salud, consultorios y centros médicos públicos y privados.</t>
  </si>
  <si>
    <t>12.04.01</t>
  </si>
  <si>
    <t>Centros médicos públicos.</t>
  </si>
  <si>
    <t>12.04.01.001</t>
  </si>
  <si>
    <t>Ambulatorio de Nueva Andalucia.</t>
  </si>
  <si>
    <t>36.501158, -4.974915</t>
  </si>
  <si>
    <t>12.04.01.002</t>
  </si>
  <si>
    <t>Centro de Salud Albarizas</t>
  </si>
  <si>
    <t>36.511270, -4.873669</t>
  </si>
  <si>
    <t>Avenida de las Albarizas</t>
  </si>
  <si>
    <t>https://turismo.marbella.es/index.php?option=com_content&amp;view=article&amp;id=6349</t>
  </si>
  <si>
    <t>12.04.01.003</t>
  </si>
  <si>
    <t>Centro de Salud Leganitos</t>
  </si>
  <si>
    <t>36.512928, -4.885931</t>
  </si>
  <si>
    <t>Público, Centro de Salud Plaza Leganitos, 5, 29601 Marbella</t>
  </si>
  <si>
    <t>https://turismo.marbella.es/index.php?option=com_content&amp;view=article&amp;id=6348</t>
  </si>
  <si>
    <t>12.04.01.004</t>
  </si>
  <si>
    <t>Centro de Salud San Pedro Alcántara</t>
  </si>
  <si>
    <t>36.486055, -4.995607</t>
  </si>
  <si>
    <t>Público, Centro de Salud Avda. Príncipe de Asturias, s/n 29670 San Pedro Alcántara</t>
  </si>
  <si>
    <t>https://turismo.marbella.es/index.php?option=com_content&amp;view=article&amp;id=6347</t>
  </si>
  <si>
    <t>12.04.01.005</t>
  </si>
  <si>
    <t>Consultorio La Campana</t>
  </si>
  <si>
    <t>36.501170, -4.974975</t>
  </si>
  <si>
    <t>Público, Centro de Salud C/ Gustavo Adolfo Bécquer, 30, 29660 Nueva Andalucía</t>
  </si>
  <si>
    <t>https://turismo.marbella.es/index.php?option=com_content&amp;view=article&amp;id=6352</t>
  </si>
  <si>
    <t>12.04.01.006</t>
  </si>
  <si>
    <t>Consultorio Las Chapas</t>
  </si>
  <si>
    <t>36.496857, -4.781186</t>
  </si>
  <si>
    <t>Público, Centro de Salud C/ Pinsapo, s/n 29304 Las Chapas</t>
  </si>
  <si>
    <t>https://turismo.marbella.es/index.php?option=com_content&amp;view=article&amp;id=6351</t>
  </si>
  <si>
    <t>12.04.02</t>
  </si>
  <si>
    <t>Centros médicos privados.</t>
  </si>
  <si>
    <t>12.04.02.001</t>
  </si>
  <si>
    <t>Buchinger Wilhelmi</t>
  </si>
  <si>
    <t>36.518322, -4.912211</t>
  </si>
  <si>
    <t>Privado Avda. Buchinger, 15, 29602 Marbella</t>
  </si>
  <si>
    <t>https://turismo.marbella.es/index.php?option=com_content&amp;view=article&amp;id=913</t>
  </si>
  <si>
    <t>12.04.02.002</t>
  </si>
  <si>
    <t>Clinika Beach</t>
  </si>
  <si>
    <t>36.508183, -4.898141</t>
  </si>
  <si>
    <t>Privado C/ Camilo José Cela, 17 29602 Marbella</t>
  </si>
  <si>
    <t>https://turismo.marbella.es/index.php?option=com_content&amp;view=article&amp;id=961</t>
  </si>
  <si>
    <t>12.04.02.003</t>
  </si>
  <si>
    <t>Clínica Del Río</t>
  </si>
  <si>
    <t>36.484191, -4.989375</t>
  </si>
  <si>
    <t>Privado Avda. Marqués del Duero, 76, 2ª planta 29670 San Pedro Alcántara</t>
  </si>
  <si>
    <t>https://turismo.marbella.es/index.php?option=com_content&amp;view=article&amp;id=925</t>
  </si>
  <si>
    <t>12.04.02.004</t>
  </si>
  <si>
    <t>Clínica Galvez</t>
  </si>
  <si>
    <t>36.510249, -4.887554</t>
  </si>
  <si>
    <t>Privado Plaza Juan de la Rosa, 2 29601 Marbella</t>
  </si>
  <si>
    <t>https://turismo.marbella.es/index.php?option=com_content&amp;view=article&amp;id=3887</t>
  </si>
  <si>
    <t>12.04.02.005</t>
  </si>
  <si>
    <t>Clínica Puerto José Banús</t>
  </si>
  <si>
    <t>36.488021, -4.952721</t>
  </si>
  <si>
    <t>Privado Avda. Julio Iglesias, Casa RS, loc. 115. 29660 Puerto Banús</t>
  </si>
  <si>
    <t>https://turismo.marbella.es/index.php?option=com_content&amp;view=article&amp;id=959</t>
  </si>
  <si>
    <t>12.04.02.006</t>
  </si>
  <si>
    <t>Cílnica María 3</t>
  </si>
  <si>
    <t>36.510684, -4.891422</t>
  </si>
  <si>
    <t>Privado Avda. Ricardo Soriano, 36 Edif. María III, bajo 29601 Marbella</t>
  </si>
  <si>
    <t>https://turismo.marbella.es/index.php?option=com_content&amp;view=article&amp;id=951</t>
  </si>
  <si>
    <t>12.04.02.007</t>
  </si>
  <si>
    <t>German Clinic</t>
  </si>
  <si>
    <t>36.510907, -4.890049</t>
  </si>
  <si>
    <t>Calle Calvario 6</t>
  </si>
  <si>
    <t>https://turismo.marbella.es/index.php?option=com_content&amp;view=article&amp;id=3885</t>
  </si>
  <si>
    <t>12.04.02.008</t>
  </si>
  <si>
    <t>Guadalmina Clinic</t>
  </si>
  <si>
    <t>36.474512, -5.002173</t>
  </si>
  <si>
    <t>Privado Urb. Guadalmina Alta, Edif. La Caixa, Local 5B 29670 San Pedro Alcántara, Marbella</t>
  </si>
  <si>
    <t>https://turismo.marbella.es/index.php?option=com_content&amp;view=article&amp;id=967</t>
  </si>
  <si>
    <t>12.04.02.009</t>
  </si>
  <si>
    <t>Helicópteros Sanitarios</t>
  </si>
  <si>
    <t>36.494934, -4.950712</t>
  </si>
  <si>
    <t>N-340, Km. 1050, Nueva Andalucía, 29660 Marbella</t>
  </si>
  <si>
    <t>https://turismo.marbella.es/index.php?option=com_content&amp;view=article&amp;id=7079</t>
  </si>
  <si>
    <t>12.04.02.010</t>
  </si>
  <si>
    <t>Marbella Medical Services</t>
  </si>
  <si>
    <t>36.507872, -4.883419</t>
  </si>
  <si>
    <t>Av. Ramón y Cajal, 12, 29601 Marbella.</t>
  </si>
  <si>
    <t>https://turismo.marbella.es/index.php?option=com_content&amp;view=article&amp;id=8147</t>
  </si>
  <si>
    <t>12.04.02.011</t>
  </si>
  <si>
    <t>Reisbeck Medical</t>
  </si>
  <si>
    <t>36.510100, -4.901290</t>
  </si>
  <si>
    <t>Privado Ramón Gómez de la Serna 22 - 29602 Marbella</t>
  </si>
  <si>
    <t>https://turismo.marbella.es/index.php?option=com_content&amp;view=article&amp;id=4603</t>
  </si>
  <si>
    <t>12.04.02.012</t>
  </si>
  <si>
    <t>Triay Medical Center</t>
  </si>
  <si>
    <t>36.482711, -4.985890</t>
  </si>
  <si>
    <t>Privado Avda. San Sebastián, Edif. Los Almentros II, Bajo B. 29670 Nueva Alcántara, Marbella</t>
  </si>
  <si>
    <t>https://turismo.marbella.es/index.php?option=com_content&amp;view=article&amp;id=997</t>
  </si>
  <si>
    <t>12.05</t>
  </si>
  <si>
    <t>Clínicas especializadas</t>
  </si>
  <si>
    <t>Medicina estética, clínicas dentales, oftalmología, fertilidad, dermatología y fisioterapia.</t>
  </si>
  <si>
    <t>12.05.001</t>
  </si>
  <si>
    <t>Cellumed Clinic</t>
  </si>
  <si>
    <t>36.487633, -4.958553</t>
  </si>
  <si>
    <t>Privado Avda. Playas del Duque, Edif. Sevilla, Loc. 1-2 29660 Puerto Banús</t>
  </si>
  <si>
    <t>https://turismo.marbella.es/index.php?option=com_content&amp;view=article&amp;id=914</t>
  </si>
  <si>
    <t>12.05.002</t>
  </si>
  <si>
    <t>Clínica Marbella Surgery</t>
  </si>
  <si>
    <t>36.509132, -4.885416</t>
  </si>
  <si>
    <t>Privado Avda. Ramón y Cajal, 7, 3º, 29601 Marbella</t>
  </si>
  <si>
    <t>https://turismo.marbella.es/index.php?option=com_content&amp;view=article&amp;id=949</t>
  </si>
  <si>
    <t>12.05.003</t>
  </si>
  <si>
    <t>https://turismo.marbella.es/index.php?option=com_content&amp;view=article&amp;id=955</t>
  </si>
  <si>
    <t>12.05.004</t>
  </si>
  <si>
    <t>Clínica Premium Marbella (Jacinto Benavente)</t>
  </si>
  <si>
    <t>36.511236, -4.889078</t>
  </si>
  <si>
    <t>Privado C/ Jacinto Benavente, 11, 29601 Marbella.</t>
  </si>
  <si>
    <t>https://turismo.marbella.es/index.php?option=com_content&amp;view=article&amp;id=5691</t>
  </si>
  <si>
    <t>12.05.005</t>
  </si>
  <si>
    <t>Insparya Hair Clinic Marbella</t>
  </si>
  <si>
    <t>36.497444, -4.946385</t>
  </si>
  <si>
    <t>Privado Urbanizacion Lomas de Rio Verde, 152A, 29602 Marbella</t>
  </si>
  <si>
    <t>https://turismo.marbella.es/index.php?option=com_content&amp;view=article&amp;id=6366</t>
  </si>
  <si>
    <t>12.05.006</t>
  </si>
  <si>
    <t>Magna Clinic Marbella</t>
  </si>
  <si>
    <t>36.507206, -4.977540</t>
  </si>
  <si>
    <t>Privado Avda. Calderón de la Barca, Urb. Magna Marbella. Edif. Soroya, Planta baja.29660 Nueva Andalucía, Marbella</t>
  </si>
  <si>
    <t>https://turismo.marbella.es/index.php?option=com_content&amp;view=article&amp;id=992</t>
  </si>
  <si>
    <t>12.05.007</t>
  </si>
  <si>
    <t>Marbella Medical and Dental</t>
  </si>
  <si>
    <t>36.496787, -4.961668</t>
  </si>
  <si>
    <t>Privado C/ Califa, 16 Bajo 29660 Nueva Andalucía, Marbella</t>
  </si>
  <si>
    <t>https://turismo.marbella.es/index.php?option=com_content&amp;view=article&amp;id=995</t>
  </si>
  <si>
    <t>12.06</t>
  </si>
  <si>
    <t>Análisis clínicos</t>
  </si>
  <si>
    <t>Laboratorios de análisis clínicos.</t>
  </si>
  <si>
    <t>12.06.001</t>
  </si>
  <si>
    <t>Laboratorio Becerra (punto de extracción Marbella)</t>
  </si>
  <si>
    <t>Punto de extracción del Laboratorio Becerra. Avda. del Mar, 16, esquina C/ Goyo, 1 - 29601 Marbella</t>
  </si>
  <si>
    <t>laboratoriobecerra.com</t>
  </si>
  <si>
    <t>Coordenadas pendientes: la web del laboratorio no las publica</t>
  </si>
  <si>
    <t>https://laboratoriobecerra.com/en/</t>
  </si>
  <si>
    <t>12.06.002</t>
  </si>
  <si>
    <t>Laboratorio Becerra (San Pedro Alcántara)</t>
  </si>
  <si>
    <t>Laboratorio privado de análisis clínicos, sede principal. C/ Pizarro, 2, Edif. Plaza - 29670 San Pedro Alcántara</t>
  </si>
  <si>
    <t>12.06.003</t>
  </si>
  <si>
    <t>Laboratorio Biomar</t>
  </si>
  <si>
    <t>Laboratorio privado de análisis clínicos. C/ Padre Salvador, 7 - 29601 Marbella</t>
  </si>
  <si>
    <t>laboratoriobiomar.es</t>
  </si>
  <si>
    <t>https://www.laboratoriobiomar.es/analisis</t>
  </si>
  <si>
    <t>13</t>
  </si>
  <si>
    <t>Ocio</t>
  </si>
  <si>
    <t>Flamenco, ocio familiar y nocturno, terrazas.</t>
  </si>
  <si>
    <t>https://turismo.marbella.es/vive/ocio.html</t>
  </si>
  <si>
    <t>13.01</t>
  </si>
  <si>
    <t>Espectáculos flamencos</t>
  </si>
  <si>
    <t>Tablaos y locales con espectáculo flamenco.</t>
  </si>
  <si>
    <t>https://turismo.marbella.es/vive/ocio/espectaculos-flamencos.html</t>
  </si>
  <si>
    <t>13.01.001</t>
  </si>
  <si>
    <t>Flamenco el Pimpi</t>
  </si>
  <si>
    <t>36.503363, -4.925318</t>
  </si>
  <si>
    <t>Bulevar Príncipe Alonso de Hohenlohe, s/n C.P. 29602 Marbella</t>
  </si>
  <si>
    <t>https://turismo.marbella.es/index.php?option=com_content&amp;view=article&amp;id=7904</t>
  </si>
  <si>
    <t>13.01.002</t>
  </si>
  <si>
    <t>PiCú Marbella</t>
  </si>
  <si>
    <t>36.485502, -4.954243</t>
  </si>
  <si>
    <t>Calle Muelle - C/ Benabola, 12-14, 29660 Marbella.</t>
  </si>
  <si>
    <t>https://turismo.marbella.es/index.php?option=com_content&amp;view=article&amp;id=8005</t>
  </si>
  <si>
    <t>13.01.003</t>
  </si>
  <si>
    <t>Puerta del Príncipe Ana María Los Chatos</t>
  </si>
  <si>
    <t>36.510209, -4.886260</t>
  </si>
  <si>
    <t>Plaza de la Victoria, s/n, 29601 Marbella</t>
  </si>
  <si>
    <t>https://turismo.marbella.es/index.php?option=com_content&amp;view=article&amp;id=605</t>
  </si>
  <si>
    <t>13.01.004</t>
  </si>
  <si>
    <t>Restaurante The Farm</t>
  </si>
  <si>
    <t>https://turismo.marbella.es/index.php?option=com_content&amp;view=article&amp;id=603</t>
  </si>
  <si>
    <t>13.01.005</t>
  </si>
  <si>
    <t>Taberna El Bordón</t>
  </si>
  <si>
    <t>36.509947, -4.885486</t>
  </si>
  <si>
    <t>Calle Pataleon 5 - 7</t>
  </si>
  <si>
    <t>https://turismo.marbella.es/index.php?option=com_content&amp;view=article&amp;id=606</t>
  </si>
  <si>
    <t>13.01.006</t>
  </si>
  <si>
    <t>Tablao Flamenco Marbella</t>
  </si>
  <si>
    <t>36.512253, -4.884999</t>
  </si>
  <si>
    <t>Plaza del Santo Cristo, 4 - 29601 Marbella</t>
  </si>
  <si>
    <t>https://turismo.marbella.es/index.php?option=com_content&amp;view=article&amp;id=6991</t>
  </si>
  <si>
    <t>13.02</t>
  </si>
  <si>
    <t>Ocio familiar</t>
  </si>
  <si>
    <t>Parques de aventura, karting, bolera, cines, escape rooms y parques temáticos de la Costa del Sol.</t>
  </si>
  <si>
    <t>https://turismo.marbella.es/vive/ocio/ocio.html</t>
  </si>
  <si>
    <t>13.02.001</t>
  </si>
  <si>
    <t>Aventura Amazonia</t>
  </si>
  <si>
    <t>36.497074, -4.774269</t>
  </si>
  <si>
    <t>C/ Valeriano Rodríguez, 2. 29603 Elviria - Marbella</t>
  </si>
  <si>
    <t>https://turismo.marbella.es/index.php?option=com_content&amp;view=article&amp;id=771</t>
  </si>
  <si>
    <t>13.02.002</t>
  </si>
  <si>
    <t>Bobby Jump</t>
  </si>
  <si>
    <t>36.501736, -4.801179</t>
  </si>
  <si>
    <t>Autovía del Mediterráneo, N-340, Km 189, 29604 Marbella</t>
  </si>
  <si>
    <t>https://turismo.marbella.es/index.php?option=com_content&amp;view=article&amp;id=4575</t>
  </si>
  <si>
    <t>13.02.003</t>
  </si>
  <si>
    <t>Bola Boom Kids Play Area Marbella</t>
  </si>
  <si>
    <t>36.502829, -4.980591</t>
  </si>
  <si>
    <t>Calle Gabriel Celaya, 15, Nueva Andalucía, 29660 Marbella.</t>
  </si>
  <si>
    <t>https://turismo.marbella.es/index.php?option=com_content&amp;view=article&amp;id=8411</t>
  </si>
  <si>
    <t>13.02.004</t>
  </si>
  <si>
    <t>Bolera Pause &amp; Play C.C. La Cañada</t>
  </si>
  <si>
    <t>Carretera de Ojén, s/n, 29600 Marbella</t>
  </si>
  <si>
    <t>https://turismo.marbella.es/index.php?option=com_content&amp;view=article&amp;id=7601</t>
  </si>
  <si>
    <t>13.02.005</t>
  </si>
  <si>
    <t>Bowling Arena Marbella</t>
  </si>
  <si>
    <t>36.491271, -4.958940</t>
  </si>
  <si>
    <t>Avda. Pilar Calvo, C/ Luis Mazzantini 29660 Marbella</t>
  </si>
  <si>
    <t>https://turismo.marbella.es/index.php?option=com_content&amp;view=article&amp;id=7908</t>
  </si>
  <si>
    <t>13.02.006</t>
  </si>
  <si>
    <t>Cable Ski Marbella &amp; Wakeboard Center</t>
  </si>
  <si>
    <t>36.490192, -5.001941</t>
  </si>
  <si>
    <t>Guadalmina Alta (Parque de las Medranas) 29.670 San Pedro Alcántara</t>
  </si>
  <si>
    <t>https://turismo.marbella.es/index.php?option=com_content&amp;view=article&amp;id=777</t>
  </si>
  <si>
    <t>13.02.007</t>
  </si>
  <si>
    <t>Calle Buenaventura</t>
  </si>
  <si>
    <t>36.524884, -4.880815</t>
  </si>
  <si>
    <t>13.02.008</t>
  </si>
  <si>
    <t>36.524205, -4.879558</t>
  </si>
  <si>
    <t>13.02.009</t>
  </si>
  <si>
    <t>36.524383, -4.880195</t>
  </si>
  <si>
    <t>13.02.010</t>
  </si>
  <si>
    <t>Cine Kinépolis</t>
  </si>
  <si>
    <t>C. Ojén, s/n, 29600 Marbella</t>
  </si>
  <si>
    <t>https://turismo.marbella.es/index.php?option=com_content&amp;view=article&amp;id=4776</t>
  </si>
  <si>
    <t>13.02.011</t>
  </si>
  <si>
    <t>Cine Red Dog</t>
  </si>
  <si>
    <t>36.489438, -4.951546</t>
  </si>
  <si>
    <t>Avenida Julio Iglesias 29660, Puerto Banús - Marbella</t>
  </si>
  <si>
    <t>https://turismo.marbella.es/index.php?option=com_content&amp;view=article&amp;id=4774</t>
  </si>
  <si>
    <t>13.02.012</t>
  </si>
  <si>
    <t>Escape Rooms Arkham</t>
  </si>
  <si>
    <t>36.510936, -4.887801</t>
  </si>
  <si>
    <t>C/ Juan Ramón Jiménez 4, Esquina con C/ Jacinto Benavente 29602 Marbella</t>
  </si>
  <si>
    <t>https://turismo.marbella.es/index.php?option=com_content&amp;view=article&amp;id=5466</t>
  </si>
  <si>
    <t>13.02.013</t>
  </si>
  <si>
    <t>Fly Blue Gran Catamarán</t>
  </si>
  <si>
    <t>36.506905, -4.888187</t>
  </si>
  <si>
    <t>Puerto Deportivo de Marbella Av. Duque de Ahumada, s/n. 29602 Marbella</t>
  </si>
  <si>
    <t>https://turismo.marbella.es/index.php?option=com_content&amp;view=article&amp;id=781</t>
  </si>
  <si>
    <t>13.02.014</t>
  </si>
  <si>
    <t>Fuengirola Bioparc</t>
  </si>
  <si>
    <t>36.537005, -4.627688</t>
  </si>
  <si>
    <t>C/ Camilo José Cela, 6, y 8, 29640 Fuengirola.</t>
  </si>
  <si>
    <t>https://turismo.marbella.es/index.php?option=com_content&amp;view=article&amp;id=7688</t>
  </si>
  <si>
    <t>13.02.015</t>
  </si>
  <si>
    <t>Funny Hill Karting Ojen-Marbella</t>
  </si>
  <si>
    <t>36.543270, -4.865119</t>
  </si>
  <si>
    <t>https://turismo.marbella.es/index.php?option=com_content&amp;view=article&amp;id=4579</t>
  </si>
  <si>
    <t>13.02.016</t>
  </si>
  <si>
    <t>G2Move Marbella Segway Tours</t>
  </si>
  <si>
    <t>36.507225, -4.886770</t>
  </si>
  <si>
    <t>Avenida del Mar, local 18. 29602 Marbella</t>
  </si>
  <si>
    <t>https://turismo.marbella.es/index.php?option=com_content&amp;view=article&amp;id=787</t>
  </si>
  <si>
    <t>13.02.017</t>
  </si>
  <si>
    <t>Indoor Minigolf</t>
  </si>
  <si>
    <t>36.509046, -4.888180</t>
  </si>
  <si>
    <t>C/ Fco. Norte, 5 29601 Marbella</t>
  </si>
  <si>
    <t>https://turismo.marbella.es/index.php?option=com_content&amp;view=article&amp;id=8332</t>
  </si>
  <si>
    <t>13.02.018</t>
  </si>
  <si>
    <t>Intooit</t>
  </si>
  <si>
    <t>36.491421, -4.951485</t>
  </si>
  <si>
    <t>Centro Comercial Cristamar, 26, 27, 1ª Planta, 29660 Marbella</t>
  </si>
  <si>
    <t>https://turismo.marbella.es/index.php?option=com_content&amp;view=article&amp;id=7078</t>
  </si>
  <si>
    <t>13.02.019</t>
  </si>
  <si>
    <t>Kids Arena</t>
  </si>
  <si>
    <t>36.504409, -4.979428</t>
  </si>
  <si>
    <t>Nave 88, Nueva Andalucía , La Campana , 29660 Marbella.</t>
  </si>
  <si>
    <t>https://turismo.marbella.es/index.php?option=com_content&amp;view=article&amp;id=7693</t>
  </si>
  <si>
    <t>13.02.020</t>
  </si>
  <si>
    <t>Marbella Segway Tours</t>
  </si>
  <si>
    <t>36.490428, -4.950131</t>
  </si>
  <si>
    <t>Avenida de las Naciones Unidas CC Cristamar, Local 2, 29.660 Marbella</t>
  </si>
  <si>
    <t>https://turismo.marbella.es/index.php?option=com_content&amp;view=article&amp;id=791</t>
  </si>
  <si>
    <t>13.02.021</t>
  </si>
  <si>
    <t>Mariposario Benalmádena</t>
  </si>
  <si>
    <t>36.589142, -4.581474</t>
  </si>
  <si>
    <t>C. Muerdago, s/n, 29639 Benalmádena, Málaga.</t>
  </si>
  <si>
    <t>https://turismo.marbella.es/index.php?option=com_content&amp;view=article&amp;id=7686</t>
  </si>
  <si>
    <t>13.02.022</t>
  </si>
  <si>
    <t>Mijas Aquamijas</t>
  </si>
  <si>
    <t>36.538431, -4.633114</t>
  </si>
  <si>
    <t>Carr. de Cadiz, Km. 1016, 29651 Las Lagunas de Mijas.</t>
  </si>
  <si>
    <t>https://turismo.marbella.es/index.php?option=com_content&amp;view=article&amp;id=7692</t>
  </si>
  <si>
    <t>13.02.023</t>
  </si>
  <si>
    <t>Monkey Park</t>
  </si>
  <si>
    <t>36.509993, -4.874571</t>
  </si>
  <si>
    <t>C/ Pintor Pacheco, Local s/n</t>
  </si>
  <si>
    <t>https://turismo.marbella.es/index.php?option=com_content&amp;view=article&amp;id=4155</t>
  </si>
  <si>
    <t>13.02.024</t>
  </si>
  <si>
    <t>New Camelot</t>
  </si>
  <si>
    <t>36.516471, -4.895032</t>
  </si>
  <si>
    <t>Av. Cánovas del Castillo, Junto al MAXI DIA, 29602 Marbella, Málaga</t>
  </si>
  <si>
    <t>https://turismo.marbella.es/index.php?option=com_content&amp;view=article&amp;id=779</t>
  </si>
  <si>
    <t>13.02.025</t>
  </si>
  <si>
    <t>Orquideario Estepona</t>
  </si>
  <si>
    <t>36.429789, -5.146857</t>
  </si>
  <si>
    <t>C/ Terraza, 86, 29680 Estepona.</t>
  </si>
  <si>
    <t>https://turismo.marbella.es/index.php?option=com_content&amp;view=article&amp;id=7702</t>
  </si>
  <si>
    <t>13.02.026</t>
  </si>
  <si>
    <t>Pirates Park</t>
  </si>
  <si>
    <t>36.507240, -4.886226</t>
  </si>
  <si>
    <t>Duque de Ahumada, S/N, 29602 Marbella</t>
  </si>
  <si>
    <t>https://turismo.marbella.es/index.php?option=com_content&amp;view=article&amp;id=795</t>
  </si>
  <si>
    <t>13.02.027</t>
  </si>
  <si>
    <t>Quizygolf Marbella</t>
  </si>
  <si>
    <t>36.508392, -4.898293</t>
  </si>
  <si>
    <t>C.C. Plaza del Mar Paseo Marítimo de Marbella. Calle Camilo José Cela s/n C.P. 29602</t>
  </si>
  <si>
    <t>https://turismo.marbella.es/index.php?option=com_content&amp;view=article&amp;id=4611</t>
  </si>
  <si>
    <t>13.02.028</t>
  </si>
  <si>
    <t>Sea Life Benalmádena</t>
  </si>
  <si>
    <t>36.596735, -4.515232</t>
  </si>
  <si>
    <t>Puerto deportivo s/n, 29630 Benalmádena.</t>
  </si>
  <si>
    <t>https://turismo.marbella.es/index.php?option=com_content&amp;view=article&amp;id=7695</t>
  </si>
  <si>
    <t>13.02.029</t>
  </si>
  <si>
    <t>Selwo Aventura Estepona</t>
  </si>
  <si>
    <t>36.463433, -5.085304</t>
  </si>
  <si>
    <t>Avenida Parque Selwo, s/n, 29680 Estepona.</t>
  </si>
  <si>
    <t>https://turismo.marbella.es/index.php?option=com_content&amp;view=article&amp;id=7687</t>
  </si>
  <si>
    <t>13.02.030</t>
  </si>
  <si>
    <t>Signum Escape Room</t>
  </si>
  <si>
    <t>36.513685, -4.879524</t>
  </si>
  <si>
    <t>C/ Serenata 40, 29601 Marbella.</t>
  </si>
  <si>
    <t>https://turismo.marbella.es/index.php?option=com_content&amp;view=article&amp;id=5321</t>
  </si>
  <si>
    <t>13.02.031</t>
  </si>
  <si>
    <t>Sould Park</t>
  </si>
  <si>
    <t>36.488416, -4.953096</t>
  </si>
  <si>
    <t>13.02.032</t>
  </si>
  <si>
    <t>Teleférico Benalmádena</t>
  </si>
  <si>
    <t>36.600582, -4.539722</t>
  </si>
  <si>
    <t>Explanada del Tivoli, s/n, 29631 Benalmádena.</t>
  </si>
  <si>
    <t>https://turismo.marbella.es/index.php?option=com_content&amp;view=article&amp;id=7696</t>
  </si>
  <si>
    <t>13.02.033</t>
  </si>
  <si>
    <t>Water Fun</t>
  </si>
  <si>
    <t>36.493149, -4.789554</t>
  </si>
  <si>
    <t>https://waterfun.es/</t>
  </si>
  <si>
    <t>13.02.034</t>
  </si>
  <si>
    <t>We Fly Banus</t>
  </si>
  <si>
    <t>https://turismo.marbella.es/index.php?option=com_content&amp;view=article&amp;id=4004</t>
  </si>
  <si>
    <t>13.02.035</t>
  </si>
  <si>
    <t>Zoo de Castellar</t>
  </si>
  <si>
    <t>36.288313, -5.409263</t>
  </si>
  <si>
    <t>Cerro del Moro, s/n, 11350 Castellar de la Frontera, Cádiz</t>
  </si>
  <si>
    <t>https://turismo.marbella.es/index.php?option=com_content&amp;view=article&amp;id=7708</t>
  </si>
  <si>
    <t>13.03</t>
  </si>
  <si>
    <t>Ocio nocturno</t>
  </si>
  <si>
    <t>Discotecas, salas, bares de copas y casino.</t>
  </si>
  <si>
    <t>https://turismo.marbella.es/vive/ocio/nocturno.html</t>
  </si>
  <si>
    <t>13.03.001</t>
  </si>
  <si>
    <t>Afro Lounge</t>
  </si>
  <si>
    <t>36.507441, -4.887897</t>
  </si>
  <si>
    <t>Puerto Deportivo Virgen del Carmen, local 4 - 29602 Marbella</t>
  </si>
  <si>
    <t>https://turismo.marbella.es/index.php?option=com_content&amp;view=article&amp;id=7131</t>
  </si>
  <si>
    <t>13.03.002</t>
  </si>
  <si>
    <t>Arturo´s Bar</t>
  </si>
  <si>
    <t>36.506772, -4.888839</t>
  </si>
  <si>
    <t>Puerto Deportivo Local 43. 29602 Marbella</t>
  </si>
  <si>
    <t>https://turismo.marbella.es/index.php?option=com_content&amp;view=article&amp;id=1012</t>
  </si>
  <si>
    <t>13.03.003</t>
  </si>
  <si>
    <t>Bisou</t>
  </si>
  <si>
    <t>36.506667, -4.888503</t>
  </si>
  <si>
    <t>Muelle de Theresa Zabell 5, 29601 Marbella</t>
  </si>
  <si>
    <t>https://turismo.marbella.es/index.php?option=com_content&amp;view=article&amp;id=7132</t>
  </si>
  <si>
    <t>13.03.004</t>
  </si>
  <si>
    <t>Bless Club</t>
  </si>
  <si>
    <t>36.508350, -4.912858</t>
  </si>
  <si>
    <t>13.03.005</t>
  </si>
  <si>
    <t>Bonbonniere Marbella</t>
  </si>
  <si>
    <t>36.504820, -4.940504</t>
  </si>
  <si>
    <t>Carretera de Istán, 29600 Marbella.</t>
  </si>
  <si>
    <t>https://turismo.marbella.es/index.php?option=com_content&amp;view=article&amp;id=8357</t>
  </si>
  <si>
    <t>13.03.006</t>
  </si>
  <si>
    <t>Casino Marbella</t>
  </si>
  <si>
    <t>36.488712, -4.961710</t>
  </si>
  <si>
    <t>https://www.casinomarbella.com/</t>
  </si>
  <si>
    <t>13.03.007</t>
  </si>
  <si>
    <t>Cavalli Club</t>
  </si>
  <si>
    <t>36.495458, -4.952418</t>
  </si>
  <si>
    <t>13.03.008</t>
  </si>
  <si>
    <t>Coya Club</t>
  </si>
  <si>
    <t>https://turismo.marbella.es/index.php?option=com_content&amp;view=article&amp;id=7056</t>
  </si>
  <si>
    <t>13.03.009</t>
  </si>
  <si>
    <t>Crown</t>
  </si>
  <si>
    <t>36.489476, -4.951155</t>
  </si>
  <si>
    <t>13.03.010</t>
  </si>
  <si>
    <t>Crystals Karaoke Puerto Banus</t>
  </si>
  <si>
    <t>36.488166, -4.952173</t>
  </si>
  <si>
    <t>Muelle Ribera 29660 - Puerto Banús</t>
  </si>
  <si>
    <t>https://turismo.marbella.es/index.php?option=com_content&amp;view=article&amp;id=8229</t>
  </si>
  <si>
    <t>13.03.011</t>
  </si>
  <si>
    <t>dance marbella</t>
  </si>
  <si>
    <t>36.496029, -4.992040</t>
  </si>
  <si>
    <t>Calle Eslovaquia 13</t>
  </si>
  <si>
    <t>13.03.012</t>
  </si>
  <si>
    <t>Discoteca Scream</t>
  </si>
  <si>
    <t>36.487339, -4.953291</t>
  </si>
  <si>
    <t>Calle Ribera, local 6 y 7- 29660 Puerto Banús. Marbella</t>
  </si>
  <si>
    <t>https://turismo.marbella.es/index.php?option=com_content&amp;view=article&amp;id=847</t>
  </si>
  <si>
    <t>13.03.013</t>
  </si>
  <si>
    <t>Fitz Marbella</t>
  </si>
  <si>
    <t>36.495376, -4.952724</t>
  </si>
  <si>
    <t>N-340 km 175 Río Verde, C.C. RIMESA-TINO</t>
  </si>
  <si>
    <t>https://turismo.marbella.es/index.php?option=com_content&amp;view=article&amp;id=820</t>
  </si>
  <si>
    <t>13.03.014</t>
  </si>
  <si>
    <t>Funky Buddha Beach</t>
  </si>
  <si>
    <t>36.484793, -4.960927</t>
  </si>
  <si>
    <t>13.03.015</t>
  </si>
  <si>
    <t>Funky Buddha Puerto Banús</t>
  </si>
  <si>
    <t>36.488313, -4.951859</t>
  </si>
  <si>
    <t>C/ Muelle. Ribera, s/n, Nueva Andalucía, 29660 Marbella</t>
  </si>
  <si>
    <t>https://turismo.marbella.es/index.php?option=com_content&amp;view=article&amp;id=821</t>
  </si>
  <si>
    <t>13.03.016</t>
  </si>
  <si>
    <t>Havana 65</t>
  </si>
  <si>
    <t>36.484748, -4.989185</t>
  </si>
  <si>
    <t>Avda. Marqués del Duero, 65 - 29670 San Pedro Alcántara</t>
  </si>
  <si>
    <t>https://turismo.marbella.es/index.php?option=com_content&amp;view=article&amp;id=3804</t>
  </si>
  <si>
    <t>13.03.017</t>
  </si>
  <si>
    <t>Joys Live Bar &amp; Night Club</t>
  </si>
  <si>
    <t>36.487770, -4.952256</t>
  </si>
  <si>
    <t>C/ Muelle Ribera Casa 1 29660 Puerto Banús, Marbella</t>
  </si>
  <si>
    <t>https://turismo.marbella.es/index.php?option=com_content&amp;view=article&amp;id=822</t>
  </si>
  <si>
    <t>13.03.018</t>
  </si>
  <si>
    <t>Kube Puerto Banús</t>
  </si>
  <si>
    <t>36.489374, -4.950595</t>
  </si>
  <si>
    <t>C/ Ribera, 6 Casa YZ, local 11 29660 Puerto Banús - Marbella</t>
  </si>
  <si>
    <t>https://turismo.marbella.es/index.php?option=com_content&amp;view=article&amp;id=824</t>
  </si>
  <si>
    <t>13.03.019</t>
  </si>
  <si>
    <t>La Clave Discoteca Latina</t>
  </si>
  <si>
    <t>36.508482, -4.896064</t>
  </si>
  <si>
    <t>C/ Camilo José Cela,12 29602 Marbella</t>
  </si>
  <si>
    <t>https://turismo.marbella.es/index.php?option=com_content&amp;view=article&amp;id=826</t>
  </si>
  <si>
    <t>13.03.020</t>
  </si>
  <si>
    <t>La Habana de Hemingway</t>
  </si>
  <si>
    <t>36.488751, -4.949962</t>
  </si>
  <si>
    <t>Edificio Muelle Levante, 7 Puerto Banús</t>
  </si>
  <si>
    <t>https://turismo.marbella.es/index.php?option=com_content&amp;view=article&amp;id=827</t>
  </si>
  <si>
    <t>13.03.021</t>
  </si>
  <si>
    <t>La Sala Banús</t>
  </si>
  <si>
    <t>36.490248, -4.956872</t>
  </si>
  <si>
    <t>C/ Juan Belmonte - 29660 Nueva Andalucía</t>
  </si>
  <si>
    <t>https://turismo.marbella.es/index.php?option=com_content&amp;view=article&amp;id=818</t>
  </si>
  <si>
    <t>13.03.022</t>
  </si>
  <si>
    <t>Le Club</t>
  </si>
  <si>
    <t>36.511265, -4.887579</t>
  </si>
  <si>
    <t>C/ Jacinto Benavente, 4 29602 Marbella</t>
  </si>
  <si>
    <t>https://turismo.marbella.es/index.php?option=com_content&amp;view=article&amp;id=5518</t>
  </si>
  <si>
    <t>13.03.023</t>
  </si>
  <si>
    <t>Le Tram</t>
  </si>
  <si>
    <t>36.507174, -4.888069</t>
  </si>
  <si>
    <t>13.03.024</t>
  </si>
  <si>
    <t>Lemmon Marbella</t>
  </si>
  <si>
    <t>36.506529, -4.889380</t>
  </si>
  <si>
    <t>Puerto Deportivo, local 12 29602 Marbella</t>
  </si>
  <si>
    <t>https://turismo.marbella.es/index.php?option=com_content&amp;view=article&amp;id=830</t>
  </si>
  <si>
    <t>13.03.025</t>
  </si>
  <si>
    <t>Lillies</t>
  </si>
  <si>
    <t>36.506623, -4.889136</t>
  </si>
  <si>
    <t>Puerto deportivo, Local 10, 29601 Marbella</t>
  </si>
  <si>
    <t>https://turismo.marbella.es/index.php?option=com_content&amp;view=article&amp;id=7133</t>
  </si>
  <si>
    <t>13.03.026</t>
  </si>
  <si>
    <t>Linekers Bar</t>
  </si>
  <si>
    <t>36.488648, -4.951341</t>
  </si>
  <si>
    <t>C/ Muelle de Ribera Locales 5 a 10 29660 – Puerto Banús</t>
  </si>
  <si>
    <t>https://turismo.marbella.es/index.php?option=com_content&amp;view=article&amp;id=831</t>
  </si>
  <si>
    <t>13.03.027</t>
  </si>
  <si>
    <t>Mirage Marbella</t>
  </si>
  <si>
    <t>36.486284, -4.955789</t>
  </si>
  <si>
    <t>C/ Gray D´Albion 29660 Puerto Banús, Marbella</t>
  </si>
  <si>
    <t>https://turismo.marbella.es/index.php?option=com_content&amp;view=article&amp;id=834</t>
  </si>
  <si>
    <t>13.03.028</t>
  </si>
  <si>
    <t>Momento Marbella</t>
  </si>
  <si>
    <t>36.500827, -4.935824</t>
  </si>
  <si>
    <t>Urb. Villa Parra Palomeras 67</t>
  </si>
  <si>
    <t>https://turismo.marbella.es/index.php?option=com_content&amp;view=article&amp;id=835</t>
  </si>
  <si>
    <t>13.03.029</t>
  </si>
  <si>
    <t>News Cafe Banus</t>
  </si>
  <si>
    <t>36.486430, -4.953850</t>
  </si>
  <si>
    <t>C/ Muelle Ribera, num 12 - 29660 Puerto Banus</t>
  </si>
  <si>
    <t>https://turismo.marbella.es/index.php?option=com_content&amp;view=article&amp;id=3907</t>
  </si>
  <si>
    <t>13.03.030</t>
  </si>
  <si>
    <t>Olivia Valere</t>
  </si>
  <si>
    <t>36.505062, -4.940957</t>
  </si>
  <si>
    <t>https://oliviavalere.com/</t>
  </si>
  <si>
    <t>13.03.031</t>
  </si>
  <si>
    <t>Pangea Club</t>
  </si>
  <si>
    <t>36.484615, -4.953773</t>
  </si>
  <si>
    <t>Edif. Club de Mar. Terraza, Edificio Club de Mar Puerto Banús, Muelle de Honor. 29660</t>
  </si>
  <si>
    <t>https://turismo.marbella.es/index.php?option=com_content&amp;view=article&amp;id=840</t>
  </si>
  <si>
    <t>13.03.032</t>
  </si>
  <si>
    <t>Paradise Latin</t>
  </si>
  <si>
    <t>36.510871, -4.887496</t>
  </si>
  <si>
    <t>Plaza de los Olivos, num 6 - 29601 Marbella</t>
  </si>
  <si>
    <t>https://turismo.marbella.es/index.php?option=com_content&amp;view=article&amp;id=3900</t>
  </si>
  <si>
    <t>13.03.033</t>
  </si>
  <si>
    <t>Premiere Club</t>
  </si>
  <si>
    <t>36.510807, -4.887342</t>
  </si>
  <si>
    <t>Plaza de los Olivos, 2 29602 Marbella.</t>
  </si>
  <si>
    <t>https://turismo.marbella.es/index.php?option=com_content&amp;view=article&amp;id=5492</t>
  </si>
  <si>
    <t>13.03.034</t>
  </si>
  <si>
    <t>Pub Charles</t>
  </si>
  <si>
    <t>36.482658, -4.990997</t>
  </si>
  <si>
    <t>calle Andalucía y Avda. constitución</t>
  </si>
  <si>
    <t>https://turismo.marbella.es/index.php?option=com_content&amp;view=article&amp;id=3903</t>
  </si>
  <si>
    <t>13.03.035</t>
  </si>
  <si>
    <t>Seven</t>
  </si>
  <si>
    <t>36.488841, -4.951046</t>
  </si>
  <si>
    <t>13.03.036</t>
  </si>
  <si>
    <t>TAOK Marbella</t>
  </si>
  <si>
    <t>36.508091, -4.885943</t>
  </si>
  <si>
    <t>Avenida del Mar, 3 29602 Marbella</t>
  </si>
  <si>
    <t>https://turismo.marbella.es/index.php?option=com_content&amp;view=article&amp;id=845</t>
  </si>
  <si>
    <t>13.03.037</t>
  </si>
  <si>
    <t>TIBU</t>
  </si>
  <si>
    <t>36.488057, -4.953503</t>
  </si>
  <si>
    <t>Plaza Antonio Banderas Av. Julio Iglesias 103 29660 Puerto Banús</t>
  </si>
  <si>
    <t>https://turismo.marbella.es/index.php?option=com_content&amp;view=article&amp;id=846</t>
  </si>
  <si>
    <t>13.03.038</t>
  </si>
  <si>
    <t>Tulum</t>
  </si>
  <si>
    <t>36.506568, -4.888291</t>
  </si>
  <si>
    <t>Puerto Deportivo locales 1, 2, 3 29602 Marbella</t>
  </si>
  <si>
    <t>https://turismo.marbella.es/index.php?option=com_content&amp;view=article&amp;id=4512</t>
  </si>
  <si>
    <t>13.03.039</t>
  </si>
  <si>
    <t>Volare Room Marbella</t>
  </si>
  <si>
    <t>36.510513, -4.906771</t>
  </si>
  <si>
    <t>Arrabal la Caridad, 12 (junto IES Guadalpin) 29602 Marbella</t>
  </si>
  <si>
    <t>https://turismo.marbella.es/index.php?option=com_content&amp;view=article&amp;id=838</t>
  </si>
  <si>
    <t>13.04</t>
  </si>
  <si>
    <t>Terrazas rooftops</t>
  </si>
  <si>
    <t>Terrazas en azotea.</t>
  </si>
  <si>
    <t>https://turismo.marbella.es/vive/ocio/terrazas-rooftop.html</t>
  </si>
  <si>
    <t>13.04.001</t>
  </si>
  <si>
    <t>360 º Blue Sky Bar</t>
  </si>
  <si>
    <t>36.509342, -4.885912</t>
  </si>
  <si>
    <t>Av. Ramón y Cajal, 3 29601 Marbella</t>
  </si>
  <si>
    <t>https://turismo.marbella.es/index.php?option=com_content&amp;view=article&amp;id=7126</t>
  </si>
  <si>
    <t>13.04.002</t>
  </si>
  <si>
    <t>Air by Breathe</t>
  </si>
  <si>
    <t>Calle Los Lirios s/n, 29660 Marbella, Málaga</t>
  </si>
  <si>
    <t>https://turismo.marbella.es/index.php?option=com_content&amp;view=article&amp;id=5713</t>
  </si>
  <si>
    <t>13.04.003</t>
  </si>
  <si>
    <t>BELVUE ROOFTOP BAR</t>
  </si>
  <si>
    <t>36.507689, -4.881111</t>
  </si>
  <si>
    <t>Plaza Jose Luque Manzano s/n, Marbella.</t>
  </si>
  <si>
    <t>https://turismo.marbella.es/index.php?option=com_content&amp;view=article&amp;id=5716</t>
  </si>
  <si>
    <t>13.04.004</t>
  </si>
  <si>
    <t>BENABOLA SKY LOUNGE</t>
  </si>
  <si>
    <t>36.485221, -4.954588</t>
  </si>
  <si>
    <t>C/ Benabola 3, Puerto Banús, Marbella</t>
  </si>
  <si>
    <t>https://turismo.marbella.es/index.php?option=com_content&amp;view=article&amp;id=5711</t>
  </si>
  <si>
    <t>13.04.005</t>
  </si>
  <si>
    <t>Cielo Techno by  Florentine</t>
  </si>
  <si>
    <t>https://turismo.marbella.es/index.php?option=com_content&amp;view=article&amp;id=7808</t>
  </si>
  <si>
    <t>13.04.006</t>
  </si>
  <si>
    <t>El Fuerte Rooftop</t>
  </si>
  <si>
    <t>36.507428, -4.884427</t>
  </si>
  <si>
    <t>Calle El Fuerte, s/n 29602 Marbella, Málaga</t>
  </si>
  <si>
    <t>https://turismo.marbella.es/index.php?option=com_content&amp;view=article&amp;id=6236</t>
  </si>
  <si>
    <t>13.04.007</t>
  </si>
  <si>
    <t>Escondido</t>
  </si>
  <si>
    <t>Hotel Kimpton Los Monteros C/ del Lince 29603 Marbella</t>
  </si>
  <si>
    <t>https://turismo.marbella.es/index.php?option=com_content&amp;view=article&amp;id=8298</t>
  </si>
  <si>
    <t>13.04.008</t>
  </si>
  <si>
    <t>Havana 65 Rooftop</t>
  </si>
  <si>
    <t>https://turismo.marbella.es/index.php?option=com_content&amp;view=article&amp;id=7828</t>
  </si>
  <si>
    <t>13.04.009</t>
  </si>
  <si>
    <t>Hotel Lima Rooftop</t>
  </si>
  <si>
    <t>36.508265, -4.887332</t>
  </si>
  <si>
    <t>Hotel Lima Marbella. Av. Antonio Belón, 2, 29602 Marbella.</t>
  </si>
  <si>
    <t>https://turismo.marbella.es/index.php?option=com_content&amp;view=article&amp;id=5715</t>
  </si>
  <si>
    <t>13.04.010</t>
  </si>
  <si>
    <t>La Fonda Sky Bar</t>
  </si>
  <si>
    <t>36.512441, -4.885201</t>
  </si>
  <si>
    <t>Plaza Santo Cristo 9 y 10 - 29601 Marbella</t>
  </si>
  <si>
    <t>https://turismo.marbella.es/index.php?option=com_content&amp;view=article&amp;id=6512</t>
  </si>
  <si>
    <t>13.04.011</t>
  </si>
  <si>
    <t>Linda Marbella Rooftop</t>
  </si>
  <si>
    <t>36.512002, -4.885326</t>
  </si>
  <si>
    <t>Hotel **, Admite mascotas C/ Ancha, 21 - 29601 Marbella</t>
  </si>
  <si>
    <t>https://turismo.marbella.es/index.php?option=com_content&amp;view=article&amp;id=7829</t>
  </si>
  <si>
    <t>13.04.012</t>
  </si>
  <si>
    <t>Martini bar by Dolce &amp; Gabbana</t>
  </si>
  <si>
    <t>36.484602, -4.953756</t>
  </si>
  <si>
    <t>Ed. Club de Mar, 2-1. 29660 Puerto Banús</t>
  </si>
  <si>
    <t>https://turismo.marbella.es/index.php?option=com_content&amp;view=article&amp;id=5958</t>
  </si>
  <si>
    <t>13.04.013</t>
  </si>
  <si>
    <t>NH LOUNGE SAN PEDRO SKYLINE BARBULLA</t>
  </si>
  <si>
    <t>36.483801, -4.989447</t>
  </si>
  <si>
    <t>C/Jerez, 1 Sexta planta Hotel NH San Pedro. 29670 San Pedro Alcántara.</t>
  </si>
  <si>
    <t>https://turismo.marbella.es/index.php?option=com_content&amp;view=article&amp;id=5717</t>
  </si>
  <si>
    <t>13.04.014</t>
  </si>
  <si>
    <t>https://turismo.marbella.es/index.php?option=com_content&amp;view=article&amp;id=7127</t>
  </si>
  <si>
    <t>13.04.015</t>
  </si>
  <si>
    <t>https://turismo.marbella.es/index.php?option=com_content&amp;view=article&amp;id=5712</t>
  </si>
  <si>
    <t>13.04.016</t>
  </si>
  <si>
    <t>Terral Club</t>
  </si>
  <si>
    <t>36.510040, -4.889326</t>
  </si>
  <si>
    <t>Avda. de Ricardo Soriano 19, planta 8 - 29602 Marbella</t>
  </si>
  <si>
    <t>https://turismo.marbella.es/index.php?option=com_content&amp;view=article&amp;id=5725</t>
  </si>
  <si>
    <t>13.04.017</t>
  </si>
  <si>
    <t>TIBU Marbella</t>
  </si>
  <si>
    <t>https://turismo.marbella.es/index.php?option=com_content&amp;view=article&amp;id=5714</t>
  </si>
  <si>
    <t>13.05</t>
  </si>
  <si>
    <t>Cines y teatros</t>
  </si>
  <si>
    <t>Salas de cine y teatros.</t>
  </si>
  <si>
    <t>OpenStreetMap (ODbL); turismo.marbella.es; AMMA Consulting</t>
  </si>
  <si>
    <t>13.05.001</t>
  </si>
  <si>
    <t>Auditorio José Pernía Calderón (auditorio al aire libre)</t>
  </si>
  <si>
    <t>Parque de la Constitución, Marbella. Abre en temporada de verano</t>
  </si>
  <si>
    <t>marbella.es</t>
  </si>
  <si>
    <t>Coordenadas aproximadas: centro del Parque de la Constitución</t>
  </si>
  <si>
    <t>https://www.marbella.es/web/cultura/instalaciones-culturales/auditorio-jose-pernia-calderon.html</t>
  </si>
  <si>
    <t>13.05.002</t>
  </si>
  <si>
    <t>13.05.003</t>
  </si>
  <si>
    <t>Cinesa</t>
  </si>
  <si>
    <t>36.522124, -4.874282</t>
  </si>
  <si>
    <t>13.05.004</t>
  </si>
  <si>
    <t>Red Dog Cinemas</t>
  </si>
  <si>
    <t>36.489373, -4.951385</t>
  </si>
  <si>
    <t>13.05.005</t>
  </si>
  <si>
    <t>14</t>
  </si>
  <si>
    <t>Viajar con mascotas</t>
  </si>
  <si>
    <t>Servicios y lugares para viajar con mascotas.</t>
  </si>
  <si>
    <t>https://turismo.marbella.es/vive/viajar-con-mascotas.html</t>
  </si>
  <si>
    <t>14.01</t>
  </si>
  <si>
    <t>Veterinarios</t>
  </si>
  <si>
    <t>Clínicas veterinarias.</t>
  </si>
  <si>
    <t>https://turismo.marbella.es/vive/viajar-con-mascotas/veterinarios.html</t>
  </si>
  <si>
    <t>14.01.001</t>
  </si>
  <si>
    <t>Amazonas</t>
  </si>
  <si>
    <t>36.511405, -4.879752</t>
  </si>
  <si>
    <t>Travesía Huerta los Cristales, 15 29601 Marbella</t>
  </si>
  <si>
    <t>https://turismo.marbella.es/index.php?option=com_content&amp;view=article&amp;id=5260</t>
  </si>
  <si>
    <t>14.01.002</t>
  </si>
  <si>
    <t>Animal Club</t>
  </si>
  <si>
    <t>36.513135, -4.897352</t>
  </si>
  <si>
    <t>Av. Las Palmeras nº34 29601 Marbella</t>
  </si>
  <si>
    <t>https://turismo.marbella.es/index.php?option=com_content&amp;view=article&amp;id=5259</t>
  </si>
  <si>
    <t>14.01.003</t>
  </si>
  <si>
    <t>Animal House</t>
  </si>
  <si>
    <t>36.511245, -4.887764</t>
  </si>
  <si>
    <t>C/ Jacinto Benavente, 6 29601 Marbella</t>
  </si>
  <si>
    <t>https://turismo.marbella.es/index.php?option=com_content&amp;view=article&amp;id=5258</t>
  </si>
  <si>
    <t>14.01.004</t>
  </si>
  <si>
    <t>Anubis</t>
  </si>
  <si>
    <t>36.522843, -4.885581</t>
  </si>
  <si>
    <t>Valentuñana, 20 BAJO, Ediv Sol. 29601 Marbella</t>
  </si>
  <si>
    <t>https://turismo.marbella.es/index.php?option=com_content&amp;view=article&amp;id=5257</t>
  </si>
  <si>
    <t>14.01.005</t>
  </si>
  <si>
    <t>Artemis</t>
  </si>
  <si>
    <t>36.513688, -4.876416</t>
  </si>
  <si>
    <t>Av General Lopez Dominguez 28D. 29603 Marbella</t>
  </si>
  <si>
    <t>https://turismo.marbella.es/index.php?option=com_content&amp;view=article&amp;id=5263</t>
  </si>
  <si>
    <t>14.01.006</t>
  </si>
  <si>
    <t>Cilniana I</t>
  </si>
  <si>
    <t>36.484833, -4.990220</t>
  </si>
  <si>
    <t>C/ Copo, 4 . 29670 San Pedro Alcántara</t>
  </si>
  <si>
    <t>https://turismo.marbella.es/index.php?option=com_content&amp;view=article&amp;id=5255</t>
  </si>
  <si>
    <t>14.01.007</t>
  </si>
  <si>
    <t>Cilniana II</t>
  </si>
  <si>
    <t>36.482113, -4.992579</t>
  </si>
  <si>
    <t>C. Mainake, 6. 29670 San Pedro Alcántara</t>
  </si>
  <si>
    <t>https://turismo.marbella.es/index.php?option=com_content&amp;view=article&amp;id=5254</t>
  </si>
  <si>
    <t>14.01.008</t>
  </si>
  <si>
    <t>Dr. Hormigo Gil</t>
  </si>
  <si>
    <t>36.487604, -4.989941</t>
  </si>
  <si>
    <t>Avenida Pablo Ruiz Picasso, 19 29670 San Pedro de Alcántara. Marbella</t>
  </si>
  <si>
    <t>https://turismo.marbella.es/index.php?option=com_content&amp;view=article&amp;id=5253</t>
  </si>
  <si>
    <t>14.01.009</t>
  </si>
  <si>
    <t>El Dogo Azul Elviria</t>
  </si>
  <si>
    <t>36.499073, -4.783702</t>
  </si>
  <si>
    <t>Avda. las Cumbres/Plaza de Chile s/n, 29604. Marbella</t>
  </si>
  <si>
    <t>https://turismo.marbella.es/index.php?option=com_content&amp;view=article&amp;id=5251</t>
  </si>
  <si>
    <t>14.01.010</t>
  </si>
  <si>
    <t>El Dogo Azul Marbella</t>
  </si>
  <si>
    <t>36.514562, -4.888431</t>
  </si>
  <si>
    <t>Avda. del Mercado s/n, 29600 Marbella</t>
  </si>
  <si>
    <t>https://turismo.marbella.es/index.php?option=com_content&amp;view=article&amp;id=5250</t>
  </si>
  <si>
    <t>14.01.011</t>
  </si>
  <si>
    <t>Elviria</t>
  </si>
  <si>
    <t>36.496187, -4.780472</t>
  </si>
  <si>
    <t>Pueblo Platero Local 7 y 8, Elviria 29604 Marbella</t>
  </si>
  <si>
    <t>https://turismo.marbella.es/index.php?option=com_content&amp;view=article&amp;id=5249</t>
  </si>
  <si>
    <t>14.01.012</t>
  </si>
  <si>
    <t>Equus-Can</t>
  </si>
  <si>
    <t>36.517812, -4.888993</t>
  </si>
  <si>
    <t>Avenida Trapiche, 37 29601 Marbella</t>
  </si>
  <si>
    <t>https://turismo.marbella.es/index.php?option=com_content&amp;view=article&amp;id=5252</t>
  </si>
  <si>
    <t>14.01.013</t>
  </si>
  <si>
    <t>La Campana</t>
  </si>
  <si>
    <t>36.499592, -4.972964</t>
  </si>
  <si>
    <t>Avenida Miguel de Cervantes, 60 Nueva Andalucía, 29660 Marbella</t>
  </si>
  <si>
    <t>https://turismo.marbella.es/index.php?option=com_content&amp;view=article&amp;id=5248</t>
  </si>
  <si>
    <t>14.01.014</t>
  </si>
  <si>
    <t>La Favorita Elviria</t>
  </si>
  <si>
    <t>36.502393, -4.789945</t>
  </si>
  <si>
    <t>Cjto. Urb. Jardin de los pinos. Ctra Cadiz Km 189,340 296004 - Elviria</t>
  </si>
  <si>
    <t>https://turismo.marbella.es/index.php?option=com_content&amp;view=article&amp;id=5238</t>
  </si>
  <si>
    <t>14.01.015</t>
  </si>
  <si>
    <t>La Favorita Marbella</t>
  </si>
  <si>
    <t>36.495428, -4.951141</t>
  </si>
  <si>
    <t>Centro de Negocios Puerta de Banus, Local 19, Sitio Rio Verde, 29660, Marbella</t>
  </si>
  <si>
    <t>https://turismo.marbella.es/index.php?option=com_content&amp;view=article&amp;id=5239</t>
  </si>
  <si>
    <t>14.01.016</t>
  </si>
  <si>
    <t>36.510878, -4.896505</t>
  </si>
  <si>
    <t>Calle Gregorio Marañón 1. 29602. Marbella</t>
  </si>
  <si>
    <t>https://turismo.marbella.es/index.php?option=com_content&amp;view=article&amp;id=5246</t>
  </si>
  <si>
    <t>14.01.017</t>
  </si>
  <si>
    <t>Metazoo</t>
  </si>
  <si>
    <t>36.509620, -4.872519</t>
  </si>
  <si>
    <t>Avda.General Lopez Dominguez, esquina Severo Ochoa, Edf.Puerto Azul,portal 2B 29603 Marbella</t>
  </si>
  <si>
    <t>https://turismo.marbella.es/index.php?option=com_content&amp;view=article&amp;id=5244</t>
  </si>
  <si>
    <t>14.01.018</t>
  </si>
  <si>
    <t>Mobile Vet</t>
  </si>
  <si>
    <t>36.492850, -4.991046</t>
  </si>
  <si>
    <t>C/ Santa Lucia, 23 29670 San Pedro de Alcántara. Marbella</t>
  </si>
  <si>
    <t>https://turismo.marbella.es/index.php?option=com_content&amp;view=article&amp;id=5243</t>
  </si>
  <si>
    <t>14.01.019</t>
  </si>
  <si>
    <t>Pet Care</t>
  </si>
  <si>
    <t>36.517304, -4.879200</t>
  </si>
  <si>
    <t>C. Juanar, 2, Local, 29603 Marbella</t>
  </si>
  <si>
    <t>https://turismo.marbella.es/index.php?option=com_content&amp;view=article&amp;id=5261</t>
  </si>
  <si>
    <t>14.01.020</t>
  </si>
  <si>
    <t>Pointer</t>
  </si>
  <si>
    <t>36.496217, -4.968273</t>
  </si>
  <si>
    <t>Avda. de los Girasoles, 344 29660 Nueva Andalucía.</t>
  </si>
  <si>
    <t>https://turismo.marbella.es/index.php?option=com_content&amp;view=article&amp;id=5330</t>
  </si>
  <si>
    <t>14.01.021</t>
  </si>
  <si>
    <t>Rehavet Sport</t>
  </si>
  <si>
    <t>36.498802, -4.783879</t>
  </si>
  <si>
    <t>PLaza de Chile local 3. 29604 Elviria Marbella</t>
  </si>
  <si>
    <t>https://turismo.marbella.es/index.php?option=com_content&amp;view=article&amp;id=5262</t>
  </si>
  <si>
    <t>14.01.022</t>
  </si>
  <si>
    <t>San Francisco de Asís</t>
  </si>
  <si>
    <t>36.498630, -5.000359</t>
  </si>
  <si>
    <t>Ctra. Ronda A-397 Km. 49,5 29670 San Pedro Alcántara Marbella</t>
  </si>
  <si>
    <t>https://turismo.marbella.es/index.php?option=com_content&amp;view=article&amp;id=7879</t>
  </si>
  <si>
    <t>14.01.023</t>
  </si>
  <si>
    <t>Sierra Blanca</t>
  </si>
  <si>
    <t>36.499024, -4.974455</t>
  </si>
  <si>
    <t>Jacinto Benavente, Nº5- L.3, 29601 Marbella</t>
  </si>
  <si>
    <t>https://turismo.marbella.es/index.php?option=com_content&amp;view=article&amp;id=5247</t>
  </si>
  <si>
    <t>14.01.024</t>
  </si>
  <si>
    <t>Teleperroexpress</t>
  </si>
  <si>
    <t>36.511071, -4.892193</t>
  </si>
  <si>
    <t>Plaza Joaquín Gómez Agüera; Edificio María II; Local 1 29601 Marbella</t>
  </si>
  <si>
    <t>https://turismo.marbella.es/index.php?option=com_content&amp;view=article&amp;id=5241</t>
  </si>
  <si>
    <t>14.01.025</t>
  </si>
  <si>
    <t>Urvet Marbella</t>
  </si>
  <si>
    <t>36.522783, -4.892296</t>
  </si>
  <si>
    <t>Calle Padre Paco Ostos 9</t>
  </si>
  <si>
    <t>https://turismo.marbella.es/index.php?option=com_content&amp;view=article&amp;id=5240</t>
  </si>
  <si>
    <t>14.01.026</t>
  </si>
  <si>
    <t>Vetxana</t>
  </si>
  <si>
    <t>36.511641, -4.882941</t>
  </si>
  <si>
    <t>Av. Dr. Maiz Viñals, Local 4. 29601 Marbella</t>
  </si>
  <si>
    <t>https://turismo.marbella.es/index.php?option=com_content&amp;view=article&amp;id=5236</t>
  </si>
  <si>
    <t>14.01.027</t>
  </si>
  <si>
    <t>Vitalpet</t>
  </si>
  <si>
    <t>36.500593, -4.800448</t>
  </si>
  <si>
    <t>Carretera Nacional 340 – km189 – Local 4, 29604 Marbella</t>
  </si>
  <si>
    <t>https://turismo.marbella.es/index.php?option=com_content&amp;view=article&amp;id=5256</t>
  </si>
  <si>
    <t>14.01.028</t>
  </si>
  <si>
    <t>Wolikvet</t>
  </si>
  <si>
    <t>36.511305, -4.878263</t>
  </si>
  <si>
    <t>Av. Severo Ochoa, 39, 29603 Marbella</t>
  </si>
  <si>
    <t>https://turismo.marbella.es/index.php?option=com_content&amp;view=article&amp;id=5237</t>
  </si>
  <si>
    <t>14.01.029</t>
  </si>
  <si>
    <t>Zarpas y Bigotes</t>
  </si>
  <si>
    <t>36.508503, -4.915000</t>
  </si>
  <si>
    <t>Urb. Marbella Real nº 13 29602 Marbella</t>
  </si>
  <si>
    <t>https://turismo.marbella.es/index.php?option=com_content&amp;view=article&amp;id=5242</t>
  </si>
  <si>
    <t>14.02</t>
  </si>
  <si>
    <t>Servicios para mascotas</t>
  </si>
  <si>
    <t>Peluquerías caninas, tiendas y otros servicios.</t>
  </si>
  <si>
    <t>https://turismo.marbella.es/vive/viajar-con-mascotas/servicios-para-mascotas.html</t>
  </si>
  <si>
    <t>14.02.001</t>
  </si>
  <si>
    <t>Almaz , Dog beauty salon, Dog grooming salon</t>
  </si>
  <si>
    <t>36.509546, -4.876185</t>
  </si>
  <si>
    <t>Peluquerias para mascotas Pasaje Simón Bolívar, 28. 29603 Marbella.</t>
  </si>
  <si>
    <t>https://turismo.marbella.es/index.php?option=com_content&amp;view=article&amp;id=5296</t>
  </si>
  <si>
    <t>14.02.002</t>
  </si>
  <si>
    <t>Autolavado de mascotas</t>
  </si>
  <si>
    <t>36.508904, -4.880858</t>
  </si>
  <si>
    <t>Autolavados para mascotas Avenida de Severo Ochoa 21, 29603 Marbella</t>
  </si>
  <si>
    <t>https://turismo.marbella.es/index.php?option=com_content&amp;view=article&amp;id=5163</t>
  </si>
  <si>
    <t>14.02.003</t>
  </si>
  <si>
    <t>Barberdog</t>
  </si>
  <si>
    <t>36.509774, -4.880885</t>
  </si>
  <si>
    <t>Peluquerias para mascotas Av. Severo Ochoa, numero 21, 29603 Marbella</t>
  </si>
  <si>
    <t>https://turismo.marbella.es/index.php?option=com_content&amp;view=article&amp;id=5324</t>
  </si>
  <si>
    <t>14.02.004</t>
  </si>
  <si>
    <t>Bella-Can</t>
  </si>
  <si>
    <t>36.513477, -4.876292</t>
  </si>
  <si>
    <t>Peluquerias para mascotas Avda. General López Domínguez 26 E, Marbella.</t>
  </si>
  <si>
    <t>https://turismo.marbella.es/index.php?option=com_content&amp;view=article&amp;id=5282</t>
  </si>
  <si>
    <t>14.02.005</t>
  </si>
  <si>
    <t>Bulldog</t>
  </si>
  <si>
    <t>36.508875, -4.880774</t>
  </si>
  <si>
    <t>Peluquerias para mascotas Avenida Severo Ochoa, 21</t>
  </si>
  <si>
    <t>https://turismo.marbella.es/index.php?option=com_content&amp;view=article&amp;id=5287</t>
  </si>
  <si>
    <t>14.02.006</t>
  </si>
  <si>
    <t>Cans N Roses</t>
  </si>
  <si>
    <t>36.485677, -4.987567</t>
  </si>
  <si>
    <t>Calle Ancla 1, Cans N Roses, Estetica canina, Local Peluqueria canina, San Pedro de Alcántara.</t>
  </si>
  <si>
    <t>https://turismo.marbella.es/index.php?option=com_content&amp;view=article&amp;id=5300</t>
  </si>
  <si>
    <t>14.02.007</t>
  </si>
  <si>
    <t>Chloe´s Pets</t>
  </si>
  <si>
    <t>36.514975, -4.877010</t>
  </si>
  <si>
    <t>Peluquerias para mascotas</t>
  </si>
  <si>
    <t>https://turismo.marbella.es/index.php?option=com_content&amp;view=article&amp;id=5284</t>
  </si>
  <si>
    <t>14.02.008</t>
  </si>
  <si>
    <t>Coco &amp; Piña</t>
  </si>
  <si>
    <t>36.511373, -4.887825</t>
  </si>
  <si>
    <t>Peluquerias para mascotas Calle Juan Ramón Jiménez, 2, local 6, Marbella.</t>
  </si>
  <si>
    <t>https://turismo.marbella.es/index.php?option=com_content&amp;view=article&amp;id=5280</t>
  </si>
  <si>
    <t>14.02.009</t>
  </si>
  <si>
    <t>Dog Shop</t>
  </si>
  <si>
    <t>36.484022, -4.987738</t>
  </si>
  <si>
    <t>C/ San Andrés, 10. San Pedro Alcántara</t>
  </si>
  <si>
    <t>https://turismo.marbella.es/index.php?option=com_content&amp;view=article&amp;id=5297</t>
  </si>
  <si>
    <t>14.02.010</t>
  </si>
  <si>
    <t>Doggy style</t>
  </si>
  <si>
    <t>36.485163, -4.990372</t>
  </si>
  <si>
    <t>Peluquerias para mascotas Calle Doctor Eusebio Ramírez, San Pedro Alcántara.</t>
  </si>
  <si>
    <t>https://turismo.marbella.es/index.php?option=com_content&amp;view=article&amp;id=5374</t>
  </si>
  <si>
    <t>14.02.011</t>
  </si>
  <si>
    <t>Fauna</t>
  </si>
  <si>
    <t>36.510963, -4.892415</t>
  </si>
  <si>
    <t>Calle Hermanos Salom N°4, Marbella.</t>
  </si>
  <si>
    <t>https://turismo.marbella.es/index.php?option=com_content&amp;view=article&amp;id=5295</t>
  </si>
  <si>
    <t>14.02.012</t>
  </si>
  <si>
    <t>FluffyPet Marbella</t>
  </si>
  <si>
    <t>36.514559, -4.879630</t>
  </si>
  <si>
    <t>Peluquerias para mascotas C/Serenata 11, local 1b - 29601</t>
  </si>
  <si>
    <t>https://turismo.marbella.es/index.php?option=com_content&amp;view=article&amp;id=5281</t>
  </si>
  <si>
    <t>14.02.013</t>
  </si>
  <si>
    <t>Glamorous Pets Marbella</t>
  </si>
  <si>
    <t>El Corte Inglés. C. Ramón Areces, 29660 Marbella.</t>
  </si>
  <si>
    <t>https://turismo.marbella.es/index.php?option=com_content&amp;view=article&amp;id=5302</t>
  </si>
  <si>
    <t>14.02.014</t>
  </si>
  <si>
    <t>Guau que estilo</t>
  </si>
  <si>
    <t>36.487509, -4.988346</t>
  </si>
  <si>
    <t>Peluquerias para mascotas Pl. Juan Macías, Portal 1, Local 2, 29670 San Pedro Alcántara.</t>
  </si>
  <si>
    <t>https://turismo.marbella.es/index.php?option=com_content&amp;view=article&amp;id=5323</t>
  </si>
  <si>
    <t>14.02.015</t>
  </si>
  <si>
    <t>HAPPY DOG PET SHOP</t>
  </si>
  <si>
    <t>36.501124, -4.979388</t>
  </si>
  <si>
    <t>C/ Pío Baroja 2 - 29660 Marbella</t>
  </si>
  <si>
    <t>https://turismo.marbella.es/index.php?option=com_content&amp;view=article&amp;id=6872</t>
  </si>
  <si>
    <t>14.02.016</t>
  </si>
  <si>
    <t>Happy Tails Dog Boutique</t>
  </si>
  <si>
    <t>36.488688, -4.954575</t>
  </si>
  <si>
    <t>Peluquerias para mascotas C/ Jesús Puente. 23 B</t>
  </si>
  <si>
    <t>https://turismo.marbella.es/index.php?option=com_content&amp;view=article&amp;id=5310</t>
  </si>
  <si>
    <t>14.02.017</t>
  </si>
  <si>
    <t>Kalesya Peluquería Canina y Felina</t>
  </si>
  <si>
    <t>36.513286, -4.897281</t>
  </si>
  <si>
    <t>Peluquerias para mascotas Avenida Las Palmeras, 34, Marbella.</t>
  </si>
  <si>
    <t>https://turismo.marbella.es/index.php?option=com_content&amp;view=article&amp;id=5285</t>
  </si>
  <si>
    <t>14.02.018</t>
  </si>
  <si>
    <t>Knock Knock Dog</t>
  </si>
  <si>
    <t>36.512400, -4.906727</t>
  </si>
  <si>
    <t>Peluquerias para mascotas Av. de Ceuta, 29602 Marbella.</t>
  </si>
  <si>
    <t>https://turismo.marbella.es/index.php?option=com_content&amp;view=article&amp;id=5298</t>
  </si>
  <si>
    <t>14.02.019</t>
  </si>
  <si>
    <t>Kontur Pet Grooming</t>
  </si>
  <si>
    <t>36.509128, -4.890298</t>
  </si>
  <si>
    <t>Peluquerias para mascotas C/ Virgen del Pilar local 6, Marbella.</t>
  </si>
  <si>
    <t>https://turismo.marbella.es/index.php?option=com_content&amp;view=article&amp;id=5373</t>
  </si>
  <si>
    <t>14.02.020</t>
  </si>
  <si>
    <t>Kristel Pets</t>
  </si>
  <si>
    <t>36.498978, -4.975585</t>
  </si>
  <si>
    <t>Peluquerias para mascotas C/ Tirso de Molina, N°2, 29660 Marbella.</t>
  </si>
  <si>
    <t>https://turismo.marbella.es/index.php?option=com_content&amp;view=article&amp;id=5289</t>
  </si>
  <si>
    <t>14.02.021</t>
  </si>
  <si>
    <t>Lassiedog</t>
  </si>
  <si>
    <t>36.474068, -5.003910</t>
  </si>
  <si>
    <t>Peluquerias para mascotas Centro Comercial Guadalmina 4, San Pedro de Alcántara.</t>
  </si>
  <si>
    <t>https://turismo.marbella.es/index.php?option=com_content&amp;view=article&amp;id=5294</t>
  </si>
  <si>
    <t>14.02.022</t>
  </si>
  <si>
    <t>Lavandería Speed Queen</t>
  </si>
  <si>
    <t>36.509103, -4.887492</t>
  </si>
  <si>
    <t>Lavandería C. Víctor de la Serna, 2, 29602 Marbella</t>
  </si>
  <si>
    <t>https://turismo.marbella.es/index.php?option=com_content&amp;view=article&amp;id=5165</t>
  </si>
  <si>
    <t>14.02.023</t>
  </si>
  <si>
    <t>Lavomatic</t>
  </si>
  <si>
    <t>36.491456, -4.991708</t>
  </si>
  <si>
    <t>Lavandería Av. Pablo Ruiz Picasso s/n, San Pedro Alcántara</t>
  </si>
  <si>
    <t>https://turismo.marbella.es/index.php?option=com_content&amp;view=article&amp;id=5164</t>
  </si>
  <si>
    <t>14.02.024</t>
  </si>
  <si>
    <t>Oh My Doggy Pet Grooming &amp; Boutique</t>
  </si>
  <si>
    <t>36.496017, -4.961806</t>
  </si>
  <si>
    <t>Peluquerias para mascotas Calle el Califa, 26, Marbella.</t>
  </si>
  <si>
    <t>https://turismo.marbella.es/index.php?option=com_content&amp;view=article&amp;id=5288</t>
  </si>
  <si>
    <t>14.02.025</t>
  </si>
  <si>
    <t>Peludog peluquería canina</t>
  </si>
  <si>
    <t>36.518157, -4.869829</t>
  </si>
  <si>
    <t>Calle Haza del Perro, s/n, 29603 Marbella</t>
  </si>
  <si>
    <t>https://turismo.marbella.es/index.php?option=com_content&amp;view=article&amp;id=5286</t>
  </si>
  <si>
    <t>14.02.026</t>
  </si>
  <si>
    <t>Peluquería canina Don Monchu</t>
  </si>
  <si>
    <t>36.491324, -4.989475</t>
  </si>
  <si>
    <t>Peluquerias para mascotas C/ Galicia local 10, Marbella, Spain</t>
  </si>
  <si>
    <t>https://turismo.marbella.es/index.php?option=com_content&amp;view=article&amp;id=5292</t>
  </si>
  <si>
    <t>14.02.027</t>
  </si>
  <si>
    <t>Perruqueria Villa Canina</t>
  </si>
  <si>
    <t>36.490586, -4.987880</t>
  </si>
  <si>
    <t>https://turismo.marbella.es/index.php?option=com_content&amp;view=article&amp;id=5325</t>
  </si>
  <si>
    <t>14.02.028</t>
  </si>
  <si>
    <t>Ponme Guapo</t>
  </si>
  <si>
    <t>36.512250, -4.880921</t>
  </si>
  <si>
    <t>Peluquerias para mascotas C. del Alba, 8, 29601 Marbella.</t>
  </si>
  <si>
    <t>https://turismo.marbella.es/index.php?option=com_content&amp;view=article&amp;id=5283</t>
  </si>
  <si>
    <t>14.02.029</t>
  </si>
  <si>
    <t>Pupuru Love Animals</t>
  </si>
  <si>
    <t>36.489281, -4.739057</t>
  </si>
  <si>
    <t>Peluquerias para mascotas Calle THE ROLLING STONES, 4, Urbanización Las Mimosas Golf Cabopino, Marbella.</t>
  </si>
  <si>
    <t>https://turismo.marbella.es/index.php?option=com_content&amp;view=article&amp;id=5293</t>
  </si>
  <si>
    <t>14.02.030</t>
  </si>
  <si>
    <t>Purepaws</t>
  </si>
  <si>
    <t>36.486387, -4.992444</t>
  </si>
  <si>
    <t>Peluquerias para mascotas Calle San Miguel, local 3h, 29670 San Pedro Alcántara.</t>
  </si>
  <si>
    <t>https://turismo.marbella.es/index.php?option=com_content&amp;view=article&amp;id=5291</t>
  </si>
  <si>
    <t>14.02.031</t>
  </si>
  <si>
    <t>Teleperro express</t>
  </si>
  <si>
    <t>Peluquerias para mascotas Edificio Maria, Pl. Joaquín Gómez Agüera, 2, local 1, 29601 Marbella.</t>
  </si>
  <si>
    <t>https://turismo.marbella.es/index.php?option=com_content&amp;view=article&amp;id=5301</t>
  </si>
  <si>
    <t>14.02.032</t>
  </si>
  <si>
    <t>ZooMascotas</t>
  </si>
  <si>
    <t>36.516564, -4.886926</t>
  </si>
  <si>
    <t>Peluquerias para mascotas Av. Independencia, n°16, 29601 Marbella.</t>
  </si>
  <si>
    <t>https://turismo.marbella.es/index.php?option=com_content&amp;view=article&amp;id=5290</t>
  </si>
  <si>
    <t>14.03</t>
  </si>
  <si>
    <t>Hoteles para mascotas</t>
  </si>
  <si>
    <t>Residencias y hoteles para mascotas.</t>
  </si>
  <si>
    <t>https://turismo.marbella.es/vive/viajar-con-mascotas/hoteles-para-mascotas.html</t>
  </si>
  <si>
    <t>14.03.001</t>
  </si>
  <si>
    <t>https://turismo.marbella.es/index.php?option=com_content&amp;view=article&amp;id=5331</t>
  </si>
  <si>
    <t>14.03.002</t>
  </si>
  <si>
    <t>Residencia Royfonte</t>
  </si>
  <si>
    <t>36.522550, -4.765603</t>
  </si>
  <si>
    <t>CN-340, Km 191.5 29604 Marbella</t>
  </si>
  <si>
    <t>https://turismo.marbella.es/index.php?option=com_content&amp;view=article&amp;id=5101</t>
  </si>
  <si>
    <t>14.03.003</t>
  </si>
  <si>
    <t>Sofidog</t>
  </si>
  <si>
    <t>36.536035, -4.838903</t>
  </si>
  <si>
    <t>29603 Marbella</t>
  </si>
  <si>
    <t>https://turismo.marbella.es/index.php?option=com_content&amp;view=article&amp;id=5106</t>
  </si>
  <si>
    <t>14.03.004</t>
  </si>
  <si>
    <t>TINY DOG HOTEL MARBELLA</t>
  </si>
  <si>
    <t>36.523370, -4.881116</t>
  </si>
  <si>
    <t>Villa Cristina. Calle La Torrecilla 3b. 29603 Marbella</t>
  </si>
  <si>
    <t>https://turismo.marbella.es/index.php?option=com_content&amp;view=article&amp;id=5105</t>
  </si>
  <si>
    <t>14.04</t>
  </si>
  <si>
    <t>Parques y playas caninas</t>
  </si>
  <si>
    <t>Parques y zonas de esparcimiento canino.</t>
  </si>
  <si>
    <t>https://turismo.marbella.es/vive/viajar-con-mascotas/parques-caninos.html</t>
  </si>
  <si>
    <t>14.04.001</t>
  </si>
  <si>
    <t>https://turismo.marbella.es/index.php?option=com_content&amp;view=article&amp;id=6221</t>
  </si>
  <si>
    <t>14.04.002</t>
  </si>
  <si>
    <t>Parque canino</t>
  </si>
  <si>
    <t>36.482068, -4.994476</t>
  </si>
  <si>
    <t>14.04.003</t>
  </si>
  <si>
    <t>https://turismo.marbella.es/index.php?option=com_content&amp;view=article&amp;id=6193</t>
  </si>
  <si>
    <t>14.04.004</t>
  </si>
  <si>
    <t>https://turismo.marbella.es/index.php?option=com_content&amp;view=article&amp;id=6192</t>
  </si>
  <si>
    <t>14.04.005</t>
  </si>
  <si>
    <t>Parque Las Chapas</t>
  </si>
  <si>
    <t>36.501676, -4.810361</t>
  </si>
  <si>
    <t>Avda. del Mercado, 8 - Edificio Cantarrana 29601 Marbella</t>
  </si>
  <si>
    <t>https://turismo.marbella.es/index.php?option=com_content&amp;view=article&amp;id=6220</t>
  </si>
  <si>
    <t>14.04.006</t>
  </si>
  <si>
    <t>Playa Canina</t>
  </si>
  <si>
    <t>36.506407, -4.852795</t>
  </si>
  <si>
    <t>14.05</t>
  </si>
  <si>
    <t>Alojamientos que permiten mascotas</t>
  </si>
  <si>
    <t>Alojamientos, playas y aparcamientos que admiten mascotas.</t>
  </si>
  <si>
    <t>14.05.001</t>
  </si>
  <si>
    <t>turismo.marbella.es; turismo.marbella.es; Registro de Turismo de Andalucía (OpenRTA)</t>
  </si>
  <si>
    <t>14.05.002</t>
  </si>
  <si>
    <t>14.05.003</t>
  </si>
  <si>
    <t>14.05.004</t>
  </si>
  <si>
    <t>14.05.005</t>
  </si>
  <si>
    <t>14.05.006</t>
  </si>
  <si>
    <t>14.05.007</t>
  </si>
  <si>
    <t>14.05.008</t>
  </si>
  <si>
    <t>14.05.009</t>
  </si>
  <si>
    <t>14.05.010</t>
  </si>
  <si>
    <t>14.05.011</t>
  </si>
  <si>
    <t>14.05.012</t>
  </si>
  <si>
    <t>14.05.013</t>
  </si>
  <si>
    <t>14.05.014</t>
  </si>
  <si>
    <t>14.05.015</t>
  </si>
  <si>
    <t>https://turismo.marbella.es/index.php?option=com_content&amp;view=article&amp;id=130</t>
  </si>
  <si>
    <t>14.05.016</t>
  </si>
  <si>
    <t>14.05.017</t>
  </si>
  <si>
    <t>https://turismo.marbella.es/index.php?option=com_content&amp;view=article&amp;id=190</t>
  </si>
  <si>
    <t>14.05.018</t>
  </si>
  <si>
    <t>14.05.019</t>
  </si>
  <si>
    <t>14.05.020</t>
  </si>
  <si>
    <t>14.05.021</t>
  </si>
  <si>
    <t>14.05.022</t>
  </si>
  <si>
    <t>14.05.023</t>
  </si>
  <si>
    <t>14.05.024</t>
  </si>
  <si>
    <t>14.05.025</t>
  </si>
  <si>
    <t>14.05.026</t>
  </si>
  <si>
    <t>14.05.027</t>
  </si>
  <si>
    <t>14.05.028</t>
  </si>
  <si>
    <t>14.05.029</t>
  </si>
  <si>
    <t>36.483449, -4.963013</t>
  </si>
  <si>
    <t>Privado, Interior Av José Banús, 29660 Marbella</t>
  </si>
  <si>
    <t>https://turismo.marbella.es/index.php?option=com_content&amp;view=article&amp;id=5646</t>
  </si>
  <si>
    <t>14.05.030</t>
  </si>
  <si>
    <t>14.05.031</t>
  </si>
  <si>
    <t>14.05.032</t>
  </si>
  <si>
    <t>14.05.033</t>
  </si>
  <si>
    <t>14.05.034</t>
  </si>
  <si>
    <t>14.05.035</t>
  </si>
  <si>
    <t>14.05.036</t>
  </si>
  <si>
    <t>14.05.037</t>
  </si>
  <si>
    <t>14.05.038</t>
  </si>
  <si>
    <t>14.05.039</t>
  </si>
  <si>
    <t>14.05.040</t>
  </si>
  <si>
    <t>15</t>
  </si>
  <si>
    <t>Servicios turísticos</t>
  </si>
  <si>
    <t>Oficinas de turismo y empresas de servicios turísticos.</t>
  </si>
  <si>
    <t>https://turismo.marbella.es/servicios/servicios-turisticos.html</t>
  </si>
  <si>
    <t>15.01</t>
  </si>
  <si>
    <t>Oficinas de información turística</t>
  </si>
  <si>
    <t>Oficinas municipales de turismo.</t>
  </si>
  <si>
    <t>https://turismo.marbella.es/servicios/oficinas-de-informacion-turistica.html</t>
  </si>
  <si>
    <t>15.01.001</t>
  </si>
  <si>
    <t>Oficina de Turismo El Faro</t>
  </si>
  <si>
    <t>36.507271, -4.892418</t>
  </si>
  <si>
    <t>Avenida Antonio Belón núm. 21- 29602 - Marbella</t>
  </si>
  <si>
    <t>https://turismo.marbella.es/index.php?option=com_content&amp;view=article&amp;id=51</t>
  </si>
  <si>
    <t>15.01.002</t>
  </si>
  <si>
    <t>Oficina de Turismo Plaza de los Naranjos</t>
  </si>
  <si>
    <t>36.510386, -4.884858</t>
  </si>
  <si>
    <t>Plaza de los Naranjos s/n</t>
  </si>
  <si>
    <t>https://turismo.marbella.es/index.php?option=com_content&amp;view=article&amp;id=52</t>
  </si>
  <si>
    <t>15.01.003</t>
  </si>
  <si>
    <t>Oficina de Turismo Puerto Banús</t>
  </si>
  <si>
    <t>36.490518, -4.949500</t>
  </si>
  <si>
    <t>Avenida Naciones Unidas s/n - 29660 - Puerto Banús</t>
  </si>
  <si>
    <t>https://turismo.marbella.es/index.php?option=com_content&amp;view=article&amp;id=53</t>
  </si>
  <si>
    <t>15.01.004</t>
  </si>
  <si>
    <t>Oficina de Turismo San Pedro Alcántara</t>
  </si>
  <si>
    <t>36.482709, -4.988488</t>
  </si>
  <si>
    <t>Luis Braille 36</t>
  </si>
  <si>
    <t>https://turismo.marbella.es/index.php?option=com_content&amp;view=article&amp;id=54</t>
  </si>
  <si>
    <t>15.02</t>
  </si>
  <si>
    <t>Agencias de viajes</t>
  </si>
  <si>
    <t>Agencias de viajes.</t>
  </si>
  <si>
    <t>https://turismo.marbella.es/servicios/servicios-turisticos/agencias-de-viajes.html</t>
  </si>
  <si>
    <t>15.02.001</t>
  </si>
  <si>
    <t>Alcántara Viajes</t>
  </si>
  <si>
    <t>36.483395, -4.989153</t>
  </si>
  <si>
    <t>C/ Lagasca, 64 Local 9, 29670 San Pedro Alcántara</t>
  </si>
  <si>
    <t>https://turismo.marbella.es/index.php?option=com_content&amp;view=article&amp;id=839</t>
  </si>
  <si>
    <t>15.02.002</t>
  </si>
  <si>
    <t>Azul Marino Viajes</t>
  </si>
  <si>
    <t>36.509501, -4.888740</t>
  </si>
  <si>
    <t>C/ Notario Luis Oliver 6 29602 – Marbella</t>
  </si>
  <si>
    <t>https://turismo.marbella.es/index.php?option=com_content&amp;view=article&amp;id=3951</t>
  </si>
  <si>
    <t>15.02.003</t>
  </si>
  <si>
    <t>B - Travel</t>
  </si>
  <si>
    <t>36.479546, -4.994833</t>
  </si>
  <si>
    <t>Centro Comercial La Colonia Avda. Del Rocío s/n Edificio I, Local II San Pedro Alcántara</t>
  </si>
  <si>
    <t>https://turismo.marbella.es/index.php?option=com_content&amp;view=article&amp;id=442</t>
  </si>
  <si>
    <t>15.02.004</t>
  </si>
  <si>
    <t>Bahia Marbella Viajes</t>
  </si>
  <si>
    <t>36.510946, -4.900218</t>
  </si>
  <si>
    <t>Edificio Golden B. Avda. Ricardo Soriano, 72</t>
  </si>
  <si>
    <t>https://turismo.marbella.es/index.php?option=com_content&amp;view=article&amp;id=2414</t>
  </si>
  <si>
    <t>15.02.005</t>
  </si>
  <si>
    <t>BGT Travel Team</t>
  </si>
  <si>
    <t>36.485249, -4.978368</t>
  </si>
  <si>
    <t>Urb. Cortijo Blanco Avda. Pablo Picasso, 1. Local E bajo 29670 San Pedro Alcántara</t>
  </si>
  <si>
    <t>https://turismo.marbella.es/index.php?option=com_content&amp;view=article&amp;id=7646</t>
  </si>
  <si>
    <t>15.02.006</t>
  </si>
  <si>
    <t>Cris &amp; Kim Travel Designers</t>
  </si>
  <si>
    <t>36.511002, -4.901315</t>
  </si>
  <si>
    <t>Avda. Cánovas del Castillo, 1 29601 Marbella</t>
  </si>
  <si>
    <t>https://turismo.marbella.es/index.php?option=com_content&amp;view=article&amp;id=443</t>
  </si>
  <si>
    <t>15.02.007</t>
  </si>
  <si>
    <t>Direct to Spain</t>
  </si>
  <si>
    <t>36.505745, -4.952571</t>
  </si>
  <si>
    <t>Urb. Los Naranjos, manzana 2, casa 10 29660 Nueva Andalucía, Marbella</t>
  </si>
  <si>
    <t>https://turismo.marbella.es/index.php?option=com_content&amp;view=article&amp;id=445</t>
  </si>
  <si>
    <t>15.02.008</t>
  </si>
  <si>
    <t>Fuji Travel</t>
  </si>
  <si>
    <t>36.508977, -4.884130</t>
  </si>
  <si>
    <t>Tetuán, 12, 29601 Marbella</t>
  </si>
  <si>
    <t>https://turismo.marbella.es/index.php?option=com_content&amp;view=article&amp;id=7564</t>
  </si>
  <si>
    <t>15.02.009</t>
  </si>
  <si>
    <t>GS Travel</t>
  </si>
  <si>
    <t>36.512388, -4.886703</t>
  </si>
  <si>
    <t>Av. Mercado, Edificio Plaza 1, local 33 29601 Marbella</t>
  </si>
  <si>
    <t>https://turismo.marbella.es/index.php?option=com_content&amp;view=article&amp;id=3953</t>
  </si>
  <si>
    <t>15.02.010</t>
  </si>
  <si>
    <t>Halcón Viajes</t>
  </si>
  <si>
    <t>36.510320, -4.890882</t>
  </si>
  <si>
    <t>Avda. Ricardo Soriano, 27 Edif. Altamira 29601 Marbella</t>
  </si>
  <si>
    <t>https://turismo.marbella.es/index.php?option=com_content&amp;view=article&amp;id=509</t>
  </si>
  <si>
    <t>15.02.011</t>
  </si>
  <si>
    <t>Imagintravel</t>
  </si>
  <si>
    <t>36.509603, -4.886987</t>
  </si>
  <si>
    <t>ON LINE - Avda. Cánovas del Castillo - Local 6, Urb. Cenit 29601 Marbella.</t>
  </si>
  <si>
    <t>https://turismo.marbella.es/index.php?option=com_content&amp;view=article&amp;id=510</t>
  </si>
  <si>
    <t>15.02.012</t>
  </si>
  <si>
    <t>Lanai Viajes</t>
  </si>
  <si>
    <t>36.508469, -4.885676</t>
  </si>
  <si>
    <t>Trav. Carlos Mackintosh 3, 29602 Marbella</t>
  </si>
  <si>
    <t>https://turismo.marbella.es/index.php?option=com_content&amp;view=article&amp;id=7623</t>
  </si>
  <si>
    <t>15.02.013</t>
  </si>
  <si>
    <t>Neo Travel Designers</t>
  </si>
  <si>
    <t>36.490209, -4.737985</t>
  </si>
  <si>
    <t>Urb. Las Mimosas Golf Cabopino, Calle U2, 1D 29604 Marbella</t>
  </si>
  <si>
    <t>https://turismo.marbella.es/index.php?option=com_content&amp;view=article&amp;id=7645</t>
  </si>
  <si>
    <t>15.02.014</t>
  </si>
  <si>
    <t>PADTravel</t>
  </si>
  <si>
    <t>36.510113, -4.890512</t>
  </si>
  <si>
    <t>Edificio Platero, C. Ntra. Sra. de Gracia, 3, local 4 bis, 29602 Marbella</t>
  </si>
  <si>
    <t>https://turismo.marbella.es/index.php?option=com_content&amp;view=article&amp;id=7054</t>
  </si>
  <si>
    <t>15.02.015</t>
  </si>
  <si>
    <t>Touraveling</t>
  </si>
  <si>
    <t>36.485504, -4.990016</t>
  </si>
  <si>
    <t>C/ Lagasca nº 24, 29670 San Pedro Alcántara</t>
  </si>
  <si>
    <t>https://turismo.marbella.es/index.php?option=com_content&amp;view=article&amp;id=837</t>
  </si>
  <si>
    <t>15.02.016</t>
  </si>
  <si>
    <t>Tu Viaje a Domicilio</t>
  </si>
  <si>
    <t>ON LINE</t>
  </si>
  <si>
    <t>https://turismo.marbella.es/index.php?option=com_content&amp;view=article&amp;id=756</t>
  </si>
  <si>
    <t>15.02.017</t>
  </si>
  <si>
    <t>Viajes Amelia</t>
  </si>
  <si>
    <t>36.510753, -4.890711</t>
  </si>
  <si>
    <t>Avda. Ricardo Soriano, 34 29601 Marbella</t>
  </si>
  <si>
    <t>https://turismo.marbella.es/index.php?option=com_content&amp;view=article&amp;id=757</t>
  </si>
  <si>
    <t>15.02.018</t>
  </si>
  <si>
    <t>Viajes Dalay</t>
  </si>
  <si>
    <t>36.511240, -4.890687</t>
  </si>
  <si>
    <t>Calle Jacinto Benavente, 21 Edf. Las Terrazas de Marbella, Local 6, 29601 Marbella</t>
  </si>
  <si>
    <t>https://turismo.marbella.es/index.php?option=com_content&amp;view=article&amp;id=758</t>
  </si>
  <si>
    <t>15.02.019</t>
  </si>
  <si>
    <t>Viajes Doval</t>
  </si>
  <si>
    <t>36.508759, -4.887317</t>
  </si>
  <si>
    <t>C/ María Auxiliadora, 3. Edif. Marbella 6, loc.1, 29602 Marbella</t>
  </si>
  <si>
    <t>https://turismo.marbella.es/index.php?option=com_content&amp;view=article&amp;id=7565</t>
  </si>
  <si>
    <t>15.02.020</t>
  </si>
  <si>
    <t>Viajes El Corte Inglés</t>
  </si>
  <si>
    <t>36.510979, -4.903050</t>
  </si>
  <si>
    <t>C.C El Capricho, El Corte Inglés - Blvar. Príncipe Alfonso de Hohenlohe, s/n Centro Comercial El Capricho, 29602 Marbella</t>
  </si>
  <si>
    <t>https://turismo.marbella.es/index.php?option=com_content&amp;view=article&amp;id=761</t>
  </si>
  <si>
    <t>15.02.021</t>
  </si>
  <si>
    <t>Viajes Incentivos Internacionales</t>
  </si>
  <si>
    <t>36.485320, -4.954440</t>
  </si>
  <si>
    <t>C/ Benabola, Local 7. B2, 29660 Puerto Banús</t>
  </si>
  <si>
    <t>https://turismo.marbella.es/index.php?option=com_content&amp;view=article&amp;id=778</t>
  </si>
  <si>
    <t>15.02.022</t>
  </si>
  <si>
    <t>Viajes Marleva</t>
  </si>
  <si>
    <t>36.515416, -4.888324</t>
  </si>
  <si>
    <t>ON LINE - Plaza del Pilar, 12 - 29601 Marbella</t>
  </si>
  <si>
    <t>https://turismo.marbella.es/index.php?option=com_content&amp;view=article&amp;id=763</t>
  </si>
  <si>
    <t>15.02.023</t>
  </si>
  <si>
    <t>Viajes Mireya</t>
  </si>
  <si>
    <t>36.512339, -4.881627</t>
  </si>
  <si>
    <t>Avda. Europa, 11 29601 Marbella</t>
  </si>
  <si>
    <t>https://turismo.marbella.es/index.php?option=com_content&amp;view=article&amp;id=764</t>
  </si>
  <si>
    <t>15.02.024</t>
  </si>
  <si>
    <t>Viajes Puerto</t>
  </si>
  <si>
    <t>36.487211, -4.990393</t>
  </si>
  <si>
    <t>Avda. Pablo Ruiz Picasso, nº 8 - 29670 San Pedro Alcántara</t>
  </si>
  <si>
    <t>https://turismo.marbella.es/index.php?option=com_content&amp;view=article&amp;id=7301</t>
  </si>
  <si>
    <t>15.02.025</t>
  </si>
  <si>
    <t>Viajes Saldumar</t>
  </si>
  <si>
    <t>36.510536, -4.896725</t>
  </si>
  <si>
    <t>Avda. Ricardo Soriano, 60 Edif. Eurobel, 1 29601 Marbella</t>
  </si>
  <si>
    <t>https://turismo.marbella.es/index.php?option=com_content&amp;view=article&amp;id=767</t>
  </si>
  <si>
    <t>15.02.026</t>
  </si>
  <si>
    <t>Viajes Sereli</t>
  </si>
  <si>
    <t>36.499159, -4.972403</t>
  </si>
  <si>
    <t>Avda. Miguel de Cervantes, 14. Local 1, 29660 Nueva Andalucía</t>
  </si>
  <si>
    <t>https://turismo.marbella.es/index.php?option=com_content&amp;view=article&amp;id=780</t>
  </si>
  <si>
    <t>15.02.027</t>
  </si>
  <si>
    <t>Viajes Spa Travel</t>
  </si>
  <si>
    <t>36.484882, -4.991233</t>
  </si>
  <si>
    <t>C/ Dr. Eusebio Ramírez Edificio Toledo, Local 2, 29670 San Pedro Alcántara</t>
  </si>
  <si>
    <t>https://turismo.marbella.es/index.php?option=com_content&amp;view=article&amp;id=841</t>
  </si>
  <si>
    <t>15.02.028</t>
  </si>
  <si>
    <t>Viajes Tardion</t>
  </si>
  <si>
    <t>36.509735, -4.890006</t>
  </si>
  <si>
    <t>C/ Alonso de Bazán, 6, 29602 Marbella</t>
  </si>
  <si>
    <t>https://turismo.marbella.es/index.php?option=com_content&amp;view=article&amp;id=768</t>
  </si>
  <si>
    <t>15.02.029</t>
  </si>
  <si>
    <t>Viajes Valdimar</t>
  </si>
  <si>
    <t>36.485597, -4.989016</t>
  </si>
  <si>
    <t>ON LINE - C/ San Gabriel 10, 29670 San Pedro Alcántara</t>
  </si>
  <si>
    <t>https://turismo.marbella.es/index.php?option=com_content&amp;view=article&amp;id=844</t>
  </si>
  <si>
    <t>15.02.030</t>
  </si>
  <si>
    <t>Zafiro Tours</t>
  </si>
  <si>
    <t>36.483848, -4.991530</t>
  </si>
  <si>
    <t>C/ Rafael Alberti s/n. Edificio El Cine, oficina 6 29670 San Pedro Alcántara</t>
  </si>
  <si>
    <t>https://turismo.marbella.es/index.php?option=com_content&amp;view=article&amp;id=4347</t>
  </si>
  <si>
    <t>15.03</t>
  </si>
  <si>
    <t>Alquiler de coches</t>
  </si>
  <si>
    <t>Alquiler de vehículos.</t>
  </si>
  <si>
    <t>https://turismo.marbella.es/servicios/servicios-turisticos/alquiler-de-coches.html</t>
  </si>
  <si>
    <t>15.03.001</t>
  </si>
  <si>
    <t>1Rentacar</t>
  </si>
  <si>
    <t>36.496636, -4.968547</t>
  </si>
  <si>
    <t>Avenida de los Girasoles 347B, 29660 Nueva Andalucía, Marbella</t>
  </si>
  <si>
    <t>https://turismo.marbella.es/index.php?option=com_content&amp;view=article&amp;id=311</t>
  </si>
  <si>
    <t>15.03.002</t>
  </si>
  <si>
    <t>77 Car Rental</t>
  </si>
  <si>
    <t>36.492211, -4.959729</t>
  </si>
  <si>
    <t>Avda Pilar Calvo s/n - Nueva Andalucía 29660 Marbella</t>
  </si>
  <si>
    <t>https://turismo.marbella.es/index.php?option=com_content&amp;view=article&amp;id=6742</t>
  </si>
  <si>
    <t>15.03.003</t>
  </si>
  <si>
    <t>Absolute Rent a Car</t>
  </si>
  <si>
    <t>36.495179, -4.950562</t>
  </si>
  <si>
    <t>CN-340 Km. 175, 29660 Nueva Andalucía, Marbella</t>
  </si>
  <si>
    <t>https://turismo.marbella.es/index.php?option=com_content&amp;view=article&amp;id=309</t>
  </si>
  <si>
    <t>15.03.004</t>
  </si>
  <si>
    <t>Almosaferspain</t>
  </si>
  <si>
    <t>36.500216, -4.937412</t>
  </si>
  <si>
    <t>N-340, km 176, Centro Comercial Oasis - Local 1 29602 Marbella</t>
  </si>
  <si>
    <t>https://turismo.marbella.es/index.php?option=com_content&amp;view=article&amp;id=7793</t>
  </si>
  <si>
    <t>15.03.005</t>
  </si>
  <si>
    <t>Autos Bahía Marbella</t>
  </si>
  <si>
    <t>36.490364, -4.988101</t>
  </si>
  <si>
    <t>C/ Álamo, 33 - Edif. Fuentenueva, 2 Local 14. 29670 San Pedro Alcántara</t>
  </si>
  <si>
    <t>https://turismo.marbella.es/index.php?option=com_content&amp;view=article&amp;id=196</t>
  </si>
  <si>
    <t>15.03.006</t>
  </si>
  <si>
    <t>AVIS &amp; BUDGET</t>
  </si>
  <si>
    <t>36.494331, -4.951487</t>
  </si>
  <si>
    <t>A-7 (CN-340), km. 175 (Al lado de la Gasolinera Shell) 29660 Puerto Banús Marbella</t>
  </si>
  <si>
    <t>https://turismo.marbella.es/index.php?option=com_content&amp;view=article&amp;id=202</t>
  </si>
  <si>
    <t>15.03.007</t>
  </si>
  <si>
    <t>AZZA Cars</t>
  </si>
  <si>
    <t>36.509482, -4.857100</t>
  </si>
  <si>
    <t>Carretera A/ S-1B Urb. Rio Real 29603 Marbella</t>
  </si>
  <si>
    <t>https://turismo.marbella.es/index.php?option=com_content&amp;view=article&amp;id=2536</t>
  </si>
  <si>
    <t>15.03.008</t>
  </si>
  <si>
    <t>B&amp;M Exclusive</t>
  </si>
  <si>
    <t>36.503736, -4.979508</t>
  </si>
  <si>
    <t>Poligono Industrial Nueva Campana, Nave 47B 29660 Nueva Andalucia, Marbella</t>
  </si>
  <si>
    <t>https://turismo.marbella.es/index.php?option=com_content&amp;view=article&amp;id=204</t>
  </si>
  <si>
    <t>15.03.009</t>
  </si>
  <si>
    <t>Banús Rent a Car</t>
  </si>
  <si>
    <t>36.491084, -4.950875</t>
  </si>
  <si>
    <t>C.C. Cristamar, loc. B 62 29660 Puerto Banús, Marbella</t>
  </si>
  <si>
    <t>https://turismo.marbella.es/index.php?option=com_content&amp;view=article&amp;id=206</t>
  </si>
  <si>
    <t>15.03.010</t>
  </si>
  <si>
    <t>BVRS</t>
  </si>
  <si>
    <t>36.500573, -4.936679</t>
  </si>
  <si>
    <t>C.C. Oasis Business Center, local 16, N-340 km 176, 29602 Marbella</t>
  </si>
  <si>
    <t>https://turismo.marbella.es/index.php?option=com_content&amp;view=article&amp;id=7034</t>
  </si>
  <si>
    <t>15.03.011</t>
  </si>
  <si>
    <t>Cafisa Rent a Car</t>
  </si>
  <si>
    <t>36.507872, -4.888446</t>
  </si>
  <si>
    <t>Avenida de Antonio Belón, 6, Edif. La Giralda Local 4, Esq. Ramiro Campos Turno 29602 Marbella</t>
  </si>
  <si>
    <t>https://turismo.marbella.es/index.php?option=com_content&amp;view=article&amp;id=209</t>
  </si>
  <si>
    <t>15.03.012</t>
  </si>
  <si>
    <t>Cohen Cars</t>
  </si>
  <si>
    <t>36.491744, -4.951699</t>
  </si>
  <si>
    <t>Avda. Naciones Unidas, 36 Puerto Banús 29660</t>
  </si>
  <si>
    <t>https://turismo.marbella.es/index.php?option=com_content&amp;view=article&amp;id=7037</t>
  </si>
  <si>
    <t>15.03.013</t>
  </si>
  <si>
    <t>Enterprise Rent a Car</t>
  </si>
  <si>
    <t>36.508166, -4.881505</t>
  </si>
  <si>
    <t>Calle Severo Ochoa 2, Complejo Miramar Local 4 - 29603 Marbella</t>
  </si>
  <si>
    <t>https://turismo.marbella.es/index.php?option=com_content&amp;view=article&amp;id=277</t>
  </si>
  <si>
    <t>15.03.014</t>
  </si>
  <si>
    <t>Europcar</t>
  </si>
  <si>
    <t>36.509435, -4.874207</t>
  </si>
  <si>
    <t>Avda. Severo Ochoa, 55 Junto a la Estación de servicio Moeve (frente a Hospital Quirón)</t>
  </si>
  <si>
    <t>https://turismo.marbella.es/index.php?option=com_content&amp;view=article&amp;id=228</t>
  </si>
  <si>
    <t>15.03.015</t>
  </si>
  <si>
    <t>Exclusive Rent a Car</t>
  </si>
  <si>
    <t>36.496371, -4.993334</t>
  </si>
  <si>
    <t>Carril de Picaza, 5, 29670 Marbella.</t>
  </si>
  <si>
    <t>https://turismo.marbella.es/index.php?option=com_content&amp;view=article&amp;id=8189</t>
  </si>
  <si>
    <t>15.03.016</t>
  </si>
  <si>
    <t>Fimmo Car Gallery</t>
  </si>
  <si>
    <t>36.489623, -4.991414</t>
  </si>
  <si>
    <t>Avda. Pablo R. Picasso, 65 Edif. Ferroman, 3 y 4 29670 San Pedro de Alcántara</t>
  </si>
  <si>
    <t>https://turismo.marbella.es/index.php?option=com_content&amp;view=article&amp;id=232</t>
  </si>
  <si>
    <t>15.03.017</t>
  </si>
  <si>
    <t>Gowerla rent a car</t>
  </si>
  <si>
    <t>36.488336, -4.954430</t>
  </si>
  <si>
    <t>Puerto Banús, C/ Jesús Puente, 20 - 29660 Puerto Banús</t>
  </si>
  <si>
    <t>https://turismo.marbella.es/index.php?option=com_content&amp;view=article&amp;id=4737</t>
  </si>
  <si>
    <t>15.03.018</t>
  </si>
  <si>
    <t>GTI &amp; CO</t>
  </si>
  <si>
    <t>36.487378, -4.956514</t>
  </si>
  <si>
    <t>Avda. José Banús. Edif. Málaga II, Local 1-c Puerto Banús 29660 Marbella</t>
  </si>
  <si>
    <t>https://turismo.marbella.es/index.php?option=com_content&amp;view=article&amp;id=2503</t>
  </si>
  <si>
    <t>15.03.019</t>
  </si>
  <si>
    <t>Guerra Motor</t>
  </si>
  <si>
    <t>36.487394, -4.993371</t>
  </si>
  <si>
    <t>C/ Marqués de Estella, 9 - 29670 San Pedro Alcántara Marbella</t>
  </si>
  <si>
    <t>https://turismo.marbella.es/index.php?option=com_content&amp;view=article&amp;id=234</t>
  </si>
  <si>
    <t>15.03.020</t>
  </si>
  <si>
    <t>Haimour</t>
  </si>
  <si>
    <t>36.486036, -4.954829</t>
  </si>
  <si>
    <t>Conjunto Benabolá, 1A - 29660 Puerto Banús.</t>
  </si>
  <si>
    <t>https://turismo.marbella.es/index.php?option=com_content&amp;view=article&amp;id=7236</t>
  </si>
  <si>
    <t>15.03.021</t>
  </si>
  <si>
    <t>Hertz España</t>
  </si>
  <si>
    <t>36.509572, -4.893183</t>
  </si>
  <si>
    <t>Avda. Arias Maldonado, 4 29602 Marbella</t>
  </si>
  <si>
    <t>https://turismo.marbella.es/index.php?option=com_content&amp;view=article&amp;id=236</t>
  </si>
  <si>
    <t>15.03.022</t>
  </si>
  <si>
    <t>Imperial Cars</t>
  </si>
  <si>
    <t>36.500635, -4.936312</t>
  </si>
  <si>
    <t>C.C. Oasis Business Center, local 9, N-340 Km 176. 29602 Marbella</t>
  </si>
  <si>
    <t>https://turismo.marbella.es/index.php?option=com_content&amp;view=article&amp;id=4710</t>
  </si>
  <si>
    <t>15.03.023</t>
  </si>
  <si>
    <t>KLS Rent a Car</t>
  </si>
  <si>
    <t>36.511077, -4.892922</t>
  </si>
  <si>
    <t>Calle Jacinto Benavente, 33, Local 3b 29601 Marbella</t>
  </si>
  <si>
    <t>https://turismo.marbella.es/index.php?option=com_content&amp;view=article&amp;id=307</t>
  </si>
  <si>
    <t>15.03.024</t>
  </si>
  <si>
    <t>KOENIGSEGG</t>
  </si>
  <si>
    <t>36.487320, -4.954279</t>
  </si>
  <si>
    <t>Avda. Julio Iglesias, 3, local 2 29660 Puerto Banús</t>
  </si>
  <si>
    <t>https://turismo.marbella.es/index.php?option=com_content&amp;view=article&amp;id=7035</t>
  </si>
  <si>
    <t>15.03.025</t>
  </si>
  <si>
    <t>Luxury Rent a Car</t>
  </si>
  <si>
    <t>36.487040, -4.966120</t>
  </si>
  <si>
    <t>CN 340. Km 173.5. Gasolinera GALP " El Rodeito". 29660 Marbella</t>
  </si>
  <si>
    <t>https://turismo.marbella.es/index.php?option=com_content&amp;view=article&amp;id=4249</t>
  </si>
  <si>
    <t>15.03.026</t>
  </si>
  <si>
    <t>Marbecar</t>
  </si>
  <si>
    <t>36.516079, -4.886370</t>
  </si>
  <si>
    <t>Calle Los Niños 2</t>
  </si>
  <si>
    <t>https://turismo.marbella.es/index.php?option=com_content&amp;view=article&amp;id=8232</t>
  </si>
  <si>
    <t>15.03.027</t>
  </si>
  <si>
    <t>Marbella Luxury Cars</t>
  </si>
  <si>
    <t>36.510208, -4.890619</t>
  </si>
  <si>
    <t>Nuestra Señora de Gracia, 2 Planta 1ª - Oficina 2 29602 Marbella</t>
  </si>
  <si>
    <t>https://turismo.marbella.es/index.php?option=com_content&amp;view=article&amp;id=237</t>
  </si>
  <si>
    <t>15.03.028</t>
  </si>
  <si>
    <t>Marbella Rent a Car</t>
  </si>
  <si>
    <t>36.491289, -4.951083</t>
  </si>
  <si>
    <t>Centro Comercial Cristamar Avda. Naciones Unidas, 46 29660 Puerto Banú, Marbella</t>
  </si>
  <si>
    <t>https://turismo.marbella.es/index.php?option=com_content&amp;view=article&amp;id=275</t>
  </si>
  <si>
    <t>15.03.029</t>
  </si>
  <si>
    <t>Marbesol</t>
  </si>
  <si>
    <t>36.508638, -4.915136</t>
  </si>
  <si>
    <t>Urb. Marbella Real, local 11 A-7 (CN-340A), Km. 1044 29602 Marbella</t>
  </si>
  <si>
    <t>https://turismo.marbella.es/index.php?option=com_content&amp;view=article&amp;id=262</t>
  </si>
  <si>
    <t>15.03.030</t>
  </si>
  <si>
    <t>Planet drive</t>
  </si>
  <si>
    <t>36.486733, -4.969541</t>
  </si>
  <si>
    <t>2 Oficinas: Avenida de los Girasoles, 347 B, 29660, Nueva Andalucía y Frente al Hotel Blue Bay Banús Crta N 340 KM 173 29660 Marbella.</t>
  </si>
  <si>
    <t>https://turismo.marbella.es/index.php?option=com_content&amp;view=article&amp;id=5445</t>
  </si>
  <si>
    <t>15.03.031</t>
  </si>
  <si>
    <t>Rent A Car Marbella</t>
  </si>
  <si>
    <t>36.492732, -4.960243</t>
  </si>
  <si>
    <t>Avenida de Manolete, 1, 11-12 29660 Marbella</t>
  </si>
  <si>
    <t>https://turismo.marbella.es/index.php?option=com_content&amp;view=article&amp;id=8081</t>
  </si>
  <si>
    <t>15.03.032</t>
  </si>
  <si>
    <t>Rual Rent a Car</t>
  </si>
  <si>
    <t>36.483302, -4.987754</t>
  </si>
  <si>
    <t>Avda. Luis Braille, 22 29670 San Pedro Alcántara</t>
  </si>
  <si>
    <t>https://turismo.marbella.es/index.php?option=com_content&amp;view=article&amp;id=271</t>
  </si>
  <si>
    <t>15.03.033</t>
  </si>
  <si>
    <t>Servicios Automovilísticos Elviria</t>
  </si>
  <si>
    <t>36.496489, -4.993896</t>
  </si>
  <si>
    <t>Calle Dublín 9, Polígono I. San Pedro Alcántara 29670 San Pedro, Marbella</t>
  </si>
  <si>
    <t>https://turismo.marbella.es/index.php?option=com_content&amp;view=article&amp;id=312</t>
  </si>
  <si>
    <t>15.03.034</t>
  </si>
  <si>
    <t>Sixt Rent a Car</t>
  </si>
  <si>
    <t>36.500039, -4.938042</t>
  </si>
  <si>
    <t>CN 340 - km 183 C.C. Oasis, 29600 Marbella</t>
  </si>
  <si>
    <t>https://turismo.marbella.es/index.php?option=com_content&amp;view=article&amp;id=272</t>
  </si>
  <si>
    <t>15.03.035</t>
  </si>
  <si>
    <t>Solo Luxury Car Hire</t>
  </si>
  <si>
    <t>36.504389, -4.977266</t>
  </si>
  <si>
    <t>Pol. Ind. Nueva Campana, 76, Nueva Andalucía, 29660 Marbella.</t>
  </si>
  <si>
    <t>https://turismo.marbella.es/index.php?option=com_content&amp;view=article&amp;id=273</t>
  </si>
  <si>
    <t>15.03.036</t>
  </si>
  <si>
    <t>The Luxury Car Hire Club</t>
  </si>
  <si>
    <t>36.508950, -4.994691</t>
  </si>
  <si>
    <t>La Quinta Golf and Country Club Marbella, C. Cristobal Colón, 1, Oficina 2. Nueva Andaluía</t>
  </si>
  <si>
    <t>https://turismo.marbella.es/index.php?option=com_content&amp;view=article&amp;id=4247</t>
  </si>
  <si>
    <t>15.03.037</t>
  </si>
  <si>
    <t>Top Cars Motion</t>
  </si>
  <si>
    <t>36.488190, -4.955737</t>
  </si>
  <si>
    <t>Urb. Puerto José Banús s/n. 29660 Marbella.</t>
  </si>
  <si>
    <t>https://turismo.marbella.es/index.php?option=com_content&amp;view=article&amp;id=4252</t>
  </si>
  <si>
    <t>15.03.038</t>
  </si>
  <si>
    <t>Wikirentacar</t>
  </si>
  <si>
    <t>36.510359, -4.874379</t>
  </si>
  <si>
    <t>C/ Pintor Pacheco, 4, 29603 Marbella</t>
  </si>
  <si>
    <t>https://turismo.marbella.es/index.php?option=com_content&amp;view=article&amp;id=8035</t>
  </si>
  <si>
    <t>15.03.039</t>
  </si>
  <si>
    <t>Yellow Car</t>
  </si>
  <si>
    <t>36.504778, -4.808733</t>
  </si>
  <si>
    <t>Carretera A-7 (CN-340A), km.1037 Urb. El Rosario 29604 Marbella</t>
  </si>
  <si>
    <t>https://turismo.marbella.es/index.php?option=com_content&amp;view=article&amp;id=276</t>
  </si>
  <si>
    <t>15.04</t>
  </si>
  <si>
    <t>Guías turísticos</t>
  </si>
  <si>
    <t>Guías oficiales y empresas de visitas guiadas.</t>
  </si>
  <si>
    <t>https://turismo.marbella.es/servicios/servicios-turisticos/guias-turisticos.html</t>
  </si>
  <si>
    <t>15.04.001</t>
  </si>
  <si>
    <t>AGP  Málaga cultural Asociación de Guías Profesionales</t>
  </si>
  <si>
    <t>36.722809, -4.421615</t>
  </si>
  <si>
    <t>C/ Comedias 9 C.P. 29008 Málaga</t>
  </si>
  <si>
    <t>https://turismo.marbella.es/index.php?option=com_content&amp;view=article&amp;id=7522</t>
  </si>
  <si>
    <t>15.04.002</t>
  </si>
  <si>
    <t>Alejandro Pérez Malumbres Landa</t>
  </si>
  <si>
    <t>https://turismo.marbella.es/index.php?option=com_content&amp;view=article&amp;id=7523</t>
  </si>
  <si>
    <t>15.04.003</t>
  </si>
  <si>
    <t>Ana Cabra</t>
  </si>
  <si>
    <t>https://turismo.marbella.es/index.php?option=com_content&amp;view=article&amp;id=557</t>
  </si>
  <si>
    <t>15.04.004</t>
  </si>
  <si>
    <t>APIT Málaga</t>
  </si>
  <si>
    <t>36.621834, -4.500466</t>
  </si>
  <si>
    <t>Avda. Joan Miró, 4 – Edif. Salomé, 1ª C.P. 29620 Torremolinos</t>
  </si>
  <si>
    <t>https://turismo.marbella.es/index.php?option=com_content&amp;view=article&amp;id=7524</t>
  </si>
  <si>
    <t>15.04.005</t>
  </si>
  <si>
    <t>Armando Gil Ecay</t>
  </si>
  <si>
    <t>https://turismo.marbella.es/index.php?option=com_content&amp;view=article&amp;id=7525</t>
  </si>
  <si>
    <t>15.04.006</t>
  </si>
  <si>
    <t>Asociación Profesional de Guías Oficiales e Intérpretes del Patrimonio Histórico, Artístico de Andalucía</t>
  </si>
  <si>
    <t>Avda. Joan Miró, 4 – Edif. Salomé, 1ª 29620 Torremolinos</t>
  </si>
  <si>
    <t>https://turismo.marbella.es/index.php?option=com_content&amp;view=article&amp;id=558</t>
  </si>
  <si>
    <t>15.04.007</t>
  </si>
  <si>
    <t>Cristina García Medina</t>
  </si>
  <si>
    <t>https://turismo.marbella.es/index.php?option=com_content&amp;view=article&amp;id=559</t>
  </si>
  <si>
    <t>15.04.008</t>
  </si>
  <si>
    <t>Discover Marbella</t>
  </si>
  <si>
    <t>https://turismo.marbella.es/index.php?option=com_content&amp;view=article&amp;id=7530</t>
  </si>
  <si>
    <t>15.04.009</t>
  </si>
  <si>
    <t>Eduardo Pérez-Malumbres Landa</t>
  </si>
  <si>
    <t>https://turismo.marbella.es/index.php?option=com_content&amp;view=article&amp;id=560</t>
  </si>
  <si>
    <t>15.04.010</t>
  </si>
  <si>
    <t>Eléonore Boulonnois</t>
  </si>
  <si>
    <t>https://turismo.marbella.es/index.php?option=com_content&amp;view=article&amp;id=7531</t>
  </si>
  <si>
    <t>15.04.011</t>
  </si>
  <si>
    <t>Gabriela Broda Buchtová</t>
  </si>
  <si>
    <t>https://turismo.marbella.es/index.php?option=com_content&amp;view=article&amp;id=7532</t>
  </si>
  <si>
    <t>15.04.012</t>
  </si>
  <si>
    <t>Guidesur</t>
  </si>
  <si>
    <t>Av. del Cosmos, s/n C.P. 29631 Benalmádena</t>
  </si>
  <si>
    <t>https://turismo.marbella.es/index.php?option=com_content&amp;view=article&amp;id=7526</t>
  </si>
  <si>
    <t>15.04.013</t>
  </si>
  <si>
    <t>IGOR GUILLEN</t>
  </si>
  <si>
    <t>https://turismo.marbella.es/index.php?option=com_content&amp;view=article&amp;id=8423</t>
  </si>
  <si>
    <t>15.04.014</t>
  </si>
  <si>
    <t>Irene Abecia Navarro</t>
  </si>
  <si>
    <t>https://turismo.marbella.es/index.php?option=com_content&amp;view=article&amp;id=7655</t>
  </si>
  <si>
    <t>15.04.015</t>
  </si>
  <si>
    <t>Juan Millán González</t>
  </si>
  <si>
    <t>https://turismo.marbella.es/index.php?option=com_content&amp;view=article&amp;id=563</t>
  </si>
  <si>
    <t>15.04.016</t>
  </si>
  <si>
    <t>Manuel Murri</t>
  </si>
  <si>
    <t>https://turismo.marbella.es/index.php?option=com_content&amp;view=article&amp;id=7527</t>
  </si>
  <si>
    <t>15.04.017</t>
  </si>
  <si>
    <t>Marbella Free Tour</t>
  </si>
  <si>
    <t>Avenida del Mar (Estatuas de Dalí)</t>
  </si>
  <si>
    <t>https://turismo.marbella.es/index.php?option=com_content&amp;view=article&amp;id=5568</t>
  </si>
  <si>
    <t>15.04.018</t>
  </si>
  <si>
    <t>Nadia Ferraris Hierro</t>
  </si>
  <si>
    <t>https://turismo.marbella.es/index.php?option=com_content&amp;view=article&amp;id=7533</t>
  </si>
  <si>
    <t>15.04.019</t>
  </si>
  <si>
    <t>Pascal Frulli Pugliese</t>
  </si>
  <si>
    <t>https://turismo.marbella.es/index.php?option=com_content&amp;view=article&amp;id=7534</t>
  </si>
  <si>
    <t>15.04.020</t>
  </si>
  <si>
    <t>Ricardo Tuzni Rodríguez</t>
  </si>
  <si>
    <t>https://turismo.marbella.es/index.php?option=com_content&amp;view=article&amp;id=565</t>
  </si>
  <si>
    <t>15.04.021</t>
  </si>
  <si>
    <t>Rocío Gómez Erola</t>
  </si>
  <si>
    <t>https://turismo.marbella.es/index.php?option=com_content&amp;view=article&amp;id=7384</t>
  </si>
  <si>
    <t>15.04.022</t>
  </si>
  <si>
    <t>Rutas Misteriosas</t>
  </si>
  <si>
    <t>https://turismo.marbella.es/index.php?option=com_content&amp;view=article&amp;id=7528</t>
  </si>
  <si>
    <t>15.04.023</t>
  </si>
  <si>
    <t>Tour Marbella Experiences</t>
  </si>
  <si>
    <t>https://turismo.marbella.es/index.php?option=com_content&amp;view=article&amp;id=561</t>
  </si>
  <si>
    <t>15.04.024</t>
  </si>
  <si>
    <t>Tours in Málaga</t>
  </si>
  <si>
    <t>36.511006, -4.888928</t>
  </si>
  <si>
    <t>C/ Jacinto Benavente, 11, Edif. Marbeland 3º - 3, C.P. 29601 Marbella</t>
  </si>
  <si>
    <t>https://turismo.marbella.es/index.php?option=com_content&amp;view=article&amp;id=7529</t>
  </si>
  <si>
    <t>15.05</t>
  </si>
  <si>
    <t>Alquiler de autobuses</t>
  </si>
  <si>
    <t>Autocares con conductor.</t>
  </si>
  <si>
    <t>https://turismo.marbella.es/servicios/servicios-turisticos/alquiler-de-autobuses.html</t>
  </si>
  <si>
    <t>15.05.001</t>
  </si>
  <si>
    <t>Autocares Lara</t>
  </si>
  <si>
    <t>36.483037, -4.977903</t>
  </si>
  <si>
    <t>Manuel de Falla nº 10 – Casa 24 29670 San Pedro Alcántara, Marbella</t>
  </si>
  <si>
    <t>https://turismo.marbella.es/index.php?option=com_content&amp;view=article&amp;id=280</t>
  </si>
  <si>
    <t>15.05.002</t>
  </si>
  <si>
    <t>Autocares Transandalucia</t>
  </si>
  <si>
    <t>36.513132, -4.868611</t>
  </si>
  <si>
    <t>Polígono Industrial La Ermita C/ Hierro, 15 29603 Marbella</t>
  </si>
  <si>
    <t>https://turismo.marbella.es/index.php?option=com_content&amp;view=article&amp;id=279</t>
  </si>
  <si>
    <t>15.06</t>
  </si>
  <si>
    <t>Alquiler de barcos</t>
  </si>
  <si>
    <t>Chárter y alquiler de embarcaciones.</t>
  </si>
  <si>
    <t>https://turismo.marbella.es/servicios/servicios-turisticos/alquiler-de-barcos.html</t>
  </si>
  <si>
    <t>15.06.001</t>
  </si>
  <si>
    <t>Active Sport Events</t>
  </si>
  <si>
    <t>36.506444, -4.889733</t>
  </si>
  <si>
    <t>Puerto Deportivo Virgen del Carmen - 29602 Marbella</t>
  </si>
  <si>
    <t>https://turismo.marbella.es/index.php?option=com_content&amp;view=article&amp;id=7538</t>
  </si>
  <si>
    <t>15.06.002</t>
  </si>
  <si>
    <t>Ahoy Marbella</t>
  </si>
  <si>
    <t>36.507814, -4.874633</t>
  </si>
  <si>
    <t>Puerto de la Bajadilla, C. Isaac Peral, Pantalán B, 29603 Marbella.</t>
  </si>
  <si>
    <t>https://turismo.marbella.es/index.php?option=com_content&amp;view=article&amp;id=7827</t>
  </si>
  <si>
    <t>15.06.003</t>
  </si>
  <si>
    <t>Alquiler de veleros</t>
  </si>
  <si>
    <t>Puerto Banús Pantalán 4 - 29660 Marbella</t>
  </si>
  <si>
    <t>https://turismo.marbella.es/index.php?option=com_content&amp;view=article&amp;id=7535</t>
  </si>
  <si>
    <t>15.06.004</t>
  </si>
  <si>
    <t>Amare Charter</t>
  </si>
  <si>
    <t>36.487706, -4.951084</t>
  </si>
  <si>
    <t>Puerto Banus. Marbella</t>
  </si>
  <si>
    <t>https://turismo.marbella.es/index.php?option=com_content&amp;view=article&amp;id=6223</t>
  </si>
  <si>
    <t>15.06.005</t>
  </si>
  <si>
    <t>36.507274, -4.889935</t>
  </si>
  <si>
    <t>Puerto Deportivo de Marbella, 29602 Marbella</t>
  </si>
  <si>
    <t>https://turismo.marbella.es/index.php?option=com_content&amp;view=article&amp;id=324</t>
  </si>
  <si>
    <t>15.06.006</t>
  </si>
  <si>
    <t>Banus Boats</t>
  </si>
  <si>
    <t>36.487174, -4.952965</t>
  </si>
  <si>
    <t>Pantalán 7, Amarre 570-568 29660 Puerto Banús, Marbella</t>
  </si>
  <si>
    <t>https://turismo.marbella.es/index.php?option=com_content&amp;view=article&amp;id=5885</t>
  </si>
  <si>
    <t>15.06.007</t>
  </si>
  <si>
    <t>Boat and Bed</t>
  </si>
  <si>
    <t>36.488319, -4.951941</t>
  </si>
  <si>
    <t>Muelle ribera 4. Amarre 251 29660 Puerto Banús</t>
  </si>
  <si>
    <t>https://turismo.marbella.es/index.php?option=com_content&amp;view=article&amp;id=4122</t>
  </si>
  <si>
    <t>15.06.008</t>
  </si>
  <si>
    <t>Boat to go</t>
  </si>
  <si>
    <t>36.488633, -4.950510</t>
  </si>
  <si>
    <t>Muelle Ribera, 35 Puerto Banús, 29660 Marbella</t>
  </si>
  <si>
    <t>https://turismo.marbella.es/index.php?option=com_content&amp;view=article&amp;id=334</t>
  </si>
  <si>
    <t>15.06.009</t>
  </si>
  <si>
    <t>Boating Lovers</t>
  </si>
  <si>
    <t>36.488484, -4.950869</t>
  </si>
  <si>
    <t>Puerto Banus, Pantalan 07, Amarre 830 - 29660 Puerto Banús</t>
  </si>
  <si>
    <t>https://turismo.marbella.es/index.php?option=com_content&amp;view=article&amp;id=5073</t>
  </si>
  <si>
    <t>15.06.010</t>
  </si>
  <si>
    <t>CMS Marbella Boats</t>
  </si>
  <si>
    <t>36.493250, -4.945966</t>
  </si>
  <si>
    <t>https://turismo.marbella.es/index.php?option=com_content&amp;view=article&amp;id=4225</t>
  </si>
  <si>
    <t>15.06.011</t>
  </si>
  <si>
    <t>Paseo Marítimo, Av. Duque de Ahumada, 3, Edificio Mediterráneo, local 12, 29602 Marbella</t>
  </si>
  <si>
    <t>https://turismo.marbella.es/index.php?option=com_content&amp;view=article&amp;id=5822</t>
  </si>
  <si>
    <t>15.06.012</t>
  </si>
  <si>
    <t>Fly Blue Gran Catamaran</t>
  </si>
  <si>
    <t>36.505121, -4.890833</t>
  </si>
  <si>
    <t>Puerto Deportivo Virgen del Carmen, 29602 Marbella</t>
  </si>
  <si>
    <t>https://turismo.marbella.es/index.php?option=com_content&amp;view=article&amp;id=344</t>
  </si>
  <si>
    <t>15.06.013</t>
  </si>
  <si>
    <t>I. Castañer</t>
  </si>
  <si>
    <t>36.495967, -4.952503</t>
  </si>
  <si>
    <t>Urb. La Alzambra, local 3-1, Centro de Negocios Melior Vasari, 29660 Marbella</t>
  </si>
  <si>
    <t>https://turismo.marbella.es/index.php?option=com_content&amp;view=article&amp;id=347</t>
  </si>
  <si>
    <t>15.06.014</t>
  </si>
  <si>
    <t>Lovit Charter</t>
  </si>
  <si>
    <t>36.487505, -4.952214</t>
  </si>
  <si>
    <t>Pantalán, 3, Nueva Andalucía, 29660 Marbella</t>
  </si>
  <si>
    <t>https://turismo.marbella.es/index.php?option=com_content&amp;view=article&amp;id=4263</t>
  </si>
  <si>
    <t>15.06.015</t>
  </si>
  <si>
    <t>Luna Pesca</t>
  </si>
  <si>
    <t>36.487125, -4.952845</t>
  </si>
  <si>
    <t>Calle Ribera, Atraque 249-250. Pantalán 4. 29660 Puerto Banús</t>
  </si>
  <si>
    <t>https://turismo.marbella.es/index.php?option=com_content&amp;view=article&amp;id=348</t>
  </si>
  <si>
    <t>15.06.016</t>
  </si>
  <si>
    <t>Maia Luxury Boat Charter</t>
  </si>
  <si>
    <t>36.486896, -4.952675</t>
  </si>
  <si>
    <t>Atraque/Berth 092, Pantalan/Pier 2, Urbanizacion Puerto Jose Banus, 29660 Marbella</t>
  </si>
  <si>
    <t>https://turismo.marbella.es/index.php?option=com_content&amp;view=article&amp;id=4262</t>
  </si>
  <si>
    <t>15.06.017</t>
  </si>
  <si>
    <t>Marbella Boat Charter</t>
  </si>
  <si>
    <t>36.488898, -4.949496</t>
  </si>
  <si>
    <t>Edificio Levante 10B, 29660 Puerto Banus, Marbella</t>
  </si>
  <si>
    <t>https://turismo.marbella.es/index.php?option=com_content&amp;view=article&amp;id=349</t>
  </si>
  <si>
    <t>15.06.018</t>
  </si>
  <si>
    <t>Marbella Charter</t>
  </si>
  <si>
    <t>36.488611, -4.949889</t>
  </si>
  <si>
    <t>Edificio Levante local 10, 29660 Puerto Banús, Marbella</t>
  </si>
  <si>
    <t>https://turismo.marbella.es/index.php?option=com_content&amp;view=article&amp;id=351</t>
  </si>
  <si>
    <t>15.06.019</t>
  </si>
  <si>
    <t>MARBELLA CHARTERS 2.0</t>
  </si>
  <si>
    <t>36.487922, -4.951890</t>
  </si>
  <si>
    <t>Puerto Banús Pier 4 Moorings 251-252</t>
  </si>
  <si>
    <t>https://turismo.marbella.es/index.php?option=com_content&amp;view=article&amp;id=7536</t>
  </si>
  <si>
    <t>15.06.020</t>
  </si>
  <si>
    <t>Marbella Ocean Boat</t>
  </si>
  <si>
    <t>36.489407, -4.950131</t>
  </si>
  <si>
    <t>Puerto Banús. C/ Ribera, Pantalán 4 29660 Marbella</t>
  </si>
  <si>
    <t>https://turismo.marbella.es/index.php?option=com_content&amp;view=article&amp;id=4696</t>
  </si>
  <si>
    <t>15.06.021</t>
  </si>
  <si>
    <t>Marbella Rental Boat</t>
  </si>
  <si>
    <t>36.506455, -4.888340</t>
  </si>
  <si>
    <t>Puerto Deportivo Virgen del Carmen Pantalán 4, 29602 Marbella</t>
  </si>
  <si>
    <t>https://turismo.marbella.es/index.php?option=com_content&amp;view=article&amp;id=339</t>
  </si>
  <si>
    <t>15.06.022</t>
  </si>
  <si>
    <t>Marbella Renting Boat</t>
  </si>
  <si>
    <t>36.506924, -4.888643</t>
  </si>
  <si>
    <t>Puerto Deportivo local 65 A 29602 Marbella</t>
  </si>
  <si>
    <t>https://turismo.marbella.es/index.php?option=com_content&amp;view=article&amp;id=5824</t>
  </si>
  <si>
    <t>15.06.023</t>
  </si>
  <si>
    <t>36.506772, -4.889501</t>
  </si>
  <si>
    <t>Puerto Deportivo Virgen del Carmen, Local 45, 29602 Marbella</t>
  </si>
  <si>
    <t>https://turismo.marbella.es/index.php?option=com_content&amp;view=article&amp;id=353</t>
  </si>
  <si>
    <t>15.06.024</t>
  </si>
  <si>
    <t>Marbella Yacht Charters</t>
  </si>
  <si>
    <t>36.505258, -4.888521</t>
  </si>
  <si>
    <t>Puerto Deportivo Marbella 554, 29602 Marbella</t>
  </si>
  <si>
    <t>https://turismo.marbella.es/index.php?option=com_content&amp;view=article&amp;id=7135</t>
  </si>
  <si>
    <t>15.06.025</t>
  </si>
  <si>
    <t>Monty Charter</t>
  </si>
  <si>
    <t>36.486954, -4.953045</t>
  </si>
  <si>
    <t>Calle Ribera, Nº 9, 29660 Puerto Banús, Marbella</t>
  </si>
  <si>
    <t>https://turismo.marbella.es/index.php?option=com_content&amp;view=article&amp;id=358</t>
  </si>
  <si>
    <t>15.06.026</t>
  </si>
  <si>
    <t>Mr. Belvedere</t>
  </si>
  <si>
    <t>36.484746, -4.955287</t>
  </si>
  <si>
    <t>https://turismo.marbella.es/index.php?option=com_content&amp;view=article&amp;id=7821</t>
  </si>
  <si>
    <t>15.06.027</t>
  </si>
  <si>
    <t>My Charter</t>
  </si>
  <si>
    <t>36.487373, -4.952990</t>
  </si>
  <si>
    <t>C. Ribera, 29660 Puerto Banús</t>
  </si>
  <si>
    <t>https://turismo.marbella.es/index.php?option=com_content&amp;view=article&amp;id=5360</t>
  </si>
  <si>
    <t>15.06.028</t>
  </si>
  <si>
    <t>Navigate</t>
  </si>
  <si>
    <t>36.487510, -4.950932</t>
  </si>
  <si>
    <t>Puerto José Banús - Pantalán, 5, 29660 Marbella</t>
  </si>
  <si>
    <t>https://turismo.marbella.es/index.php?option=com_content&amp;view=article&amp;id=4695</t>
  </si>
  <si>
    <t>15.06.029</t>
  </si>
  <si>
    <t>Náutica Marbella</t>
  </si>
  <si>
    <t>36.488263, -4.952482</t>
  </si>
  <si>
    <t>Puerto Banús, 29660 Marbella</t>
  </si>
  <si>
    <t>https://turismo.marbella.es/index.php?option=com_content&amp;view=article&amp;id=359</t>
  </si>
  <si>
    <t>15.06.030</t>
  </si>
  <si>
    <t>Oceanautic</t>
  </si>
  <si>
    <t>36.488376, -4.951201</t>
  </si>
  <si>
    <t>Pantanal 6 amarre 450 - Puerto Banús</t>
  </si>
  <si>
    <t>https://turismo.marbella.es/index.php?option=com_content&amp;view=article&amp;id=7589</t>
  </si>
  <si>
    <t>15.06.031</t>
  </si>
  <si>
    <t>Royal Catamarán</t>
  </si>
  <si>
    <t>36.488605, -4.949280</t>
  </si>
  <si>
    <t>Varadero Puerto Banús s/n, 29660 Marbella</t>
  </si>
  <si>
    <t>https://turismo.marbella.es/index.php?option=com_content&amp;view=article&amp;id=7498</t>
  </si>
  <si>
    <t>15.06.032</t>
  </si>
  <si>
    <t>Rumbo Med</t>
  </si>
  <si>
    <t>36.488138, -4.951306</t>
  </si>
  <si>
    <t>Muelle levante. Pantalán C. Atraque 578 - 29660 Puerto Banús, Marbella</t>
  </si>
  <si>
    <t>https://turismo.marbella.es/index.php?option=com_content&amp;view=article&amp;id=365</t>
  </si>
  <si>
    <t>15.06.033</t>
  </si>
  <si>
    <t>Sail In Spain</t>
  </si>
  <si>
    <t>36.488143, -4.951477</t>
  </si>
  <si>
    <t>Pantalán num 5 Atraque 347 - Puerto Banús, 29660 Marbella</t>
  </si>
  <si>
    <t>https://turismo.marbella.es/index.php?option=com_content&amp;view=article&amp;id=5826</t>
  </si>
  <si>
    <t>15.06.034</t>
  </si>
  <si>
    <t>Sailing Me</t>
  </si>
  <si>
    <t>36.487495, -4.952368</t>
  </si>
  <si>
    <t>Pantalán 3, atraque 216 29660 Puerto Banús, Marbella.</t>
  </si>
  <si>
    <t>https://turismo.marbella.es/index.php?option=com_content&amp;view=article&amp;id=5468</t>
  </si>
  <si>
    <t>15.06.035</t>
  </si>
  <si>
    <t>Try Sail</t>
  </si>
  <si>
    <t>36.488531, -4.949132</t>
  </si>
  <si>
    <t>Puerto Banus - Pantalán 8</t>
  </si>
  <si>
    <t>https://turismo.marbella.es/index.php?option=com_content&amp;view=article&amp;id=5828</t>
  </si>
  <si>
    <t>15.06.036</t>
  </si>
  <si>
    <t>Veleros Marbella</t>
  </si>
  <si>
    <t>36.486674, -4.950758</t>
  </si>
  <si>
    <t>Puerto Banús, Pantalán nº4 - 29660 Marbella</t>
  </si>
  <si>
    <t>https://turismo.marbella.es/index.php?option=com_content&amp;view=article&amp;id=7118</t>
  </si>
  <si>
    <t>15.06.037</t>
  </si>
  <si>
    <t>Ventura Yachts</t>
  </si>
  <si>
    <t>36.485629, -4.954575</t>
  </si>
  <si>
    <t>Calle Benabola, Casa D, Portal 3-114,29660 Puerto Banús, Marbella</t>
  </si>
  <si>
    <t>https://turismo.marbella.es/index.php?option=com_content&amp;view=article&amp;id=366</t>
  </si>
  <si>
    <t>15.06.038</t>
  </si>
  <si>
    <t>X-Treme Marine Spain</t>
  </si>
  <si>
    <t>36.489508, -4.950158</t>
  </si>
  <si>
    <t>Edificio Levante 14, 29660 Puerto Jose Banus</t>
  </si>
  <si>
    <t>https://turismo.marbella.es/index.php?option=com_content&amp;view=article&amp;id=4261</t>
  </si>
  <si>
    <t>15.07</t>
  </si>
  <si>
    <t>Transfer</t>
  </si>
  <si>
    <t>Traslados y transporte con conductor.</t>
  </si>
  <si>
    <t>https://turismo.marbella.es/servicios/servicios-turisticos/transfer.html</t>
  </si>
  <si>
    <t>15.07.001</t>
  </si>
  <si>
    <t>Gaby Cars Marbella</t>
  </si>
  <si>
    <t>36.480490, -4.972298</t>
  </si>
  <si>
    <t>Urb. Cortijo Blanco 11 villas 4 , 29670 San Pedro Alcántara</t>
  </si>
  <si>
    <t>https://turismo.marbella.es/index.php?option=com_content&amp;view=article&amp;id=368</t>
  </si>
  <si>
    <t>15.07.002</t>
  </si>
  <si>
    <t>Joaquín Ferino</t>
  </si>
  <si>
    <t>36.516296, -4.893488</t>
  </si>
  <si>
    <t>Avda. Cánovas del Castillo, 58 - 29601 Marbella</t>
  </si>
  <si>
    <t>https://turismo.marbella.es/index.php?option=com_content&amp;view=article&amp;id=8276</t>
  </si>
  <si>
    <t>15.07.003</t>
  </si>
  <si>
    <t>Marbella Transfer</t>
  </si>
  <si>
    <t>36.493156, -4.959940</t>
  </si>
  <si>
    <t>Av/Manolete Bloque 2 – 1º B 29600 Nueva Andalucía, Marbella</t>
  </si>
  <si>
    <t>https://turismo.marbella.es/index.php?option=com_content&amp;view=article&amp;id=369</t>
  </si>
  <si>
    <t>15.07.004</t>
  </si>
  <si>
    <t>Mipa Transfer Marbella</t>
  </si>
  <si>
    <t>36.518270, -4.855747</t>
  </si>
  <si>
    <t>Calle De Juan De Matanza, 29603 Marbella, Málaga, Spain</t>
  </si>
  <si>
    <t>https://turismo.marbella.es/index.php?option=com_content&amp;view=article&amp;id=8262</t>
  </si>
  <si>
    <t>15.07.005</t>
  </si>
  <si>
    <t>Simply Shuttles</t>
  </si>
  <si>
    <t>36.511729, -4.861295</t>
  </si>
  <si>
    <t>C/ Fernando Vallejo s/n 29603 San Pedro Alcántara / Segunda dirección: P.I. Salto del Agua, C/ Polonia 26, San Pedro Alcántara</t>
  </si>
  <si>
    <t>https://turismo.marbella.es/index.php?option=com_content&amp;view=article&amp;id=437</t>
  </si>
  <si>
    <t>15.07.006</t>
  </si>
  <si>
    <t>Taxi Marbella Mercedes</t>
  </si>
  <si>
    <t>https://turismo.marbella.es/index.php?option=com_content&amp;view=article&amp;id=2572</t>
  </si>
  <si>
    <t>15.07.007</t>
  </si>
  <si>
    <t>Taxi Marbella Premium</t>
  </si>
  <si>
    <t>https://turismo.marbella.es/index.php?option=com_content&amp;view=article&amp;id=8264</t>
  </si>
  <si>
    <t>15.07.008</t>
  </si>
  <si>
    <t>Taxisol</t>
  </si>
  <si>
    <t>36.512544, -4.898660</t>
  </si>
  <si>
    <t>Polideportivo Paco Cantos s/n Marbella</t>
  </si>
  <si>
    <t>https://turismo.marbella.es/index.php?option=com_content&amp;view=article&amp;id=2570</t>
  </si>
  <si>
    <t>15.08</t>
  </si>
  <si>
    <t>Alquiler aéreo</t>
  </si>
  <si>
    <t>Aviones y helicópteros.</t>
  </si>
  <si>
    <t>https://turismo.marbella.es/servicios/servicios-turisticos/alquiler-de-aviones-y-helicopteros.html</t>
  </si>
  <si>
    <t>15.08.001</t>
  </si>
  <si>
    <t>Heliair Marbella</t>
  </si>
  <si>
    <t>36.511368, -4.949111</t>
  </si>
  <si>
    <t>Edif. Helicópteros Sanitarios A-7 (CN-340A), km. 175 29660 Puerto Banús Marbella Helipuerto Marbella Ctra. Istán, Km. 2</t>
  </si>
  <si>
    <t>https://turismo.marbella.es/index.php?option=com_content&amp;view=article&amp;id=688</t>
  </si>
  <si>
    <t>15.08.002</t>
  </si>
  <si>
    <t>Worldaviation</t>
  </si>
  <si>
    <t>https://turismo.marbella.es/index.php?option=com_content&amp;view=article&amp;id=3336</t>
  </si>
  <si>
    <t>15.09</t>
  </si>
  <si>
    <t>Caravanas</t>
  </si>
  <si>
    <t>Servicios para autocaravanas y alquiler de campers.</t>
  </si>
  <si>
    <t>https://turismo.marbella.es/servicios/servicios-turisticos/facilidades-caravanas.html</t>
  </si>
  <si>
    <t>15.09.001</t>
  </si>
  <si>
    <t>Autocaravanas Piqueras</t>
  </si>
  <si>
    <t>36.501407, -4.801028</t>
  </si>
  <si>
    <t>Ctra. N-340, Km 189. Urbanización Pinomar (Junto a Boby Jump)</t>
  </si>
  <si>
    <t>https://turismo.marbella.es/index.php?option=com_content&amp;view=article&amp;id=4891</t>
  </si>
  <si>
    <t>15.09.002</t>
  </si>
  <si>
    <t>Campervan Rental Marbella</t>
  </si>
  <si>
    <t>36.511211, -4.889132</t>
  </si>
  <si>
    <t>C/ La Torrecilla, 1 - 29602 Marbella</t>
  </si>
  <si>
    <t>https://turismo.marbella.es/index.php?option=com_content&amp;view=article&amp;id=8188</t>
  </si>
  <si>
    <t>15.09.003</t>
  </si>
  <si>
    <t>Servicios Autocaravanas, Cámpers y Vehículos Similares</t>
  </si>
  <si>
    <t>https://turismo.marbella.es/index.php?option=com_content&amp;view=article&amp;id=4382</t>
  </si>
  <si>
    <t>15.10</t>
  </si>
  <si>
    <t>Experiencias</t>
  </si>
  <si>
    <t>Experiencias y excursiones.</t>
  </si>
  <si>
    <t>https://turismo.marbella.es/servicios/servicios-turisticos/experiencias-en-marbella.html</t>
  </si>
  <si>
    <t>15.10.001</t>
  </si>
  <si>
    <t>Activities Marbella</t>
  </si>
  <si>
    <t>https://turismo.marbella.es/index.php?option=com_content&amp;view=article&amp;id=7459</t>
  </si>
  <si>
    <t>15.10.002</t>
  </si>
  <si>
    <t>Avistamiento de delfines</t>
  </si>
  <si>
    <t>36.507576, -4.874624</t>
  </si>
  <si>
    <t>Puerto la Bajadilla, Pantalan C, 29603 Marbella.</t>
  </si>
  <si>
    <t>https://turismo.marbella.es/index.php?option=com_content&amp;view=article&amp;id=8036</t>
  </si>
  <si>
    <t>15.10.003</t>
  </si>
  <si>
    <t>Barcobar Marbella</t>
  </si>
  <si>
    <t>https://turismo.marbella.es/index.php?option=com_content&amp;view=article&amp;id=5478</t>
  </si>
  <si>
    <t>15.10.004</t>
  </si>
  <si>
    <t>Candela Restaurant &amp; Yacht</t>
  </si>
  <si>
    <t>36.510532, -4.884430</t>
  </si>
  <si>
    <t>Marbella Plaza General Chinchilla, 2 29601 Marbella</t>
  </si>
  <si>
    <t>https://turismo.marbella.es/index.php?option=com_content&amp;view=article&amp;id=6888</t>
  </si>
  <si>
    <t>15.10.005</t>
  </si>
  <si>
    <t>Catas de aceite y vinos: D-Oliva</t>
  </si>
  <si>
    <t>36.509670, -4.884923</t>
  </si>
  <si>
    <t>Marbella Nueva, 9, 29601 Marbella</t>
  </si>
  <si>
    <t>https://turismo.marbella.es/index.php?option=com_content&amp;view=article&amp;id=5143</t>
  </si>
  <si>
    <t>15.10.006</t>
  </si>
  <si>
    <t>Catas de vino Casa Pablo</t>
  </si>
  <si>
    <t>36.509950, -4.893468</t>
  </si>
  <si>
    <t>Marbella C/ Ramón Gómez de la Serna, 2, 29602 Marbella</t>
  </si>
  <si>
    <t>https://turismo.marbella.es/index.php?option=com_content&amp;view=article&amp;id=7061</t>
  </si>
  <si>
    <t>15.10.007</t>
  </si>
  <si>
    <t>Circuito Ascari Ronda</t>
  </si>
  <si>
    <t>36.755229, -5.146597</t>
  </si>
  <si>
    <t>Carretera de Campillos (A-367), Km. 30,5 - 29400 Ronda.</t>
  </si>
  <si>
    <t>https://turismo.marbella.es/index.php?option=com_content&amp;view=article&amp;id=7698</t>
  </si>
  <si>
    <t>15.10.008</t>
  </si>
  <si>
    <t>Clases Nutrición: Marbella Club Wellness</t>
  </si>
  <si>
    <t>36.506827, -4.919148</t>
  </si>
  <si>
    <t>Marbella Bulevar Príncipe Alfonso de Hohenlohe 29602 Marbella</t>
  </si>
  <si>
    <t>https://turismo.marbella.es/index.php?option=com_content&amp;view=article&amp;id=5155</t>
  </si>
  <si>
    <t>15.10.009</t>
  </si>
  <si>
    <t>Dia de Pesca</t>
  </si>
  <si>
    <t>36.487228, -4.952795</t>
  </si>
  <si>
    <t>Marbella Pantalán 4, Atraque 249 y 250 Puerto Banús, Marbella</t>
  </si>
  <si>
    <t>https://turismo.marbella.es/index.php?option=com_content&amp;view=article&amp;id=5121</t>
  </si>
  <si>
    <t>15.10.010</t>
  </si>
  <si>
    <t>Esquía en Sierra Nevada, Granada</t>
  </si>
  <si>
    <t>Granada Crta. A-395 - Sierra Nevada, Granada</t>
  </si>
  <si>
    <t>https://turismo.marbella.es/index.php?option=com_content&amp;view=article&amp;id=932</t>
  </si>
  <si>
    <t>15.10.011</t>
  </si>
  <si>
    <t>Exploramás</t>
  </si>
  <si>
    <t>https://turismo.marbella.es/index.php?option=com_content&amp;view=article&amp;id=7677</t>
  </si>
  <si>
    <t>15.10.012</t>
  </si>
  <si>
    <t>Fly Marbella</t>
  </si>
  <si>
    <t>36.494758, -4.985135</t>
  </si>
  <si>
    <t>Carril de El Potril, 29670 Marbella</t>
  </si>
  <si>
    <t>https://turismo.marbella.es/index.php?option=com_content&amp;view=article&amp;id=7294</t>
  </si>
  <si>
    <t>15.10.013</t>
  </si>
  <si>
    <t>Mindfultravel</t>
  </si>
  <si>
    <t>36.506535, -4.803199</t>
  </si>
  <si>
    <t>Marbella Urb. El Rosario Avd. Los Pinos, 29. 29604 Marbella</t>
  </si>
  <si>
    <t>https://turismo.marbella.es/index.php?option=com_content&amp;view=article&amp;id=5315</t>
  </si>
  <si>
    <t>15.10.014</t>
  </si>
  <si>
    <t>Paseo en helicóptero</t>
  </si>
  <si>
    <t>https://turismo.marbella.es/index.php?option=com_content&amp;view=article&amp;id=7871</t>
  </si>
  <si>
    <t>15.10.015</t>
  </si>
  <si>
    <t>Shapó Olé</t>
  </si>
  <si>
    <t>36.484487, -4.990416</t>
  </si>
  <si>
    <t>C/ Copo, 3 29670 San Pedro Alcántara</t>
  </si>
  <si>
    <t>https://turismo.marbella.es/index.php?option=com_content&amp;view=article&amp;id=8230</t>
  </si>
  <si>
    <t>15.10.016</t>
  </si>
  <si>
    <t>Signature Tours Marbella</t>
  </si>
  <si>
    <t>36.511304, -4.905270</t>
  </si>
  <si>
    <t>Marbella, Provincia de Málaga Urb. El Capricho, 29602 Marbella</t>
  </si>
  <si>
    <t>https://turismo.marbella.es/index.php?option=com_content&amp;view=article&amp;id=5316</t>
  </si>
  <si>
    <t>15.10.017</t>
  </si>
  <si>
    <t>Spanish Cooking Experience</t>
  </si>
  <si>
    <t>36.474513, -5.003139</t>
  </si>
  <si>
    <t>Marbella Urbanizacion Guadalmina Alta, 2T, 29670 San Pedro Alcántara</t>
  </si>
  <si>
    <t>https://turismo.marbella.es/index.php?option=com_content&amp;view=article&amp;id=784</t>
  </si>
  <si>
    <t>15.10.018</t>
  </si>
  <si>
    <t>Taste Marbella</t>
  </si>
  <si>
    <t>36.510120, -4.885023</t>
  </si>
  <si>
    <t>Marbella Plaza de los Naranjos, Casco Antiguo, Marbella</t>
  </si>
  <si>
    <t>https://turismo.marbella.es/index.php?option=com_content&amp;view=article&amp;id=5115</t>
  </si>
  <si>
    <t>15.10.019</t>
  </si>
  <si>
    <t>Team Building Marbella</t>
  </si>
  <si>
    <t>https://turismo.marbella.es/index.php?option=com_content&amp;view=article&amp;id=7444</t>
  </si>
  <si>
    <t>15.10.020</t>
  </si>
  <si>
    <t>The Jolly Mile</t>
  </si>
  <si>
    <t>36.498633, -4.989242</t>
  </si>
  <si>
    <t>Carril de Picaza, Local 4. Pol. industrial de San Pedro de Alcántara, Marbella. 29670, Málaga</t>
  </si>
  <si>
    <t>https://turismo.marbella.es/index.php?option=com_content&amp;view=article&amp;id=7704</t>
  </si>
  <si>
    <t>15.10.021</t>
  </si>
  <si>
    <t>Visita Bodega Descalzos Viejos, Ronda</t>
  </si>
  <si>
    <t>Provincia de Málaga Finca Descalzos Viejos. Partido de los Molinos S/N 29400 Ronda</t>
  </si>
  <si>
    <t>https://turismo.marbella.es/index.php?option=com_content&amp;view=article&amp;id=4783</t>
  </si>
  <si>
    <t>15.10.022</t>
  </si>
  <si>
    <t>Vuelo en Globo, Ronda</t>
  </si>
  <si>
    <t>Provincia de Málaga</t>
  </si>
  <si>
    <t>https://turismo.marbella.es/index.php?option=com_content&amp;view=article&amp;id=4782</t>
  </si>
  <si>
    <t>15.10.023</t>
  </si>
  <si>
    <t>Your dream picnic in paradise</t>
  </si>
  <si>
    <t>https://turismo.marbella.es/index.php?option=com_content&amp;view=article&amp;id=5451</t>
  </si>
  <si>
    <t>15.11</t>
  </si>
  <si>
    <t>Oficinas de cambio</t>
  </si>
  <si>
    <t>Cambio de divisas.</t>
  </si>
  <si>
    <t>https://turismo.marbella.es/servicios/servicios-turisticos/oficinas-de-cambio.html</t>
  </si>
  <si>
    <t>15.11.001</t>
  </si>
  <si>
    <t>BitBase | Bitcoin Exchange</t>
  </si>
  <si>
    <t>36.510539, -4.893205</t>
  </si>
  <si>
    <t>Av. Ricardo Soriano, 39, 29601 Marbella.</t>
  </si>
  <si>
    <t>https://turismo.marbella.es/index.php?option=com_content&amp;view=article&amp;id=6776</t>
  </si>
  <si>
    <t>15.11.002</t>
  </si>
  <si>
    <t>Cambios Ricardo Soriano 24</t>
  </si>
  <si>
    <t>36.509198, -4.888278</t>
  </si>
  <si>
    <t>C. Ramiro Campos Turmo, Local 4, 29602 Marbella</t>
  </si>
  <si>
    <t>https://turismo.marbella.es/index.php?option=com_content&amp;view=article&amp;id=6763</t>
  </si>
  <si>
    <t>15.11.003</t>
  </si>
  <si>
    <t>Change Center</t>
  </si>
  <si>
    <t>36.509663, -4.886599</t>
  </si>
  <si>
    <t>C. Huerta Chica, 9, 29600 Marbella.</t>
  </si>
  <si>
    <t>https://turismo.marbella.es/index.php?option=com_content&amp;view=article&amp;id=6778</t>
  </si>
  <si>
    <t>15.11.004</t>
  </si>
  <si>
    <t>Curriences Direct LTD</t>
  </si>
  <si>
    <t>36.489145, -4.964307</t>
  </si>
  <si>
    <t>Plaza de la Orquídeas L-5 - 29660 Marbella</t>
  </si>
  <si>
    <t>https://turismo.marbella.es/index.php?option=com_content&amp;view=article&amp;id=6765</t>
  </si>
  <si>
    <t>15.11.005</t>
  </si>
  <si>
    <t>Dividsas Camex/  Western Union</t>
  </si>
  <si>
    <t>36.509778, -4.882340</t>
  </si>
  <si>
    <t>Avda. Nabeul, 3 - 29601 Marbella</t>
  </si>
  <si>
    <t>https://turismo.marbella.es/index.php?option=com_content&amp;view=article&amp;id=6766</t>
  </si>
  <si>
    <t>15.11.006</t>
  </si>
  <si>
    <t>Eurochange</t>
  </si>
  <si>
    <t>36.486241, -4.954811</t>
  </si>
  <si>
    <t>Nueva Andalucía, Calle Muelle Ribera comunidad OPQ, local 108, Casa O Planta 1, 29660 Marbella.</t>
  </si>
  <si>
    <t>https://turismo.marbella.es/index.php?option=com_content&amp;view=article&amp;id=6769</t>
  </si>
  <si>
    <t>15.11.007</t>
  </si>
  <si>
    <t>Europhil</t>
  </si>
  <si>
    <t>36.511194, -4.893462</t>
  </si>
  <si>
    <t>Calle Hermanos Belon Lima, Av. Ricardo Soriano, 2, 29601 Marbella.</t>
  </si>
  <si>
    <t>https://turismo.marbella.es/index.php?option=com_content&amp;view=article&amp;id=6777</t>
  </si>
  <si>
    <t>15.11.008</t>
  </si>
  <si>
    <t>EuroXchange Costa</t>
  </si>
  <si>
    <t>36.490151, -4.957442</t>
  </si>
  <si>
    <t>Av. Pilar Calvo, Nueva Andalucía, 29660 Marbella.</t>
  </si>
  <si>
    <t>https://turismo.marbella.es/index.php?option=com_content&amp;view=article&amp;id=6772</t>
  </si>
  <si>
    <t>15.11.009</t>
  </si>
  <si>
    <t>Exact Change</t>
  </si>
  <si>
    <t>36.486009, -4.954585</t>
  </si>
  <si>
    <t>Muelle Benabola, Loc. 2 - 29660 Marbella</t>
  </si>
  <si>
    <t>https://turismo.marbella.es/index.php?option=com_content&amp;view=article&amp;id=6762</t>
  </si>
  <si>
    <t>15.11.010</t>
  </si>
  <si>
    <t>Exchange Banús</t>
  </si>
  <si>
    <t>36.491116, -4.950752</t>
  </si>
  <si>
    <t>Avda. de las Naciones Unidas, 55. C.C. Cristamar. 29660 Marbella</t>
  </si>
  <si>
    <t>https://turismo.marbella.es/index.php?option=com_content&amp;view=article&amp;id=6767</t>
  </si>
  <si>
    <t>15.11.011</t>
  </si>
  <si>
    <t>Exchange Beach Stop</t>
  </si>
  <si>
    <t>36.486529, -4.954175</t>
  </si>
  <si>
    <t>C. Ribera, Casa E, Local 7, Puerto Banús, 29660 Marbella.</t>
  </si>
  <si>
    <t>https://turismo.marbella.es/index.php?option=com_content&amp;view=article&amp;id=6771</t>
  </si>
  <si>
    <t>15.11.012</t>
  </si>
  <si>
    <t>Quickgold Marbella</t>
  </si>
  <si>
    <t>36.509587, -4.887536</t>
  </si>
  <si>
    <t>Av. Ricardo Soriano, 7 29601 Marbella</t>
  </si>
  <si>
    <t>https://turismo.marbella.es/index.php?option=com_content&amp;view=article&amp;id=6838</t>
  </si>
  <si>
    <t>15.11.013</t>
  </si>
  <si>
    <t>Sydney Car Nº2</t>
  </si>
  <si>
    <t>36.510246, -4.896198</t>
  </si>
  <si>
    <t>Avda. Ricardo Soriano, 49 - 29601 Marbella</t>
  </si>
  <si>
    <t>https://turismo.marbella.es/index.php?option=com_content&amp;view=article&amp;id=6768</t>
  </si>
  <si>
    <t>15.12</t>
  </si>
  <si>
    <t>Consigna de equipajes</t>
  </si>
  <si>
    <t>Consignas y taquillas de equipaje.</t>
  </si>
  <si>
    <t>https://turismo.marbella.es/servicios/servicios-turisticos/consigna-equipajes.html</t>
  </si>
  <si>
    <t>15.12.001</t>
  </si>
  <si>
    <t>Banús Lockers</t>
  </si>
  <si>
    <t>36.490562, -4.950307</t>
  </si>
  <si>
    <t>Avda de las Naciones Unidas, 74 29660 Marbella.</t>
  </si>
  <si>
    <t>https://turismo.marbella.es/index.php?option=com_content&amp;view=article&amp;id=8313</t>
  </si>
  <si>
    <t>15.12.002</t>
  </si>
  <si>
    <t>Bye Bags Lockers</t>
  </si>
  <si>
    <t>36.510326, -4.891986</t>
  </si>
  <si>
    <t>Avda. Ricardo Soriano, 33 Edif. Nueva Marbella, local 12 29602 Marbella</t>
  </si>
  <si>
    <t>https://turismo.marbella.es/index.php?option=com_content&amp;view=article&amp;id=8316</t>
  </si>
  <si>
    <t>15.12.003</t>
  </si>
  <si>
    <t>Consigna Maletas - Estación de Bus</t>
  </si>
  <si>
    <t>36.519835, -4.892746</t>
  </si>
  <si>
    <t>Av. Trapiche, S/N -29602 Marbella.</t>
  </si>
  <si>
    <t>https://turismo.marbella.es/index.php?option=com_content&amp;view=article&amp;id=7703</t>
  </si>
  <si>
    <t>15.12.004</t>
  </si>
  <si>
    <t>Costa Locker Nabeul</t>
  </si>
  <si>
    <t>36.509595, -4.882662</t>
  </si>
  <si>
    <t>Avenida Nabeul, 12 29601 Marbella.</t>
  </si>
  <si>
    <t>https://turismo.marbella.es/index.php?option=com_content&amp;view=article&amp;id=8196</t>
  </si>
  <si>
    <t>15.12.005</t>
  </si>
  <si>
    <t>Costa Locker Ricardo Soriano</t>
  </si>
  <si>
    <t>36.510542, -4.889675</t>
  </si>
  <si>
    <t>Avenida Ricardo Soriano, 28 Local 1D</t>
  </si>
  <si>
    <t>https://turismo.marbella.es/index.php?option=com_content&amp;view=article&amp;id=7853</t>
  </si>
  <si>
    <t>15.12.006</t>
  </si>
  <si>
    <t>Travel Hub Lockers | 24/7</t>
  </si>
  <si>
    <t>36.490752, -4.952177</t>
  </si>
  <si>
    <t>Plaza Marina Banús, Bloque 2, local 3B, Nueva Andalucía, 29660 Marbella.</t>
  </si>
  <si>
    <t>https://turismo.marbella.es/index.php?option=com_content&amp;view=article&amp;id=7770</t>
  </si>
  <si>
    <t>15.12.007</t>
  </si>
  <si>
    <t>WEB bounce.com consigna de equipajes en Marbella</t>
  </si>
  <si>
    <t>https://turismo.marbella.es/index.php?option=com_content&amp;view=article&amp;id=8315</t>
  </si>
  <si>
    <t>15.12.008</t>
  </si>
  <si>
    <t>WEB Radical Storage consigna de equipajes en Marbella</t>
  </si>
  <si>
    <t>https://turismo.marbella.es/index.php?option=com_content&amp;view=article&amp;id=8317</t>
  </si>
  <si>
    <t>16</t>
  </si>
  <si>
    <t>Otros puntos singulares de Marbella</t>
  </si>
  <si>
    <t>Puntos singulares para fotografiarse y localizaciones de película.</t>
  </si>
  <si>
    <t>16.01</t>
  </si>
  <si>
    <t>Toma tu selfie</t>
  </si>
  <si>
    <t>Los puntos de la ruta fotográfica de Marbella.</t>
  </si>
  <si>
    <t>https://turismo.marbella.es/servicios/ruta-fotografica-de-marbella.html</t>
  </si>
  <si>
    <t>16.01.001</t>
  </si>
  <si>
    <t>Casco Antiguo de Marbella</t>
  </si>
  <si>
    <t>36.510360, -4.884265</t>
  </si>
  <si>
    <t>https://turismo.marbella.es/index.php?option=com_content&amp;view=article&amp;id=8019</t>
  </si>
  <si>
    <t>16.01.002</t>
  </si>
  <si>
    <t>36.486300, -4.749100</t>
  </si>
  <si>
    <t>https://turismo.marbella.es/index.php?option=com_content&amp;view=article&amp;id=8017</t>
  </si>
  <si>
    <t>16.01.003</t>
  </si>
  <si>
    <t>Mirador del Valle del Golf</t>
  </si>
  <si>
    <t>36.506143, -4.976005</t>
  </si>
  <si>
    <t>https://turismo.marbella.es/index.php?option=com_content&amp;view=article&amp;id=8023</t>
  </si>
  <si>
    <t>16.01.004</t>
  </si>
  <si>
    <t>Muelle de honor de Puerto Banús</t>
  </si>
  <si>
    <t>36.484700, -4.953600</t>
  </si>
  <si>
    <t>https://turismo.marbella.es/index.php?option=com_content&amp;view=article&amp;id=8022</t>
  </si>
  <si>
    <t>16.01.005</t>
  </si>
  <si>
    <t>Pantalán de Marbella Club</t>
  </si>
  <si>
    <t>36.503700, -4.917600</t>
  </si>
  <si>
    <t>https://turismo.marbella.es/index.php?option=com_content&amp;view=article&amp;id=8021</t>
  </si>
  <si>
    <t>16.01.006</t>
  </si>
  <si>
    <t>Paseo Marítimo de San Pedro Alcántara</t>
  </si>
  <si>
    <t>36.475200, -4.982500</t>
  </si>
  <si>
    <t>https://turismo.marbella.es/index.php?option=com_content&amp;view=article&amp;id=8024</t>
  </si>
  <si>
    <t>16.01.007</t>
  </si>
  <si>
    <t>Terraza de Plaza del Mar</t>
  </si>
  <si>
    <t>36.507400, -4.898100</t>
  </si>
  <si>
    <t>https://turismo.marbella.es/index.php?option=com_content&amp;view=article&amp;id=8020</t>
  </si>
  <si>
    <t>16.02</t>
  </si>
  <si>
    <t>Localizaciones de película</t>
  </si>
  <si>
    <t>17</t>
  </si>
  <si>
    <t>Marbella de boda</t>
  </si>
  <si>
    <t>Lugares y servicios para celebrar una boda.</t>
  </si>
  <si>
    <t>https://turismo.marbella.es/servicios/marbella-de-boda.html</t>
  </si>
  <si>
    <t>17.01</t>
  </si>
  <si>
    <t>Lugares de celebración</t>
  </si>
  <si>
    <t>Fincas y espacios para celebraciones.</t>
  </si>
  <si>
    <t>https://turismo.marbella.es/servicios/marbella-de-boda/lugares-de-celebracion.html</t>
  </si>
  <si>
    <t>17.01.001</t>
  </si>
  <si>
    <t>Bodas Carretera a Ojén, Km 1 (Frente a la Cañada)</t>
  </si>
  <si>
    <t>https://turismo.marbella.es/index.php?option=com_content&amp;view=article&amp;id=4807</t>
  </si>
  <si>
    <t>17.01.002</t>
  </si>
  <si>
    <t>Cortijo de Correa</t>
  </si>
  <si>
    <t>36.497460, -4.758672</t>
  </si>
  <si>
    <t>Bodas Hacienda Las Chapas s/n 29604 Marbella</t>
  </si>
  <si>
    <t>https://turismo.marbella.es/index.php?option=com_content&amp;view=article&amp;id=730</t>
  </si>
  <si>
    <t>17.01.003</t>
  </si>
  <si>
    <t>El Gamonal</t>
  </si>
  <si>
    <t>36.501699, -4.997321</t>
  </si>
  <si>
    <t>Bodas Ctra. de Ronda (Urb. La Quinta) Avda. Lorenzo Morito Romero s/n - 29670 San Pedro Alcántara</t>
  </si>
  <si>
    <t>https://turismo.marbella.es/index.php?option=com_content&amp;view=article&amp;id=6092</t>
  </si>
  <si>
    <t>17.01.004</t>
  </si>
  <si>
    <t>Bodas Camino Cristo de los Molinos, s/n 29603 Marbella</t>
  </si>
  <si>
    <t>https://turismo.marbella.es/index.php?option=com_content&amp;view=article&amp;id=720</t>
  </si>
  <si>
    <t>17.01.005</t>
  </si>
  <si>
    <t>Finca La Concepción</t>
  </si>
  <si>
    <t>36.516079, -4.950171</t>
  </si>
  <si>
    <t>Bodas Ctra. Istán km 2.300 29602 Marbella</t>
  </si>
  <si>
    <t>https://turismo.marbella.es/index.php?option=com_content&amp;view=article&amp;id=722</t>
  </si>
  <si>
    <t>17.02</t>
  </si>
  <si>
    <t>Lugares de ceremonias religiosas</t>
  </si>
  <si>
    <t>Iglesias y templos de distintas confesiones.</t>
  </si>
  <si>
    <t>https://turismo.marbella.es/servicios/marbella-de-boda/lugares-de-ceremonias-religiosas.html</t>
  </si>
  <si>
    <t>17.02.001</t>
  </si>
  <si>
    <t>Capilla de Guadalmina</t>
  </si>
  <si>
    <t>36.472197, -5.003816</t>
  </si>
  <si>
    <t>catolicas Urb. Guadalmina 29670 San Pedro Alcántara</t>
  </si>
  <si>
    <t>https://turismo.marbella.es/index.php?option=com_content&amp;view=article&amp;id=432</t>
  </si>
  <si>
    <t>17.02.002</t>
  </si>
  <si>
    <t>Capilla de la Virginia</t>
  </si>
  <si>
    <t>36.515739, -4.907230</t>
  </si>
  <si>
    <t>catolicas Urb. La Virginia 29602 Marbella</t>
  </si>
  <si>
    <t>https://turismo.marbella.es/index.php?option=com_content&amp;view=article&amp;id=434</t>
  </si>
  <si>
    <t>17.02.003</t>
  </si>
  <si>
    <t>Comunidad Judía de Marbella</t>
  </si>
  <si>
    <t>36.507242, -4.889293</t>
  </si>
  <si>
    <t>Judías Avda. Duque de Ahumada, 10 Edif. Marbella 2000 Entreplanta 26-5 29600 Marbella</t>
  </si>
  <si>
    <t>https://turismo.marbella.es/index.php?option=com_content&amp;view=article&amp;id=456</t>
  </si>
  <si>
    <t>17.02.004</t>
  </si>
  <si>
    <t>Ermita del Santo Cristo de la Veracruz</t>
  </si>
  <si>
    <t>catolicas Plaza de Santo Cristo s/n 29601 Marbella</t>
  </si>
  <si>
    <t>https://turismo.marbella.es/index.php?option=com_content&amp;view=article&amp;id=423</t>
  </si>
  <si>
    <t>17.02.005</t>
  </si>
  <si>
    <t>Iglesia Anglicana</t>
  </si>
  <si>
    <t>36.480265, -4.994058</t>
  </si>
  <si>
    <t>Evangelicas San Pedro Alcántara</t>
  </si>
  <si>
    <t>https://turismo.marbella.es/index.php?option=com_content&amp;view=article&amp;id=451</t>
  </si>
  <si>
    <t>17.02.006</t>
  </si>
  <si>
    <t>Iglesia Evangélica Buenas Nuevas Marbella</t>
  </si>
  <si>
    <t>36.511424, -4.883092</t>
  </si>
  <si>
    <t>Evangelicas Avda. Doctor Maíz Viñals, 3 29601 Marbella</t>
  </si>
  <si>
    <t>https://turismo.marbella.es/index.php?option=com_content&amp;view=article&amp;id=454</t>
  </si>
  <si>
    <t>17.02.007</t>
  </si>
  <si>
    <t>Iglesia Evangélica Buenas Nuevas San Pedro Alcántara</t>
  </si>
  <si>
    <t>36.478329, -4.994821</t>
  </si>
  <si>
    <t>Evangelicas C/ de la Concha, 5 29670 San Pedro Alcántara</t>
  </si>
  <si>
    <t>https://turismo.marbella.es/index.php?option=com_content&amp;view=article&amp;id=455</t>
  </si>
  <si>
    <t>17.02.008</t>
  </si>
  <si>
    <t>Iglesia Nuestra Señora de la Encarnación</t>
  </si>
  <si>
    <t>catolicas Plaza de la Iglesia, s/n 29601 Marbella</t>
  </si>
  <si>
    <t>https://turismo.marbella.es/index.php?option=com_content&amp;view=article&amp;id=422</t>
  </si>
  <si>
    <t>17.02.009</t>
  </si>
  <si>
    <t>catolicas Plaza de la Iglesia 29670 San Pedro Alcántara</t>
  </si>
  <si>
    <t>https://turismo.marbella.es/index.php?option=com_content&amp;view=article&amp;id=429</t>
  </si>
  <si>
    <t>17.02.010</t>
  </si>
  <si>
    <t>Iglesia Santo Cristo del Calvario</t>
  </si>
  <si>
    <t>catolicas Avda. del Calvario s/n 29601 Marbella</t>
  </si>
  <si>
    <t>https://turismo.marbella.es/index.php?option=com_content&amp;view=article&amp;id=424</t>
  </si>
  <si>
    <t>17.02.011</t>
  </si>
  <si>
    <t>Iglesia Santo Ángel</t>
  </si>
  <si>
    <t>36.510813, -4.952533</t>
  </si>
  <si>
    <t>catolicas Carril de las Palmeras, s/n 29660 Nueva Andalucía</t>
  </si>
  <si>
    <t>https://turismo.marbella.es/index.php?option=com_content&amp;view=article&amp;id=427</t>
  </si>
  <si>
    <t>17.02.012</t>
  </si>
  <si>
    <t>Iglesia Virgen del Carmen</t>
  </si>
  <si>
    <t>36.497190, -4.780747</t>
  </si>
  <si>
    <t>catolicas Urb. Las Chapas – Cerrado de Elviria, C/Pinsapo s/n 29604 Marbella</t>
  </si>
  <si>
    <t>https://turismo.marbella.es/index.php?option=com_content&amp;view=article&amp;id=428</t>
  </si>
  <si>
    <t>17.02.013</t>
  </si>
  <si>
    <t>catolicas Avda. Virgen del Rocío, 25 29670 San Pedro Alcántara</t>
  </si>
  <si>
    <t>https://turismo.marbella.es/index.php?option=com_content&amp;view=article&amp;id=431</t>
  </si>
  <si>
    <t>17.02.014</t>
  </si>
  <si>
    <t>Iglesia Virgen Madre</t>
  </si>
  <si>
    <t>36.502743, -4.976265</t>
  </si>
  <si>
    <t>catolicas Avda. Gustavo Adolfo Bécquer, 40 29660 Nueva Andalucía</t>
  </si>
  <si>
    <t>https://turismo.marbella.es/index.php?option=com_content&amp;view=article&amp;id=426</t>
  </si>
  <si>
    <t>17.02.015</t>
  </si>
  <si>
    <t>Mezquita King Abdulaziz</t>
  </si>
  <si>
    <t>36.504430, -4.927341</t>
  </si>
  <si>
    <t>Musulmanas CN-340, Km 1048 C/Cruz - Las Lomas del Marbella-Club s/n 29602 Marbella</t>
  </si>
  <si>
    <t>https://turismo.marbella.es/index.php?option=com_content&amp;view=article&amp;id=459</t>
  </si>
  <si>
    <t>17.02.016</t>
  </si>
  <si>
    <t>Parroquia Divina Pastora</t>
  </si>
  <si>
    <t>36.512673, -4.880677</t>
  </si>
  <si>
    <t>catolicas Avda. de Europa, 19 29601 Marbella</t>
  </si>
  <si>
    <t>https://turismo.marbella.es/index.php?option=com_content&amp;view=article&amp;id=425</t>
  </si>
  <si>
    <t>17.02.017</t>
  </si>
  <si>
    <t>Synagoga "Beth El"</t>
  </si>
  <si>
    <t>36.510077, -4.855498</t>
  </si>
  <si>
    <t>Judías A-7 - Km 1041 Urb. El Real C/ Jazmines, 21 29603 Marbella</t>
  </si>
  <si>
    <t>https://turismo.marbella.es/index.php?option=com_content&amp;view=article&amp;id=460</t>
  </si>
  <si>
    <t>17.02.018</t>
  </si>
  <si>
    <t>Testigos de Jehová Marbella</t>
  </si>
  <si>
    <t>36.510275, -4.874768</t>
  </si>
  <si>
    <t>Testigos de Jehova C/ Barquilla, 3 29603 Marbella</t>
  </si>
  <si>
    <t>https://turismo.marbella.es/index.php?option=com_content&amp;view=article&amp;id=461</t>
  </si>
  <si>
    <t>17.02.019</t>
  </si>
  <si>
    <t>Testigos de Jehová San Pedro Alcántara</t>
  </si>
  <si>
    <t>36.490484, -4.985821</t>
  </si>
  <si>
    <t>Testigos de Jehova C/ Amor, 24 29670 San Pedro Alcántara</t>
  </si>
  <si>
    <t>https://turismo.marbella.es/index.php?option=com_content&amp;view=article&amp;id=462</t>
  </si>
  <si>
    <t>17.03</t>
  </si>
  <si>
    <t>Organizadores de eventos</t>
  </si>
  <si>
    <t>Wedding planners.</t>
  </si>
  <si>
    <t>https://turismo.marbella.es/servicios/marbella-de-boda/organizadores-de-eventos.html</t>
  </si>
  <si>
    <t>17.03.001</t>
  </si>
  <si>
    <t>Caprichia Weddings + Events</t>
  </si>
  <si>
    <t>36.509565, -4.872376</t>
  </si>
  <si>
    <t>Bodas Avda. General López Domínguez Edif. Puerto Azul, 2B-8ºD 29603 Marbella</t>
  </si>
  <si>
    <t>https://turismo.marbella.es/index.php?option=com_content&amp;view=article&amp;id=465</t>
  </si>
  <si>
    <t>17.03.002</t>
  </si>
  <si>
    <t>Departamento de Bodas</t>
  </si>
  <si>
    <t>36.507371, -4.889970</t>
  </si>
  <si>
    <t>Delegación de Turismo Excmo. Ayuntamiento de Marbella -Avenida Antonio Belón, 21- 29.602 Marbella</t>
  </si>
  <si>
    <t>https://turismo.marbella.es/index.php?option=com_content&amp;view=article&amp;id=235</t>
  </si>
  <si>
    <t>17.03.003</t>
  </si>
  <si>
    <t>Donna Weddings</t>
  </si>
  <si>
    <t>36.509201, -4.882348</t>
  </si>
  <si>
    <t>Bodas Calle Río, nº 11, 29601 Marbella</t>
  </si>
  <si>
    <t>https://turismo.marbella.es/index.php?option=com_content&amp;view=article&amp;id=498</t>
  </si>
  <si>
    <t>17.03.004</t>
  </si>
  <si>
    <t>Events Couture Marbella</t>
  </si>
  <si>
    <t>Bodas</t>
  </si>
  <si>
    <t>https://turismo.marbella.es/index.php?option=com_content&amp;view=article&amp;id=466</t>
  </si>
  <si>
    <t>17.03.005</t>
  </si>
  <si>
    <t>Ideas Rosas</t>
  </si>
  <si>
    <t>36.511398, -4.854206</t>
  </si>
  <si>
    <t>Bodas Avda. Canovas del Castillo, local 6-Urb. El Cenit 29601 Marbella</t>
  </si>
  <si>
    <t>https://turismo.marbella.es/index.php?option=com_content&amp;view=article&amp;id=468</t>
  </si>
  <si>
    <t>17.03.006</t>
  </si>
  <si>
    <t>Marbella In Style</t>
  </si>
  <si>
    <t>36.477625, -5.015581</t>
  </si>
  <si>
    <t>Bodas C/ Guadaiza 25, Edificio Grupo DIZ, 1º Oficina 2. 29670 San Pedro de Alcántara</t>
  </si>
  <si>
    <t>https://turismo.marbella.es/index.php?option=com_content&amp;view=article&amp;id=471</t>
  </si>
  <si>
    <t>17.03.007</t>
  </si>
  <si>
    <t>Marbella Parties</t>
  </si>
  <si>
    <t>36.497472, -4.991633</t>
  </si>
  <si>
    <t>Bodas C/ Letonia, 22 Polígono Industrial San Pedro Alcántara 29670 San Pedro Alcántara</t>
  </si>
  <si>
    <t>https://turismo.marbella.es/index.php?option=com_content&amp;view=article&amp;id=472</t>
  </si>
  <si>
    <t>17.03.008</t>
  </si>
  <si>
    <t>Mitsy Co. Weddings &amp; Events</t>
  </si>
  <si>
    <t>36.504548, -4.840282</t>
  </si>
  <si>
    <t>Bodas Urb. Los Monteros Palm Beach, 6B0 29603 Marbella</t>
  </si>
  <si>
    <t>https://turismo.marbella.es/index.php?option=com_content&amp;view=article&amp;id=512</t>
  </si>
  <si>
    <t>17.03.009</t>
  </si>
  <si>
    <t>Poppins</t>
  </si>
  <si>
    <t>36.487094, -4.989528</t>
  </si>
  <si>
    <t>Bodas Plaza de la Iglesia, 3, 3º 29670 San Pedro Alcántara</t>
  </si>
  <si>
    <t>https://turismo.marbella.es/index.php?option=com_content&amp;view=article&amp;id=474</t>
  </si>
  <si>
    <t>17.03.010</t>
  </si>
  <si>
    <t>Reviva Weddings &amp; Events</t>
  </si>
  <si>
    <t>36.529118, -4.836924</t>
  </si>
  <si>
    <t>Bodas Los Altos de Marbella, 64, 29603 Marbella</t>
  </si>
  <si>
    <t>https://turismo.marbella.es/index.php?option=com_content&amp;view=article&amp;id=475</t>
  </si>
  <si>
    <t>17.03.011</t>
  </si>
  <si>
    <t>Romance Wedding Stylish &amp; Design</t>
  </si>
  <si>
    <t>36.511972, -4.866766</t>
  </si>
  <si>
    <t>Bodas Calle Plata, 35 29603 Marbella</t>
  </si>
  <si>
    <t>https://turismo.marbella.es/index.php?option=com_content&amp;view=article&amp;id=476</t>
  </si>
  <si>
    <t>17.03.012</t>
  </si>
  <si>
    <t>Sunshine Weddings</t>
  </si>
  <si>
    <t>https://turismo.marbella.es/index.php?option=com_content&amp;view=article&amp;id=497</t>
  </si>
  <si>
    <t>17.03.013</t>
  </si>
  <si>
    <t>Susan-Su</t>
  </si>
  <si>
    <t>36.511309, -4.886282</t>
  </si>
  <si>
    <t>https://turismo.marbella.es/index.php?option=com_content&amp;view=article&amp;id=7091</t>
  </si>
  <si>
    <t>17.03.014</t>
  </si>
  <si>
    <t>White Wedding Days</t>
  </si>
  <si>
    <t>36.502130, -4.769839</t>
  </si>
  <si>
    <t>Bodas C/ Dalia El Rincón de Santa Maria, 7 29604 Elviria</t>
  </si>
  <si>
    <t>https://turismo.marbella.es/index.php?option=com_content&amp;view=article&amp;id=513</t>
  </si>
  <si>
    <t>17.04</t>
  </si>
  <si>
    <t>Oficiantes de ceremonia</t>
  </si>
  <si>
    <t>Oficiantes de ceremonias civiles.</t>
  </si>
  <si>
    <t>https://turismo.marbella.es/servicios/marbella-de-boda/oficiantes.html</t>
  </si>
  <si>
    <t>17.04.001</t>
  </si>
  <si>
    <t>Javier Medina</t>
  </si>
  <si>
    <t>https://turismo.marbella.es/index.php?option=com_content&amp;view=article&amp;id=691</t>
  </si>
  <si>
    <t>17.04.002</t>
  </si>
  <si>
    <t>Marry Me Marbella</t>
  </si>
  <si>
    <t>https://turismo.marbella.es/index.php?option=com_content&amp;view=article&amp;id=692</t>
  </si>
  <si>
    <t>17.05</t>
  </si>
  <si>
    <t>Servicios complementarios</t>
  </si>
  <si>
    <t>Floristas, fotografía, música, papelerías, tartas y tiendas de novias.</t>
  </si>
  <si>
    <t>https://turismo.marbella.es/servicios/marbella-de-boda/servicios-complementarios.html</t>
  </si>
  <si>
    <t>17.05.001</t>
  </si>
  <si>
    <t>235 Studios</t>
  </si>
  <si>
    <t>https://turismo.marbella.es/index.php?option=com_content&amp;view=article&amp;id=419</t>
  </si>
  <si>
    <t>17.05.002</t>
  </si>
  <si>
    <t>Agrupación Musical de Marbella</t>
  </si>
  <si>
    <t>https://turismo.marbella.es/index.php?option=com_content&amp;view=article&amp;id=6456</t>
  </si>
  <si>
    <t>17.05.003</t>
  </si>
  <si>
    <t>AM Flowers Design</t>
  </si>
  <si>
    <t>36.510879, -4.902821</t>
  </si>
  <si>
    <t>Centro Comercial El Capricho El Corte Inglés Bulevar Príncipe Alfonso de Hohenlohe, 2 29601 Marbella</t>
  </si>
  <si>
    <t>https://turismo.marbella.es/index.php?option=com_content&amp;view=article&amp;id=702</t>
  </si>
  <si>
    <t>17.05.004</t>
  </si>
  <si>
    <t>Art Bakery and Wine</t>
  </si>
  <si>
    <t>36.526216, -4.894876</t>
  </si>
  <si>
    <t>Calle Dona Francisca Carrillo, Conjunto Residencial Montoros 2 29602 Marbella.</t>
  </si>
  <si>
    <t>https://turismo.marbella.es/index.php?option=com_content&amp;view=article&amp;id=5485</t>
  </si>
  <si>
    <t>17.05.005</t>
  </si>
  <si>
    <t>Be Sweet Marbella</t>
  </si>
  <si>
    <t>36.474184, -5.003761</t>
  </si>
  <si>
    <t>Centro Comercial Guadalmina 3, 1º 6 29678 San Pedro Alcántara</t>
  </si>
  <si>
    <t>https://turismo.marbella.es/index.php?option=com_content&amp;view=article&amp;id=1870</t>
  </si>
  <si>
    <t>17.05.006</t>
  </si>
  <si>
    <t>Berrocal Floristas</t>
  </si>
  <si>
    <t>36.508395, -4.884335</t>
  </si>
  <si>
    <t>Avda. Ramón y Cajal, 8 - 29601 Marbella</t>
  </si>
  <si>
    <t>https://turismo.marbella.es/index.php?option=com_content&amp;view=article&amp;id=703</t>
  </si>
  <si>
    <t>17.05.007</t>
  </si>
  <si>
    <t>Cake Couture Marbella</t>
  </si>
  <si>
    <t>36.492896, -4.959461</t>
  </si>
  <si>
    <t>29660 Nueva Andalucía</t>
  </si>
  <si>
    <t>https://turismo.marbella.es/index.php?option=com_content&amp;view=article&amp;id=1871</t>
  </si>
  <si>
    <t>17.05.008</t>
  </si>
  <si>
    <t>https://turismo.marbella.es/index.php?option=com_content&amp;view=article&amp;id=1872</t>
  </si>
  <si>
    <t>17.05.009</t>
  </si>
  <si>
    <t>Confecciones Miraflores</t>
  </si>
  <si>
    <t>36.514748, -4.886515</t>
  </si>
  <si>
    <t>Avda. del Trapiche, Torre 2 29601 Marbella</t>
  </si>
  <si>
    <t>https://turismo.marbella.es/index.php?option=com_content&amp;view=article&amp;id=2213</t>
  </si>
  <si>
    <t>17.05.010</t>
  </si>
  <si>
    <t>Copicentro</t>
  </si>
  <si>
    <t>36.511213, -4.889893</t>
  </si>
  <si>
    <t>C/ Calvario, 6 29601 Marbella</t>
  </si>
  <si>
    <t>https://turismo.marbella.es/index.php?option=com_content&amp;view=article&amp;id=1099</t>
  </si>
  <si>
    <t>17.05.011</t>
  </si>
  <si>
    <t>Coral Ntra. Sra. de la Encarnación</t>
  </si>
  <si>
    <t>https://turismo.marbella.es/index.php?option=com_content&amp;view=article&amp;id=1134</t>
  </si>
  <si>
    <t>17.05.012</t>
  </si>
  <si>
    <t>Coral Polifónica Ciudad de Marbella</t>
  </si>
  <si>
    <t>https://turismo.marbella.es/index.php?option=com_content&amp;view=article&amp;id=1184</t>
  </si>
  <si>
    <t>17.05.013</t>
  </si>
  <si>
    <t>Coro Rociero Entre Pinares</t>
  </si>
  <si>
    <t>https://turismo.marbella.es/index.php?option=com_content&amp;view=article&amp;id=1220</t>
  </si>
  <si>
    <t>17.05.014</t>
  </si>
  <si>
    <t>Coro Rociero Sierra Blanca</t>
  </si>
  <si>
    <t>https://turismo.marbella.es/index.php?option=com_content&amp;view=article&amp;id=1221</t>
  </si>
  <si>
    <t>17.05.015</t>
  </si>
  <si>
    <t>Cristaflor Banús</t>
  </si>
  <si>
    <t>36.491629, -4.951374</t>
  </si>
  <si>
    <t>Avda. de las Naciones Unidas - C.C. Cristralflor Local B38 29660 Puerto Banús</t>
  </si>
  <si>
    <t>https://turismo.marbella.es/index.php?option=com_content&amp;view=article&amp;id=704</t>
  </si>
  <si>
    <t>17.05.016</t>
  </si>
  <si>
    <t>Davinia Escalona</t>
  </si>
  <si>
    <t>https://turismo.marbella.es/index.php?option=com_content&amp;view=article&amp;id=1229</t>
  </si>
  <si>
    <t>17.05.017</t>
  </si>
  <si>
    <t>Deseos Florist</t>
  </si>
  <si>
    <t>36.489988, -4.957590</t>
  </si>
  <si>
    <t>Edif. La Rotonda Local 4 Avda. Pilar Calvo s/n 29660 Nueva Andalucía</t>
  </si>
  <si>
    <t>https://turismo.marbella.es/index.php?option=com_content&amp;view=article&amp;id=705</t>
  </si>
  <si>
    <t>17.05.018</t>
  </si>
  <si>
    <t>Duo Arenal</t>
  </si>
  <si>
    <t>https://turismo.marbella.es/index.php?option=com_content&amp;view=article&amp;id=1862</t>
  </si>
  <si>
    <t>17.05.019</t>
  </si>
  <si>
    <t>El gutenberg Marbella</t>
  </si>
  <si>
    <t>36.513185, -4.868967</t>
  </si>
  <si>
    <t>C/ Hierro, 9 29602 Marbella</t>
  </si>
  <si>
    <t>https://turismo.marbella.es/index.php?option=com_content&amp;view=article&amp;id=1186</t>
  </si>
  <si>
    <t>17.05.020</t>
  </si>
  <si>
    <t>Elena Capelo Galán</t>
  </si>
  <si>
    <t>https://turismo.marbella.es/index.php?option=com_content&amp;view=article&amp;id=1231</t>
  </si>
  <si>
    <t>17.05.021</t>
  </si>
  <si>
    <t>ERIC</t>
  </si>
  <si>
    <t>36.509606, -4.912669</t>
  </si>
  <si>
    <t>Av. Bulevar Príncipe Alfonso de Hohenlohe, 267, 269 - 29602 Marbella</t>
  </si>
  <si>
    <t>https://turismo.marbella.es/index.php?option=com_content&amp;view=article&amp;id=7174</t>
  </si>
  <si>
    <t>17.05.022</t>
  </si>
  <si>
    <t>Estudio Fotográfico Dora Gomez</t>
  </si>
  <si>
    <t>36.484857, -4.988806</t>
  </si>
  <si>
    <t>Pasaje Armando, 5 29670 San Pedro Alcántara</t>
  </si>
  <si>
    <t>https://turismo.marbella.es/index.php?option=com_content&amp;view=article&amp;id=406</t>
  </si>
  <si>
    <t>17.05.023</t>
  </si>
  <si>
    <t>Floristería Almagro</t>
  </si>
  <si>
    <t>36.513703, -4.886120</t>
  </si>
  <si>
    <t>C/ Salvador Rueda, 2 29602 Marbella</t>
  </si>
  <si>
    <t>https://turismo.marbella.es/index.php?option=com_content&amp;view=article&amp;id=708</t>
  </si>
  <si>
    <t>17.05.024</t>
  </si>
  <si>
    <t>Floristería Antonio</t>
  </si>
  <si>
    <t>36.485933, -4.994825</t>
  </si>
  <si>
    <t>C/ Eduardo Evangelista, 11 29670 San Pedro Alcántara</t>
  </si>
  <si>
    <t>https://turismo.marbella.es/index.php?option=com_content&amp;view=article&amp;id=710</t>
  </si>
  <si>
    <t>17.05.025</t>
  </si>
  <si>
    <t>Floristería Dani Lima</t>
  </si>
  <si>
    <t>36.509904, -4.882531</t>
  </si>
  <si>
    <t>Avda. Nabeul Edf. Jimenez Local 3 29601 Marbella</t>
  </si>
  <si>
    <t>https://turismo.marbella.es/index.php?option=com_content&amp;view=article&amp;id=709</t>
  </si>
  <si>
    <t>17.05.026</t>
  </si>
  <si>
    <t>Floristería Susi</t>
  </si>
  <si>
    <t>C/ Los Naranjos 12 29601 Marbella</t>
  </si>
  <si>
    <t>https://turismo.marbella.es/index.php?option=com_content&amp;view=article&amp;id=711</t>
  </si>
  <si>
    <t>17.05.027</t>
  </si>
  <si>
    <t>Foto Alejandro</t>
  </si>
  <si>
    <t>36.516454, -4.879523</t>
  </si>
  <si>
    <t>Calle Serenata 21 29601 Marbella</t>
  </si>
  <si>
    <t>https://turismo.marbella.es/index.php?option=com_content&amp;view=article&amp;id=407</t>
  </si>
  <si>
    <t>17.05.028</t>
  </si>
  <si>
    <t>Foto Jaén</t>
  </si>
  <si>
    <t>36.517896, -4.890514</t>
  </si>
  <si>
    <t>Avda. Cánovas del Castillo Urb. El Cenit, 5 29601 Marbella</t>
  </si>
  <si>
    <t>https://turismo.marbella.es/index.php?option=com_content&amp;view=article&amp;id=408</t>
  </si>
  <si>
    <t>17.05.029</t>
  </si>
  <si>
    <t>Foto Marbella</t>
  </si>
  <si>
    <t>36.517162, -4.885140</t>
  </si>
  <si>
    <t>Avda. Arias de Velasco, 58 29601 Marbella</t>
  </si>
  <si>
    <t>https://turismo.marbella.es/index.php?option=com_content&amp;view=article&amp;id=409</t>
  </si>
  <si>
    <t>17.05.030</t>
  </si>
  <si>
    <t>Foto Vídeo Marbella</t>
  </si>
  <si>
    <t>36.501205, -4.978172</t>
  </si>
  <si>
    <t>Calle Torrente Ballester, 14 Local 1 29660 Nueva Andalucía</t>
  </si>
  <si>
    <t>https://turismo.marbella.es/index.php?option=com_content&amp;view=article&amp;id=412</t>
  </si>
  <si>
    <t>17.05.031</t>
  </si>
  <si>
    <t>Fotosol</t>
  </si>
  <si>
    <t>36.510295, -4.895363</t>
  </si>
  <si>
    <t>Avda. Ricardo Soriano, 45 29602 Marbella</t>
  </si>
  <si>
    <t>https://turismo.marbella.es/index.php?option=com_content&amp;view=article&amp;id=410</t>
  </si>
  <si>
    <t>17.05.032</t>
  </si>
  <si>
    <t>Fotosol San Pedro</t>
  </si>
  <si>
    <t>36.481040, -4.994526</t>
  </si>
  <si>
    <t>Avda. Virgen del Rocío, 29 29670 San Pedro Alcántara</t>
  </si>
  <si>
    <t>https://turismo.marbella.es/index.php?option=com_content&amp;view=article&amp;id=411</t>
  </si>
  <si>
    <t>17.05.033</t>
  </si>
  <si>
    <t>Francisco Alcázar</t>
  </si>
  <si>
    <t>36.487686, -4.993488</t>
  </si>
  <si>
    <t>Calle Marqués de Estella nº 16, Local 9 29670 San Pedro Alcántara</t>
  </si>
  <si>
    <t>https://turismo.marbella.es/index.php?option=com_content&amp;view=article&amp;id=413</t>
  </si>
  <si>
    <t>17.05.034</t>
  </si>
  <si>
    <t>Fredy Torra</t>
  </si>
  <si>
    <t>36.524024, -4.878424</t>
  </si>
  <si>
    <t>Urb. La Torrecilla, 19 29601 Marbella</t>
  </si>
  <si>
    <t>https://turismo.marbella.es/index.php?option=com_content&amp;view=article&amp;id=414</t>
  </si>
  <si>
    <t>17.05.035</t>
  </si>
  <si>
    <t>Goyo Full Taste Banús</t>
  </si>
  <si>
    <t>36.491243, -4.951457</t>
  </si>
  <si>
    <t>Centro Comercial Cristamar. 29660. Puerto Banús</t>
  </si>
  <si>
    <t>https://turismo.marbella.es/index.php?option=com_content&amp;view=article&amp;id=1873</t>
  </si>
  <si>
    <t>17.05.036</t>
  </si>
  <si>
    <t>Calle Alonso de Bazán, 3, 29602 Marbella</t>
  </si>
  <si>
    <t>https://turismo.marbella.es/index.php?option=com_content&amp;view=article&amp;id=1874</t>
  </si>
  <si>
    <t>17.05.037</t>
  </si>
  <si>
    <t>Graficamar</t>
  </si>
  <si>
    <t>36.511795, -4.881058</t>
  </si>
  <si>
    <t>C/ San Antonio, 8 29601 Marbella</t>
  </si>
  <si>
    <t>https://turismo.marbella.es/index.php?option=com_content&amp;view=article&amp;id=1222</t>
  </si>
  <si>
    <t>17.05.038</t>
  </si>
  <si>
    <t>Graficsol</t>
  </si>
  <si>
    <t>36.511964, -4.872178</t>
  </si>
  <si>
    <t>C/ Yunque, 4 29603 Marbella</t>
  </si>
  <si>
    <t>https://turismo.marbella.es/index.php?option=com_content&amp;view=article&amp;id=1225</t>
  </si>
  <si>
    <t>17.05.039</t>
  </si>
  <si>
    <t>Gráficas Andalucía</t>
  </si>
  <si>
    <t>36.510521, -4.879578</t>
  </si>
  <si>
    <t>Travesía Huerta de los Cristales, s/n 29602 Marbella</t>
  </si>
  <si>
    <t>https://turismo.marbella.es/index.php?option=com_content&amp;view=article&amp;id=1224</t>
  </si>
  <si>
    <t>17.05.040</t>
  </si>
  <si>
    <t>Holland Flowers Marbella</t>
  </si>
  <si>
    <t>36.508516, -4.912659</t>
  </si>
  <si>
    <t>Bulevar Príncipe Alfonso de Hohenlohe Urb. Marbellamar, Local B -2 29602 Marbella</t>
  </si>
  <si>
    <t>https://turismo.marbella.es/index.php?option=com_content&amp;view=article&amp;id=712</t>
  </si>
  <si>
    <t>17.05.041</t>
  </si>
  <si>
    <t>Imprenta Caracuel</t>
  </si>
  <si>
    <t>36.486453, -4.987740</t>
  </si>
  <si>
    <t>C/ Málaga, 9 – A 29670 San Pedro Alcántara</t>
  </si>
  <si>
    <t>https://turismo.marbella.es/index.php?option=com_content&amp;view=article&amp;id=1227</t>
  </si>
  <si>
    <t>17.05.042</t>
  </si>
  <si>
    <t>Imprenta Guadalmina</t>
  </si>
  <si>
    <t>36.479837, -5.001913</t>
  </si>
  <si>
    <t>Urb. Guadalmina Alta Edif. La Caixa Local 4 29678 San Pedro Alcántara</t>
  </si>
  <si>
    <t>https://turismo.marbella.es/index.php?option=com_content&amp;view=article&amp;id=2210</t>
  </si>
  <si>
    <t>17.05.043</t>
  </si>
  <si>
    <t>Juan Premiere</t>
  </si>
  <si>
    <t>https://turismo.marbella.es/index.php?option=com_content&amp;view=article&amp;id=1742</t>
  </si>
  <si>
    <t>17.05.044</t>
  </si>
  <si>
    <t>Julio Boca</t>
  </si>
  <si>
    <t>https://turismo.marbella.es/index.php?option=com_content&amp;view=article&amp;id=1743</t>
  </si>
  <si>
    <t>17.05.045</t>
  </si>
  <si>
    <t>Las Flores de Reding</t>
  </si>
  <si>
    <t>36.507823, -4.917506</t>
  </si>
  <si>
    <t>Bulevar Príncipe Alfonso de Hohenlohe Km. 178,5 29602 Marbella 29600 Marbella</t>
  </si>
  <si>
    <t>https://turismo.marbella.es/index.php?option=com_content&amp;view=article&amp;id=714</t>
  </si>
  <si>
    <t>17.05.046</t>
  </si>
  <si>
    <t>Le Bouquet</t>
  </si>
  <si>
    <t>36.499645, -4.978049</t>
  </si>
  <si>
    <t>C/ Quevedo, local 1, Albatros XV, Nueva Andalucía, 29660 Marbella.</t>
  </si>
  <si>
    <t>https://turismo.marbella.es/index.php?option=com_content&amp;view=article&amp;id=7881</t>
  </si>
  <si>
    <t>17.05.047</t>
  </si>
  <si>
    <t>Lola</t>
  </si>
  <si>
    <t>36.479767, -4.995220</t>
  </si>
  <si>
    <t>Avda. Virgen del Rocío, 27 Centro Comercial La Colonia 29670 San Pedro Alcántara</t>
  </si>
  <si>
    <t>https://turismo.marbella.es/index.php?option=com_content&amp;view=article&amp;id=715</t>
  </si>
  <si>
    <t>17.05.048</t>
  </si>
  <si>
    <t>Los Piratas Flamencos</t>
  </si>
  <si>
    <t>https://turismo.marbella.es/index.php?option=com_content&amp;view=article&amp;id=1867</t>
  </si>
  <si>
    <t>17.05.049</t>
  </si>
  <si>
    <t>Luis Eventos Marbella</t>
  </si>
  <si>
    <t>https://turismo.marbella.es/index.php?option=com_content&amp;view=article&amp;id=2211</t>
  </si>
  <si>
    <t>17.05.050</t>
  </si>
  <si>
    <t>Madison Estudio</t>
  </si>
  <si>
    <t>36.511348, -4.890623</t>
  </si>
  <si>
    <t>C/ Jacinto Benavente, 19 Local 5 29601 Marbella</t>
  </si>
  <si>
    <t>https://turismo.marbella.es/index.php?option=com_content&amp;view=article&amp;id=416</t>
  </si>
  <si>
    <t>17.05.051</t>
  </si>
  <si>
    <t>Marpy Fotógrafos</t>
  </si>
  <si>
    <t>36.508461, -4.885839</t>
  </si>
  <si>
    <t>Avda. del Mar 1, Local 20 29602 Marbella</t>
  </si>
  <si>
    <t>https://turismo.marbella.es/index.php?option=com_content&amp;view=article&amp;id=418</t>
  </si>
  <si>
    <t>17.05.052</t>
  </si>
  <si>
    <t>Obrador Artesana</t>
  </si>
  <si>
    <t>36.512675, -4.880466</t>
  </si>
  <si>
    <t>C/ Presbitero Juan Anaya. Local 8 y 9. 29601 Marbella</t>
  </si>
  <si>
    <t>https://turismo.marbella.es/index.php?option=com_content&amp;view=article&amp;id=4065</t>
  </si>
  <si>
    <t>17.05.053</t>
  </si>
  <si>
    <t>Obrador Escobar</t>
  </si>
  <si>
    <t>36.512312, -4.870965</t>
  </si>
  <si>
    <t>Avda. El Trapiche, Local 24. Polígono Industrial La Ermita. Calle Fragua, 47. 29600 Marbella</t>
  </si>
  <si>
    <t>https://turismo.marbella.es/index.php?option=com_content&amp;view=article&amp;id=1876</t>
  </si>
  <si>
    <t>17.05.054</t>
  </si>
  <si>
    <t>Obrador Karamelo</t>
  </si>
  <si>
    <t>36.514429, -4.877083</t>
  </si>
  <si>
    <t>Obrador Karamelo Avda. General López Domínguez, 25 A 29601 Marbella</t>
  </si>
  <si>
    <t>https://turismo.marbella.es/index.php?option=com_content&amp;view=article&amp;id=4546</t>
  </si>
  <si>
    <t>17.05.055</t>
  </si>
  <si>
    <t>Panificadora Marbella</t>
  </si>
  <si>
    <t>36.514303, -4.879573</t>
  </si>
  <si>
    <t>Calle Serenata, 11, Marbella, 29601</t>
  </si>
  <si>
    <t>https://turismo.marbella.es/index.php?option=com_content&amp;view=article&amp;id=1880</t>
  </si>
  <si>
    <t>17.05.056</t>
  </si>
  <si>
    <t>Pastelería A Punto de Caramelo</t>
  </si>
  <si>
    <t>36.515117, -4.868297</t>
  </si>
  <si>
    <t>Polígono Industrial Costa del Sol, Nave 14. 29603 Marbella</t>
  </si>
  <si>
    <t>https://turismo.marbella.es/index.php?option=com_content&amp;view=article&amp;id=4197</t>
  </si>
  <si>
    <t>17.05.057</t>
  </si>
  <si>
    <t>Pastelería Confitería Eva</t>
  </si>
  <si>
    <t>36.511991, -4.876193</t>
  </si>
  <si>
    <t>Avda. General López Domínguez, 18 .29603 Marbella</t>
  </si>
  <si>
    <t>https://turismo.marbella.es/index.php?option=com_content&amp;view=article&amp;id=1879</t>
  </si>
  <si>
    <t>17.05.058</t>
  </si>
  <si>
    <t>Pastelería Panadería Cripán</t>
  </si>
  <si>
    <t>36.509670, -4.891604</t>
  </si>
  <si>
    <t>C/Alonso de Bazán, 12.29601. Marbella</t>
  </si>
  <si>
    <t>https://turismo.marbella.es/index.php?option=com_content&amp;view=article&amp;id=1882</t>
  </si>
  <si>
    <t>17.05.059</t>
  </si>
  <si>
    <t>Pastelería Panadería Eva</t>
  </si>
  <si>
    <t>36.516643, -4.888240</t>
  </si>
  <si>
    <t>Av. Trapiche, 29601 Marbella</t>
  </si>
  <si>
    <t>https://turismo.marbella.es/index.php?option=com_content&amp;view=article&amp;id=1878</t>
  </si>
  <si>
    <t>17.05.060</t>
  </si>
  <si>
    <t>Pastelería Panificadora Cripán</t>
  </si>
  <si>
    <t>36.515212, -4.887798</t>
  </si>
  <si>
    <t>Plaza General González Badía, 8.29601 Marbella</t>
  </si>
  <si>
    <t>https://turismo.marbella.es/index.php?option=com_content&amp;view=article&amp;id=1881</t>
  </si>
  <si>
    <t>17.05.061</t>
  </si>
  <si>
    <t>Pedro Heredia</t>
  </si>
  <si>
    <t>https://turismo.marbella.es/index.php?option=com_content&amp;view=article&amp;id=1866</t>
  </si>
  <si>
    <t>17.05.062</t>
  </si>
  <si>
    <t>Pedro Navarro</t>
  </si>
  <si>
    <t>36.504217, -4.977485</t>
  </si>
  <si>
    <t>Polígono Industrial Nueva Campana, 79 29660 Nueva Andalucía</t>
  </si>
  <si>
    <t>https://turismo.marbella.es/index.php?option=com_content&amp;view=article&amp;id=716</t>
  </si>
  <si>
    <t>17.05.063</t>
  </si>
  <si>
    <t>Provocateur Roses</t>
  </si>
  <si>
    <t>36.508536, -4.883998</t>
  </si>
  <si>
    <t>Av. Ramón y Cajal, 17, 29601 Marbella.</t>
  </si>
  <si>
    <t>https://turismo.marbella.es/index.php?option=com_content&amp;view=article&amp;id=7882</t>
  </si>
  <si>
    <t>17.05.064</t>
  </si>
  <si>
    <t>Quick Print</t>
  </si>
  <si>
    <t>36.484343, -4.989206</t>
  </si>
  <si>
    <t>Avda. Marqués del Duero, 73 29670 San Pedro Alcántara</t>
  </si>
  <si>
    <t>https://turismo.marbella.es/index.php?option=com_content&amp;view=article&amp;id=1234</t>
  </si>
  <si>
    <t>17.05.065</t>
  </si>
  <si>
    <t>Raul Valencia</t>
  </si>
  <si>
    <t>https://turismo.marbella.es/index.php?option=com_content&amp;view=article&amp;id=1796</t>
  </si>
  <si>
    <t>17.05.066</t>
  </si>
  <si>
    <t>Repostería grace</t>
  </si>
  <si>
    <t>36.516561, -4.864785</t>
  </si>
  <si>
    <t>Calle Delfín, 47 29603</t>
  </si>
  <si>
    <t>https://turismo.marbella.es/index.php?option=com_content&amp;view=article&amp;id=4196</t>
  </si>
  <si>
    <t>17.05.067</t>
  </si>
  <si>
    <t>Santos &amp; Eva Novios</t>
  </si>
  <si>
    <t>36.510548, -4.896463</t>
  </si>
  <si>
    <t>Avda. Ricardo Soriano, 60 29601 Marbella</t>
  </si>
  <si>
    <t>https://turismo.marbella.es/index.php?option=com_content&amp;view=article&amp;id=1888</t>
  </si>
  <si>
    <t>17.05.068</t>
  </si>
  <si>
    <t>Sol Wedding Marbella</t>
  </si>
  <si>
    <t>36.515351, -4.918937</t>
  </si>
  <si>
    <t>Urb. Marbella Montaña 29602 Marbella</t>
  </si>
  <si>
    <t>https://turismo.marbella.es/index.php?option=com_content&amp;view=article&amp;id=420</t>
  </si>
  <si>
    <t>17.05.069</t>
  </si>
  <si>
    <t>Solera de Jerez</t>
  </si>
  <si>
    <t>https://turismo.marbella.es/index.php?option=com_content&amp;view=article&amp;id=1868</t>
  </si>
  <si>
    <t>17.05.070</t>
  </si>
  <si>
    <t>Soloflamenco</t>
  </si>
  <si>
    <t>https://turismo.marbella.es/index.php?option=com_content&amp;view=article&amp;id=2212</t>
  </si>
  <si>
    <t>17.05.071</t>
  </si>
  <si>
    <t>Sonia Garcia Quintero</t>
  </si>
  <si>
    <t>https://turismo.marbella.es/index.php?option=com_content&amp;view=article&amp;id=1811</t>
  </si>
  <si>
    <t>17.05.072</t>
  </si>
  <si>
    <t>Soprano &amp; Órgano. Dúo</t>
  </si>
  <si>
    <t>https://turismo.marbella.es/index.php?option=com_content&amp;view=article&amp;id=1812</t>
  </si>
  <si>
    <t>17.05.073</t>
  </si>
  <si>
    <t>Sunny September Photography</t>
  </si>
  <si>
    <t>36.500269, -4.937242</t>
  </si>
  <si>
    <t>Oasis Business Center Ctra. de Cádiz km 176 29602 Marbella</t>
  </si>
  <si>
    <t>https://turismo.marbella.es/index.php?option=com_content&amp;view=article&amp;id=421</t>
  </si>
  <si>
    <t>17.05.074</t>
  </si>
  <si>
    <t>The Sugar Passion</t>
  </si>
  <si>
    <t>36.516360, -4.882765</t>
  </si>
  <si>
    <t>Calle San Antonio, 47 local 5 29601</t>
  </si>
  <si>
    <t>https://turismo.marbella.es/index.php?option=com_content&amp;view=article&amp;id=4192</t>
  </si>
  <si>
    <t>17.05.075</t>
  </si>
  <si>
    <t>Tobi</t>
  </si>
  <si>
    <t>36.488677, -4.996233</t>
  </si>
  <si>
    <t>C/ Príncipe de Asturias s/n - 29670 San Pedro Alcántara</t>
  </si>
  <si>
    <t>https://turismo.marbella.es/index.php?option=com_content&amp;view=article&amp;id=717</t>
  </si>
  <si>
    <t>17.05.076</t>
  </si>
  <si>
    <t>Tony Cultura &amp; CIA</t>
  </si>
  <si>
    <t>https://turismo.marbella.es/index.php?option=com_content&amp;view=article&amp;id=6126</t>
  </si>
  <si>
    <t>17.05.077</t>
  </si>
  <si>
    <t>Unique Flowers by Roberto Silvosa</t>
  </si>
  <si>
    <t>36.497809, -4.991650</t>
  </si>
  <si>
    <t>C/ Letonia, nave 24 Polígono Industrial San Pedro Alcántara 29670 San Pedro Alcántara</t>
  </si>
  <si>
    <t>https://turismo.marbella.es/index.php?option=com_content&amp;view=article&amp;id=718</t>
  </si>
  <si>
    <t>17.05.078</t>
  </si>
  <si>
    <t>Verso libre gospel band  (Gospel)</t>
  </si>
  <si>
    <t>https://turismo.marbella.es/index.php?option=com_content&amp;view=article&amp;id=5019</t>
  </si>
  <si>
    <t>17.05.079</t>
  </si>
  <si>
    <t>Virginia González Boutique</t>
  </si>
  <si>
    <t>36.504124, -4.980939</t>
  </si>
  <si>
    <t>Centro Comercial El Corte Inglés C/ Ramón Areces s/n - 29660 Puerto Banús</t>
  </si>
  <si>
    <t>https://turismo.marbella.es/index.php?option=com_content&amp;view=article&amp;id=4787</t>
  </si>
  <si>
    <t>17.05.080</t>
  </si>
  <si>
    <t>Vámonos de Boda</t>
  </si>
  <si>
    <t>36.512272, -4.881290</t>
  </si>
  <si>
    <t>C/ Alba, 11 29601 Marbella</t>
  </si>
  <si>
    <t>https://turismo.marbella.es/index.php?option=com_content&amp;view=article&amp;id=1890</t>
  </si>
  <si>
    <t>17.06</t>
  </si>
  <si>
    <t>Servicios de alquiler</t>
  </si>
  <si>
    <t>Alquiler de mobiliario y decoración.</t>
  </si>
  <si>
    <t>https://turismo.marbella.es/servicios/marbella-de-boda/servicios-de-alquiler.html</t>
  </si>
  <si>
    <t>17.06.001</t>
  </si>
  <si>
    <t>Collections by Pedro Navarro</t>
  </si>
  <si>
    <t>36.504202, -4.977494</t>
  </si>
  <si>
    <t>Polígono Industrial Nueva Campana, 79 - 29660 Nueva Andalucía</t>
  </si>
  <si>
    <t>https://turismo.marbella.es/index.php?option=com_content&amp;view=article&amp;id=1010</t>
  </si>
  <si>
    <t>17.06.002</t>
  </si>
  <si>
    <t>Lemonface Deco</t>
  </si>
  <si>
    <t>36.499855, -4.974392</t>
  </si>
  <si>
    <t>Av. Gustavo Adolfo Bécquer, 16, Nueva Andalucía, 29660 Marbella</t>
  </si>
  <si>
    <t>https://turismo.marbella.es/index.php?option=com_content&amp;view=article&amp;id=7090</t>
  </si>
  <si>
    <t>17.06.003</t>
  </si>
  <si>
    <t>Noe Rent &amp; Events</t>
  </si>
  <si>
    <t>36.512279, -4.868534</t>
  </si>
  <si>
    <t>Polígono Industrial La Ermita C/ Mercurio, 8 29603 Marbella</t>
  </si>
  <si>
    <t>https://turismo.marbella.es/index.php?option=com_content&amp;view=article&amp;id=1011</t>
  </si>
  <si>
    <t>17.06.004</t>
  </si>
  <si>
    <t>Party People Marbella</t>
  </si>
  <si>
    <t>36.504067, -4.980657</t>
  </si>
  <si>
    <t>Nave 73, Poligono Nuevo, La Campana, Marbella.</t>
  </si>
  <si>
    <t>https://turismo.marbella.es/index.php?option=com_content&amp;view=article&amp;id=7866</t>
  </si>
  <si>
    <t>17.06.005</t>
  </si>
  <si>
    <t>Sur Eventos</t>
  </si>
  <si>
    <t>C/ Miguel Ángel Catalán Sañudo, local 10, 29603 Marbella.</t>
  </si>
  <si>
    <t>https://turismo.marbella.es/index.php?option=com_content&amp;view=article&amp;id=7867</t>
  </si>
  <si>
    <t>18</t>
  </si>
  <si>
    <t>Congresos y empresas</t>
  </si>
  <si>
    <t>Congresos y eventos (MICE) y empresas turísticas.</t>
  </si>
  <si>
    <t>https://turismo.marbella.es/area-profesional/mice-congresos-y-eventos.html</t>
  </si>
  <si>
    <t>18.01</t>
  </si>
  <si>
    <t>Recintos para congresos y eventos</t>
  </si>
  <si>
    <t>Palacio de Congresos y Exposiciones y Marbella Arena.</t>
  </si>
  <si>
    <t>https://turismo.marbella.es/area-profesional/mice-congresos-y-eventos/marbella-arena.html
https://turismo.marbella.es/area-profesional/mice-congresos-y-eventos/palacio-de-congresos-y-exposiciones.html</t>
  </si>
  <si>
    <t>18.01.001</t>
  </si>
  <si>
    <t>Marbella Arena</t>
  </si>
  <si>
    <t>36.492165, -4.959264</t>
  </si>
  <si>
    <t>https://turismo.marbella.es/area-profesional/mice-congresos-y-eventos/marbella-arena.html</t>
  </si>
  <si>
    <t>18.01.002</t>
  </si>
  <si>
    <t>Palacio de Congresos y Exposiciones</t>
  </si>
  <si>
    <t>36.509760, -4.902145</t>
  </si>
  <si>
    <t>https://turismo.marbella.es/area-profesional/mice-congresos-y-eventos/palacio-de-congresos-y-exposiciones.html</t>
  </si>
  <si>
    <t>18.02</t>
  </si>
  <si>
    <t>Centros de negocios</t>
  </si>
  <si>
    <t>Centros de negocios y coworking.</t>
  </si>
  <si>
    <t>https://turismo.marbella.es/area-profesional/mice-congresos-y-eventos/centros-de-negocios.html</t>
  </si>
  <si>
    <t>18.02.001</t>
  </si>
  <si>
    <t>Andalucia Lab</t>
  </si>
  <si>
    <t>36.499689, -4.796321</t>
  </si>
  <si>
    <t>N-340, Km 189, 6, 29604 Marbella</t>
  </si>
  <si>
    <t>https://turismo.marbella.es/index.php?option=com_content&amp;view=article&amp;id=4759</t>
  </si>
  <si>
    <t>18.02.002</t>
  </si>
  <si>
    <t>Centro House Coworking</t>
  </si>
  <si>
    <t>36.492532, -4.960617</t>
  </si>
  <si>
    <t>C/ Las Azaleas, 51, 29660 Marbella</t>
  </si>
  <si>
    <t>https://turismo.marbella.es/index.php?option=com_content&amp;view=article&amp;id=4466</t>
  </si>
  <si>
    <t>18.02.003</t>
  </si>
  <si>
    <t>CNC Centro de Negocios</t>
  </si>
  <si>
    <t>Avenida Virgen del Rocío, s/n. 29670 San Pedro Alcántara</t>
  </si>
  <si>
    <t>https://turismo.marbella.es/index.php?option=com_content&amp;view=article&amp;id=7792</t>
  </si>
  <si>
    <t>18.02.004</t>
  </si>
  <si>
    <t>Esperanza 11 | coworking san pedro</t>
  </si>
  <si>
    <t>36.490938, -4.987918</t>
  </si>
  <si>
    <t>C/ Esperanza, 1129670 San Pedro Alcántara.</t>
  </si>
  <si>
    <t>https://turismo.marbella.es/index.php?option=com_content&amp;view=article&amp;id=5439</t>
  </si>
  <si>
    <t>18.02.005</t>
  </si>
  <si>
    <t>HQ Marbella-Costa</t>
  </si>
  <si>
    <t>36.510557, -4.899565</t>
  </si>
  <si>
    <t>Avda. Ricardo Soriano, 72 Edificio Golden</t>
  </si>
  <si>
    <t>https://turismo.marbella.es/index.php?option=com_content&amp;view=article&amp;id=109</t>
  </si>
  <si>
    <t>18.02.006</t>
  </si>
  <si>
    <t>La Nave 10</t>
  </si>
  <si>
    <t>36.508704, -4.869318</t>
  </si>
  <si>
    <t>C/ Miguel Angel Catalán Sañudo, Local 10, 29603 Marbella</t>
  </si>
  <si>
    <t>https://turismo.marbella.es/index.php?option=com_content&amp;view=article&amp;id=5002</t>
  </si>
  <si>
    <t>18.02.007</t>
  </si>
  <si>
    <t>MarbellUp</t>
  </si>
  <si>
    <t>36.520648, -4.892196</t>
  </si>
  <si>
    <t>C/ Padre Paco Ostos s/n - 29602 Marbella</t>
  </si>
  <si>
    <t>https://turismo.marbella.es/index.php?option=com_content&amp;view=article&amp;id=7341</t>
  </si>
  <si>
    <t>18.02.008</t>
  </si>
  <si>
    <t>Melior Vasari Centro de Negocios</t>
  </si>
  <si>
    <t>36.495898, -4.952271</t>
  </si>
  <si>
    <t>Urb. La Alzambra, 3-1, Puerto Banús</t>
  </si>
  <si>
    <t>https://turismo.marbella.es/index.php?option=com_content&amp;view=article&amp;id=107</t>
  </si>
  <si>
    <t>18.02.009</t>
  </si>
  <si>
    <t>Our Space Marbella Coworking</t>
  </si>
  <si>
    <t>36.500423, -4.937440</t>
  </si>
  <si>
    <t>C.C. Oasis Business Center, local 9, N-340 km 176</t>
  </si>
  <si>
    <t>https://turismo.marbella.es/index.php?option=com_content&amp;view=article&amp;id=4761</t>
  </si>
  <si>
    <t>18.02.010</t>
  </si>
  <si>
    <t>Randstad</t>
  </si>
  <si>
    <t>36.508696, -4.886930</t>
  </si>
  <si>
    <t>Avda. Miguel Cano, 6. 1ª planta. Local 21.</t>
  </si>
  <si>
    <t>https://turismo.marbella.es/index.php?option=com_content&amp;view=article&amp;id=108</t>
  </si>
  <si>
    <t>18.02.011</t>
  </si>
  <si>
    <t>RS Workspace</t>
  </si>
  <si>
    <t>36.510375, -4.888854</t>
  </si>
  <si>
    <t>Avenida Ricardo Soriano 22 Edificio Sabadell, 2-1 29601 Marbella</t>
  </si>
  <si>
    <t>https://turismo.marbella.es/index.php?option=com_content&amp;view=article&amp;id=5004</t>
  </si>
  <si>
    <t>18.02.012</t>
  </si>
  <si>
    <t>The Pool</t>
  </si>
  <si>
    <t>36.512516, -4.903225</t>
  </si>
  <si>
    <t>Av. Bulevar Príncipe Alfonso de Hohenlohe 2, 1ª 29600 Marbella.</t>
  </si>
  <si>
    <t>https://turismo.marbella.es/index.php?option=com_content&amp;view=article&amp;id=5474</t>
  </si>
  <si>
    <t>18.02.013</t>
  </si>
  <si>
    <t>Vivero de empresas</t>
  </si>
  <si>
    <t>36.510381, -4.885179</t>
  </si>
  <si>
    <t>Pl. de los Naranjos, 3, 29601 Marbella.</t>
  </si>
  <si>
    <t>https://turismo.marbella.es/index.php?option=com_content&amp;view=article&amp;id=5672</t>
  </si>
  <si>
    <t>18.02.014</t>
  </si>
  <si>
    <t>Work Café Banco Santander</t>
  </si>
  <si>
    <t>36.510623, -4.889917</t>
  </si>
  <si>
    <t>Av. Ricardo Soriano, 23, 29600 Marbella</t>
  </si>
  <si>
    <t>https://turismo.marbella.es/index.php?option=com_content&amp;view=article&amp;id=6696</t>
  </si>
  <si>
    <t>18.03</t>
  </si>
  <si>
    <t>Traductores</t>
  </si>
  <si>
    <t>Traductores e intérpretes.</t>
  </si>
  <si>
    <t>https://turismo.marbella.es/area-profesional/mice-congresos-y-eventos/traductores.html</t>
  </si>
  <si>
    <t>18.03.001</t>
  </si>
  <si>
    <t>Adolfo Molina</t>
  </si>
  <si>
    <t>36.507976, -4.882031</t>
  </si>
  <si>
    <t>C/ Llanos de San Ramón, 1 – Apto.110 29603 Marbella</t>
  </si>
  <si>
    <t>https://turismo.marbella.es/index.php?option=com_content&amp;view=article&amp;id=165</t>
  </si>
  <si>
    <t>18.03.002</t>
  </si>
  <si>
    <t>BTC365</t>
  </si>
  <si>
    <t>36.509687, -4.890335</t>
  </si>
  <si>
    <t>Alonso de Bazán 8, 5-38 29601 Marbella</t>
  </si>
  <si>
    <t>https://turismo.marbella.es/index.php?option=com_content&amp;view=article&amp;id=291</t>
  </si>
  <si>
    <t>18.03.003</t>
  </si>
  <si>
    <t>Cristina Esteban</t>
  </si>
  <si>
    <t>https://turismo.marbella.es/index.php?option=com_content&amp;view=article&amp;id=7700</t>
  </si>
  <si>
    <t>18.03.004</t>
  </si>
  <si>
    <t>Cristina Sancho - Traductor Jurado</t>
  </si>
  <si>
    <t>https://turismo.marbella.es/index.php?option=com_content&amp;view=article&amp;id=4833</t>
  </si>
  <si>
    <t>18.03.005</t>
  </si>
  <si>
    <t>Gabriela Berner</t>
  </si>
  <si>
    <t>https://turismo.marbella.es/index.php?option=com_content&amp;view=article&amp;id=292</t>
  </si>
  <si>
    <t>18.03.006</t>
  </si>
  <si>
    <t>Jolesine Bougain</t>
  </si>
  <si>
    <t>36.511226, -4.893642</t>
  </si>
  <si>
    <t>C/ Jacinto Benavente, s/n 29602 Marbella</t>
  </si>
  <si>
    <t>https://turismo.marbella.es/index.php?option=com_content&amp;view=article&amp;id=166</t>
  </si>
  <si>
    <t>18.03.007</t>
  </si>
  <si>
    <t>Marbella Translators</t>
  </si>
  <si>
    <t>36.519725, -4.908408</t>
  </si>
  <si>
    <t>Urb. Altos Reales B Calle 3 Casa Celeste 29602 Marbella</t>
  </si>
  <si>
    <t>https://turismo.marbella.es/index.php?option=com_content&amp;view=article&amp;id=177</t>
  </si>
  <si>
    <t>18.03.008</t>
  </si>
  <si>
    <t>Monterosa</t>
  </si>
  <si>
    <t>36.509432, -4.890715</t>
  </si>
  <si>
    <t>C/ Ntra. de Gracia, 7 - 3º C 29602 Marbella</t>
  </si>
  <si>
    <t>https://turismo.marbella.es/index.php?option=com_content&amp;view=article&amp;id=173</t>
  </si>
  <si>
    <t>18.03.009</t>
  </si>
  <si>
    <t>Ouliana Novikova Neva</t>
  </si>
  <si>
    <t>https://turismo.marbella.es/index.php?option=com_content&amp;view=article&amp;id=298</t>
  </si>
  <si>
    <t>18.03.010</t>
  </si>
  <si>
    <t>Remedios Venegas - Marbella Trad</t>
  </si>
  <si>
    <t>36.510737, -4.895169</t>
  </si>
  <si>
    <t>Avda. Ricardo Soriano, 56 – 1, 4º A 29602 Marbella</t>
  </si>
  <si>
    <t>https://turismo.marbella.es/index.php?option=com_content&amp;view=article&amp;id=171</t>
  </si>
  <si>
    <t>18.03.011</t>
  </si>
  <si>
    <t>Traducciones San Pedro</t>
  </si>
  <si>
    <t>36.485656, -4.989250</t>
  </si>
  <si>
    <t>C/ Pizarro, 18. 29670 San Pedro Alcántara</t>
  </si>
  <si>
    <t>https://turismo.marbella.es/index.php?option=com_content&amp;view=article&amp;id=181</t>
  </si>
  <si>
    <t>18.03.012</t>
  </si>
  <si>
    <t>Traducción Jurídica y Financiera</t>
  </si>
  <si>
    <t>36.505974, -4.942362</t>
  </si>
  <si>
    <t>Carretera de Istan s/n (Oasis de Marbella) Edificio 14 – 2º C. 29602 Marbella</t>
  </si>
  <si>
    <t>https://turismo.marbella.es/index.php?option=com_content&amp;view=article&amp;id=180</t>
  </si>
  <si>
    <t>18.03.013</t>
  </si>
  <si>
    <t>Traductores Jurados Itrad</t>
  </si>
  <si>
    <t>36.510593, -4.899698</t>
  </si>
  <si>
    <t>Av. Ricardo Soriano, 72, 29601 Marbella</t>
  </si>
  <si>
    <t>https://turismo.marbella.es/index.php?option=com_content&amp;view=article&amp;id=303</t>
  </si>
  <si>
    <t>18.03.014</t>
  </si>
  <si>
    <t>Translations Network</t>
  </si>
  <si>
    <t>36.509863, -4.897260</t>
  </si>
  <si>
    <t>Avda. Ramón Gómez de la Serna,8 29602 Marbella</t>
  </si>
  <si>
    <t>https://turismo.marbella.es/index.php?option=com_content&amp;view=article&amp;id=185</t>
  </si>
  <si>
    <t>18.03.015</t>
  </si>
  <si>
    <t>Tys Traducciones</t>
  </si>
  <si>
    <t>36.510661, -4.875136</t>
  </si>
  <si>
    <t>Avda. General López Domínguez, nº 5. Edif. Bruselas, 37 29603 Marbella</t>
  </si>
  <si>
    <t>https://turismo.marbella.es/index.php?option=com_content&amp;view=article&amp;id=187</t>
  </si>
  <si>
    <t>18.03.016</t>
  </si>
  <si>
    <t>Yvone Vidal</t>
  </si>
  <si>
    <t>36.493210, -4.960800</t>
  </si>
  <si>
    <t>Avda. Manolete s/n Conjunto Casaño Portal 7 3º B. 29660 Nueva Andalucía.</t>
  </si>
  <si>
    <t>https://turismo.marbella.es/index.php?option=com_content&amp;view=article&amp;id=176</t>
  </si>
  <si>
    <t>18.04</t>
  </si>
  <si>
    <t>Azafatas</t>
  </si>
  <si>
    <t>Agencias de azafatas.</t>
  </si>
  <si>
    <t>https://turismo.marbella.es/area-profesional/mice-congresos-y-eventos/azafatas.html</t>
  </si>
  <si>
    <t>18.04.001</t>
  </si>
  <si>
    <t>A10 Azafatas Marbella</t>
  </si>
  <si>
    <t>36.483425, -4.988175</t>
  </si>
  <si>
    <t>Calle Jaén, 3 C.P. 29670 San Pedro de Alcántara</t>
  </si>
  <si>
    <t>https://turismo.marbella.es/index.php?option=com_content&amp;view=article&amp;id=7302</t>
  </si>
  <si>
    <t>18.04.002</t>
  </si>
  <si>
    <t>Casting Marbella</t>
  </si>
  <si>
    <t>36.514865, -4.906902</t>
  </si>
  <si>
    <t>Plaza Primavera, 3 Urb. La Virginia - 29602 Marbella</t>
  </si>
  <si>
    <t>https://turismo.marbella.es/index.php?option=com_content&amp;view=article&amp;id=676</t>
  </si>
  <si>
    <t>18.05</t>
  </si>
  <si>
    <t>Agencias de eventos</t>
  </si>
  <si>
    <t>Agencias receptivas de eventos (DMC).</t>
  </si>
  <si>
    <t>https://turismo.marbella.es/area-profesional/mice-congresos-y-eventos/dmc-s.html</t>
  </si>
  <si>
    <t>18.05.001</t>
  </si>
  <si>
    <t>https://turismo.marbella.es/index.php?option=com_content&amp;view=article&amp;id=6814</t>
  </si>
  <si>
    <t>18.05.002</t>
  </si>
  <si>
    <t>Macnaa Group</t>
  </si>
  <si>
    <t>36.510825, -4.888550</t>
  </si>
  <si>
    <t>C/ Juan Ramón Jiménez, bajo 6 29601 Marbella</t>
  </si>
  <si>
    <t>https://turismo.marbella.es/index.php?option=com_content&amp;view=article&amp;id=6815</t>
  </si>
  <si>
    <t>18.05.003</t>
  </si>
  <si>
    <t>Maximice Events Group</t>
  </si>
  <si>
    <t>36.510969, -4.899654</t>
  </si>
  <si>
    <t>Avda. Ricardo Soriano, 72, portal B, planta 1. 29601 Marbella</t>
  </si>
  <si>
    <t>https://turismo.marbella.es/index.php?option=com_content&amp;view=article&amp;id=6816</t>
  </si>
  <si>
    <t>18.05.004</t>
  </si>
  <si>
    <t>Neokconcepts</t>
  </si>
  <si>
    <t>36.490247, -4.737920</t>
  </si>
  <si>
    <t>Urb. Las Mimosas Golf Cabopino F2, 1, 1D 29604 Marbella</t>
  </si>
  <si>
    <t>https://turismo.marbella.es/index.php?option=com_content&amp;view=article&amp;id=6817</t>
  </si>
  <si>
    <t>18.06</t>
  </si>
  <si>
    <t>Empresas turísticas</t>
  </si>
  <si>
    <t>Asociaciones turísticas y turoperadores.</t>
  </si>
  <si>
    <t>https://turismo.marbella.es/area-profesional/empresas-turisticas.html</t>
  </si>
  <si>
    <t>18.06.001</t>
  </si>
  <si>
    <t>ABE</t>
  </si>
  <si>
    <t>36.628304, -4.500073</t>
  </si>
  <si>
    <t>Asociaciones C/ Rio Mesa, 12. 29620 Torremolinos</t>
  </si>
  <si>
    <t>https://turismo.marbella.es/index.php?option=com_content&amp;view=article&amp;id=2217</t>
  </si>
  <si>
    <t>18.06.002</t>
  </si>
  <si>
    <t>Acoprocamar</t>
  </si>
  <si>
    <t>36.512701, -4.885613</t>
  </si>
  <si>
    <t>Asociaciones C/ Bermeja, 20. 29601 Marbella</t>
  </si>
  <si>
    <t>https://turismo.marbella.es/index.php?option=com_content&amp;view=article&amp;id=2298</t>
  </si>
  <si>
    <t>18.06.003</t>
  </si>
  <si>
    <t>Aedav Andalucia</t>
  </si>
  <si>
    <t>36.617690, -4.500166</t>
  </si>
  <si>
    <t>Asociaciones Plaza Cantabria. Edif Castillo San Luis, local 10. 29620 Torremolinos</t>
  </si>
  <si>
    <t>https://turismo.marbella.es/index.php?option=com_content&amp;view=article&amp;id=2215</t>
  </si>
  <si>
    <t>18.06.004</t>
  </si>
  <si>
    <t>Aehcos</t>
  </si>
  <si>
    <t>36.625113, -4.501416</t>
  </si>
  <si>
    <t>Asociaciones C/Río Salazar, 6. Torre III, 3ª planta. 29620 Torremolinos</t>
  </si>
  <si>
    <t>https://turismo.marbella.es/index.php?option=com_content&amp;view=article&amp;id=2216</t>
  </si>
  <si>
    <t>18.06.005</t>
  </si>
  <si>
    <t>Asociación de Cocineros y Pasteleros de Marbella</t>
  </si>
  <si>
    <t>36.515555, -4.884406</t>
  </si>
  <si>
    <t>Asociaciones Parque Arroyo de la Represa s/n. 29600 Marbella</t>
  </si>
  <si>
    <t>https://turismo.marbella.es/index.php?option=com_content&amp;view=article&amp;id=2293</t>
  </si>
  <si>
    <t>18.06.006</t>
  </si>
  <si>
    <t>Asociación plataforma comerciantes y hosteleros de Marbella</t>
  </si>
  <si>
    <t>36.508104, -4.887487</t>
  </si>
  <si>
    <t>Asociaciones Av. Antonio Belón, 4 29602 Marbella</t>
  </si>
  <si>
    <t>https://turismo.marbella.es/index.php?option=com_content&amp;view=article&amp;id=6896</t>
  </si>
  <si>
    <t>18.06.007</t>
  </si>
  <si>
    <t>Atumarcos</t>
  </si>
  <si>
    <t>36.721055, -4.422861</t>
  </si>
  <si>
    <t>Asociaciones C/ Salvago 3, 1º izq. 29005 Málaga</t>
  </si>
  <si>
    <t>https://turismo.marbella.es/index.php?option=com_content&amp;view=article&amp;id=2299</t>
  </si>
  <si>
    <t>18.06.008</t>
  </si>
  <si>
    <t>AVVA</t>
  </si>
  <si>
    <t>36.721068, -4.412335</t>
  </si>
  <si>
    <t>Asociaciones Paseo de Reding 3, planta baja. 29016 Málaga</t>
  </si>
  <si>
    <t>https://turismo.marbella.es/index.php?option=com_content&amp;view=article&amp;id=2301</t>
  </si>
  <si>
    <t>18.06.009</t>
  </si>
  <si>
    <t>AVVA Asociación profesionales viviendas turísticas Andalucía</t>
  </si>
  <si>
    <t>36.721126, -4.412286</t>
  </si>
  <si>
    <t>Asociaciones Paseo de Reding 3, planta baja 29016 Málaga</t>
  </si>
  <si>
    <t>https://turismo.marbella.es/index.php?option=com_content&amp;view=article&amp;id=7861</t>
  </si>
  <si>
    <t>18.06.010</t>
  </si>
  <si>
    <t>BRAVO TOURS</t>
  </si>
  <si>
    <t>36.643637, -4.491629</t>
  </si>
  <si>
    <t>Turoperadores Terminal T3, Planta 0, Sala de recogida de equipaje. Aeropuerto de Málaga. Central: Av. Manuel Fraga Iribarne, 25 29620 Torremolinos</t>
  </si>
  <si>
    <t>https://turismo.marbella.es/index.php?option=com_content&amp;view=article&amp;id=6904</t>
  </si>
  <si>
    <t>18.06.011</t>
  </si>
  <si>
    <t>CIT</t>
  </si>
  <si>
    <t>36.509484, -4.903063</t>
  </si>
  <si>
    <t>Asociaciones C/ Roy Boston s/n. 29602 Marbella</t>
  </si>
  <si>
    <t>https://turismo.marbella.es/index.php?option=com_content&amp;view=article&amp;id=2315</t>
  </si>
  <si>
    <t>18.06.012</t>
  </si>
  <si>
    <t>EXCELTUR</t>
  </si>
  <si>
    <t>Asociaciones C/ Antonio Maura, 16, 4º izq. 28014 Madrid</t>
  </si>
  <si>
    <t>https://turismo.marbella.es/index.php?option=com_content&amp;view=article&amp;id=2316</t>
  </si>
  <si>
    <t>18.06.013</t>
  </si>
  <si>
    <t>FASYDE</t>
  </si>
  <si>
    <t>36.719010, -4.421743</t>
  </si>
  <si>
    <t>Asociaciones Marqués de Larios 10, 1ºC. 29005 Málaga</t>
  </si>
  <si>
    <t>https://turismo.marbella.es/index.php?option=com_content&amp;view=article&amp;id=2314</t>
  </si>
  <si>
    <t>18.06.014</t>
  </si>
  <si>
    <t>FAURT</t>
  </si>
  <si>
    <t>36.475601, -5.053374</t>
  </si>
  <si>
    <t>Asociaciones Hotel Villapadierna 29679 Benahavís. Málaga</t>
  </si>
  <si>
    <t>https://turismo.marbella.es/index.php?option=com_content&amp;view=article&amp;id=2319</t>
  </si>
  <si>
    <t>18.06.015</t>
  </si>
  <si>
    <t>GRUPO AVORIS</t>
  </si>
  <si>
    <t>36.631769, -4.504879</t>
  </si>
  <si>
    <t>Turoperadores Palacio Congresos C/ México 3, 2ª Planta 29620 Torremolinos</t>
  </si>
  <si>
    <t>https://turismo.marbella.es/index.php?option=com_content&amp;view=article&amp;id=6912</t>
  </si>
  <si>
    <t>18.06.016</t>
  </si>
  <si>
    <t>GRUPO OPENTOURS</t>
  </si>
  <si>
    <t>36.631077, -4.498858</t>
  </si>
  <si>
    <t>Turoperadores C/ de la Cruz, 26. 1º planta 29620 Torremolinos</t>
  </si>
  <si>
    <t>https://turismo.marbella.es/index.php?option=com_content&amp;view=article&amp;id=6909</t>
  </si>
  <si>
    <t>18.06.017</t>
  </si>
  <si>
    <t>JUMBO TOURS</t>
  </si>
  <si>
    <t>36.618800, -4.500029</t>
  </si>
  <si>
    <t>Turoperadores C/ Rincón Dorado nº1. Edf. Torrehermosa, 3ª Planta 29620 Torremolinos</t>
  </si>
  <si>
    <t>https://turismo.marbella.es/index.php?option=com_content&amp;view=article&amp;id=6906</t>
  </si>
  <si>
    <t>18.06.018</t>
  </si>
  <si>
    <t>Llaves de Oro Españolas</t>
  </si>
  <si>
    <t>36.506735, -4.919095</t>
  </si>
  <si>
    <t>Asociaciones Hotel Marbella Club. Avda. Bulevar Príncipe Alfonso de Hohenlohe s/n. 29602 Marbella</t>
  </si>
  <si>
    <t>https://turismo.marbella.es/index.php?option=com_content&amp;view=article&amp;id=2360</t>
  </si>
  <si>
    <t>18.06.019</t>
  </si>
  <si>
    <t>MAHOS</t>
  </si>
  <si>
    <t>36.718532, -4.420899</t>
  </si>
  <si>
    <t>Asociaciones Plaza de la Marina 2, 5ºD. 29015 Málaga</t>
  </si>
  <si>
    <t>https://turismo.marbella.es/index.php?option=com_content&amp;view=article&amp;id=2361</t>
  </si>
  <si>
    <t>18.06.020</t>
  </si>
  <si>
    <t>MUNDO SENIOR</t>
  </si>
  <si>
    <t>Turoperadores Terminal T2, Planta 1, vestíbulo de salidas. Aeropuerto de Málaga</t>
  </si>
  <si>
    <t>https://turismo.marbella.es/index.php?option=com_content&amp;view=article&amp;id=6907</t>
  </si>
  <si>
    <t>18.06.021</t>
  </si>
  <si>
    <t>PAT</t>
  </si>
  <si>
    <t>Asociaciones Gran Vía 4, 28013 Madrid</t>
  </si>
  <si>
    <t>https://turismo.marbella.es/index.php?option=com_content&amp;view=article&amp;id=2310</t>
  </si>
  <si>
    <t>18.06.022</t>
  </si>
  <si>
    <t>Rotary Club Marbella</t>
  </si>
  <si>
    <t>36.503810, -4.925754</t>
  </si>
  <si>
    <t>Asociaciones Hotel Puente Romano. Bulevar Príncipe de Hohenlohe s/n. 29602 Marbella</t>
  </si>
  <si>
    <t>https://turismo.marbella.es/index.php?option=com_content&amp;view=article&amp;id=2362</t>
  </si>
  <si>
    <t>18.06.023</t>
  </si>
  <si>
    <t>Rotary Club San Pedro Alcántara</t>
  </si>
  <si>
    <t>36.505512, -4.976023</t>
  </si>
  <si>
    <t>Asociaciones C/ Calderón de la Barca s/n. 29660 Nueva Andalucía</t>
  </si>
  <si>
    <t>https://turismo.marbella.es/index.php?option=com_content&amp;view=article&amp;id=2363</t>
  </si>
  <si>
    <t>18.06.024</t>
  </si>
  <si>
    <t>Sabor a Málaga</t>
  </si>
  <si>
    <t>36.689536, -4.444028</t>
  </si>
  <si>
    <t>Asociaciones Diputación de Málaga. C/ Pacífico, 54. 29004 Málaga</t>
  </si>
  <si>
    <t>https://turismo.marbella.es/index.php?option=com_content&amp;view=article&amp;id=2365</t>
  </si>
  <si>
    <t>18.06.025</t>
  </si>
  <si>
    <t>SIDETOURS INCOMING SERVICE  ANDALUCIA</t>
  </si>
  <si>
    <t>36.540130, -4.633493</t>
  </si>
  <si>
    <t>Turoperadores C/ San Bernardo, 6 29651 Las Lagunas, Mijas</t>
  </si>
  <si>
    <t>https://turismo.marbella.es/index.php?option=com_content&amp;view=article&amp;id=6908</t>
  </si>
  <si>
    <t>18.06.026</t>
  </si>
  <si>
    <t>Skal Internacional Málaga-Costa del Sol</t>
  </si>
  <si>
    <t>36.622414, -4.499912</t>
  </si>
  <si>
    <t>Asociaciones Avda. Palma de Mallorca, 15, 1º. 29002 Málaga</t>
  </si>
  <si>
    <t>https://turismo.marbella.es/index.php?option=com_content&amp;view=article&amp;id=2364</t>
  </si>
  <si>
    <t>18.06.027</t>
  </si>
  <si>
    <t>The Leading Property Agents of Spain LPA</t>
  </si>
  <si>
    <t>36.507421, -4.883279</t>
  </si>
  <si>
    <t>Asociaciones Avenida Duque de Ahumada, 2 , Edificio Marbell Center. 29601 Marbella</t>
  </si>
  <si>
    <t>https://turismo.marbella.es/index.php?option=com_content&amp;view=article&amp;id=2727</t>
  </si>
  <si>
    <t>18.06.028</t>
  </si>
  <si>
    <t>TUI</t>
  </si>
  <si>
    <t>36.642571, -4.493425</t>
  </si>
  <si>
    <t>Turoperadores Avd. Manuel Fraga Iribarne, 15 Of. 5-14 29620 Torremolinos</t>
  </si>
  <si>
    <t>https://turismo.marbella.es/index.php?option=com_content&amp;view=article&amp;id=6905</t>
  </si>
  <si>
    <t>18.06.029</t>
  </si>
  <si>
    <t>Turismo y Planificación Costa del Sol S.L.U.</t>
  </si>
  <si>
    <t>36.718683, -4.420158</t>
  </si>
  <si>
    <t>Asociaciones Plaza de la Marina, 4. 29015 Málaga</t>
  </si>
  <si>
    <t>https://turismo.marbella.es/index.php?option=com_content&amp;view=article&amp;id=2366</t>
  </si>
  <si>
    <t>18.06.030</t>
  </si>
  <si>
    <t>VIAJES EUROAMERICA</t>
  </si>
  <si>
    <t>36.605392, -4.511093</t>
  </si>
  <si>
    <t>Turoperadores Avd. Carlota Alessandri, 110 29620 Torremolinos</t>
  </si>
  <si>
    <t>https://turismo.marbella.es/index.php?option=com_content&amp;view=article&amp;id=6910</t>
  </si>
  <si>
    <t>18.06.031</t>
  </si>
  <si>
    <t>VIAJES RUSADIR</t>
  </si>
  <si>
    <t>Turoperadores Terminal T3, Planta 0, Sala de recogida de equipaje. Stand 7 Aeropuerto de Málaga</t>
  </si>
  <si>
    <t>https://turismo.marbella.es/index.php?option=com_content&amp;view=article&amp;id=6911</t>
  </si>
  <si>
    <t>19</t>
  </si>
  <si>
    <t>Información práctica</t>
  </si>
  <si>
    <t>Aparcamiento, movilidad, contactos de interés y otros servicios.</t>
  </si>
  <si>
    <t>https://turismo.marbella.es/descubre/aparcamiento.html</t>
  </si>
  <si>
    <t>19.01</t>
  </si>
  <si>
    <t>Aparcamientos</t>
  </si>
  <si>
    <t>Aparcamientos públicos, de centros comerciales y de playa, y zona azul.</t>
  </si>
  <si>
    <t>19.01.001</t>
  </si>
  <si>
    <t>Alanda Marbella Hotel Parking</t>
  </si>
  <si>
    <t>36.504481, -4.926003</t>
  </si>
  <si>
    <t>https://turismo.marbella.es/descubre/aparcamiento/alanda-marbella-hotel-2.html</t>
  </si>
  <si>
    <t>19.01.002</t>
  </si>
  <si>
    <t>Amistad Aparcamiento</t>
  </si>
  <si>
    <t>36.489703, -4.986196</t>
  </si>
  <si>
    <t>https://turismo.marbella.es/descubre/aparcamiento/amistad-aparcamiento.html</t>
  </si>
  <si>
    <t>19.01.003</t>
  </si>
  <si>
    <t>Amàre Hotel Parking</t>
  </si>
  <si>
    <t>36.508248, -4.881197</t>
  </si>
  <si>
    <t>https://turismo.marbella.es/descubre/aparcamiento/amare-hotel-parking.html</t>
  </si>
  <si>
    <t>19.01.004</t>
  </si>
  <si>
    <t>Aparcamientos Zona Azul y Verde Marbella</t>
  </si>
  <si>
    <t>36.508606, -4.886239</t>
  </si>
  <si>
    <t>https://turismo.marbella.es/descubre/aparcamiento/aparcamientos-zona-azul-y-verde-marbella.html</t>
  </si>
  <si>
    <t>19.01.005</t>
  </si>
  <si>
    <t>APK2 El Molino</t>
  </si>
  <si>
    <t>36.509884, -4.894030</t>
  </si>
  <si>
    <t>https://turismo.marbella.es/descubre/aparcamiento/el-molino.html</t>
  </si>
  <si>
    <t>19.01.006</t>
  </si>
  <si>
    <t>APK2 La Ermita-Marbella</t>
  </si>
  <si>
    <t>36.512729, -4.890868</t>
  </si>
  <si>
    <t>https://turismo.marbella.es/descubre/aparcamiento/el-calvario.html</t>
  </si>
  <si>
    <t>19.01.007</t>
  </si>
  <si>
    <t>APK2 Marqués del Duero - San Pedro Alcántara</t>
  </si>
  <si>
    <t>36.483167, -4.988865</t>
  </si>
  <si>
    <t>https://turismo.marbella.es/descubre/aparcamiento/marques-del-duero-san-pedro-alcantara.html</t>
  </si>
  <si>
    <t>19.01.008</t>
  </si>
  <si>
    <t>Arroyo de la Represa Aparcamiento</t>
  </si>
  <si>
    <t>36.512607, -4.883908</t>
  </si>
  <si>
    <t>https://turismo.marbella.es/descubre/aparcamiento/arroyo-de-la-represa.html</t>
  </si>
  <si>
    <t>19.01.009</t>
  </si>
  <si>
    <t>Avenida del Mar Indigo</t>
  </si>
  <si>
    <t>36.508372, -4.886151</t>
  </si>
  <si>
    <t>Calle Carlos Mackintosh</t>
  </si>
  <si>
    <t>https://turismo.marbella.es/descubre/aparcamiento/parking-indigo-avenida-del-mar.html</t>
  </si>
  <si>
    <t>19.01.010</t>
  </si>
  <si>
    <t>Avenida Mar Mediterráneo Aparcamiento</t>
  </si>
  <si>
    <t>36.472586, -4.987095</t>
  </si>
  <si>
    <t>https://turismo.marbella.es/descubre/aparcamiento/avenida-mar-mediterraneo-aparcamiento.html</t>
  </si>
  <si>
    <t>19.01.011</t>
  </si>
  <si>
    <t>Benabolá B51 Puerto Banús</t>
  </si>
  <si>
    <t>https://turismo.marbella.es/descubre/aparcamiento/benabola-b51-puerto-banus.html</t>
  </si>
  <si>
    <t>19.01.012</t>
  </si>
  <si>
    <t>Boho Club Aparcamiento</t>
  </si>
  <si>
    <t>36.498744, -4.941976</t>
  </si>
  <si>
    <t>https://turismo.marbella.es/descubre/aparcamiento/boho-club-2.html</t>
  </si>
  <si>
    <t>19.01.013</t>
  </si>
  <si>
    <t>Cabopino golf</t>
  </si>
  <si>
    <t>36.494429, -4.739801</t>
  </si>
  <si>
    <t>19.01.014</t>
  </si>
  <si>
    <t>Cabopino Playa Aparcamiento</t>
  </si>
  <si>
    <t>36.485182, -4.740290</t>
  </si>
  <si>
    <t>https://turismo.marbella.es/descubre/aparcamiento/cabopino-playa-parking.html</t>
  </si>
  <si>
    <t>19.01.015</t>
  </si>
  <si>
    <t>Casino Nueva Andalucía</t>
  </si>
  <si>
    <t>36.488287, -4.961947</t>
  </si>
  <si>
    <t>https://turismo.marbella.es/descubre/aparcamiento/casino-nueva-andalucia.html</t>
  </si>
  <si>
    <t>19.01.016</t>
  </si>
  <si>
    <t>Centro Comercial Doña Pepa Aparcamiento</t>
  </si>
  <si>
    <t>https://turismo.marbella.es/descubre/aparcamiento/centro-comercial-dona-pepa-2.html</t>
  </si>
  <si>
    <t>19.01.017</t>
  </si>
  <si>
    <t>Centro Comercial El Capricho - El  Corte Inglés</t>
  </si>
  <si>
    <t>36.510967, -4.903184</t>
  </si>
  <si>
    <t>https://turismo.marbella.es/descubre/aparcamiento/centro-comercial-el-capricho-el-corte-ingles.html</t>
  </si>
  <si>
    <t>19.01.018</t>
  </si>
  <si>
    <t>Centro Comercial Plaza del Mar</t>
  </si>
  <si>
    <t>36.507615, -4.898704</t>
  </si>
  <si>
    <t>https://turismo.marbella.es/descubre/aparcamiento/centro-comercial-plaza-del-mar.html</t>
  </si>
  <si>
    <t>19.01.019</t>
  </si>
  <si>
    <t>Centro Plaza Parking</t>
  </si>
  <si>
    <t>https://turismo.marbella.es/descubre/aparcamiento/centro-plaza-parking.html</t>
  </si>
  <si>
    <t>19.01.020</t>
  </si>
  <si>
    <t>Chipre Aparcamiento</t>
  </si>
  <si>
    <t>36.496905, -4.994581</t>
  </si>
  <si>
    <t>https://turismo.marbella.es/descubre/aparcamiento/chipre-aparcamiento.html</t>
  </si>
  <si>
    <t>19.01.021</t>
  </si>
  <si>
    <t>36.490134, -4.950388</t>
  </si>
  <si>
    <t>19.01.022</t>
  </si>
  <si>
    <t>Cristamar Puerto Banús</t>
  </si>
  <si>
    <t>36.486172, -4.955537</t>
  </si>
  <si>
    <t>https://turismo.marbella.es/descubre/aparcamiento/cristamar-puerto-banus.html</t>
  </si>
  <si>
    <t>19.01.023</t>
  </si>
  <si>
    <t>Doha</t>
  </si>
  <si>
    <t>36.513561, -4.880605</t>
  </si>
  <si>
    <t>https://turismo.marbella.es/descubre/aparcamiento/doha.html</t>
  </si>
  <si>
    <t>19.01.024</t>
  </si>
  <si>
    <t>Edificio Parquesol</t>
  </si>
  <si>
    <t>36.508765, -4.883197</t>
  </si>
  <si>
    <t>https://turismo.marbella.es/descubre/aparcamiento/edificio-parquesol.html</t>
  </si>
  <si>
    <t>19.01.025</t>
  </si>
  <si>
    <t>El Ancla Aparcamiento</t>
  </si>
  <si>
    <t>36.470622, -4.990667</t>
  </si>
  <si>
    <t>https://turismo.marbella.es/descubre/aparcamiento/el-ancla-aparcamiento.html</t>
  </si>
  <si>
    <t>19.01.026</t>
  </si>
  <si>
    <t>36.490652, -4.953248</t>
  </si>
  <si>
    <t>https://turismo.marbella.es/descubre/aparcamiento/el-corte-ingles-marbella.html</t>
  </si>
  <si>
    <t>19.01.027</t>
  </si>
  <si>
    <t>El Fuerte Marbella Parking</t>
  </si>
  <si>
    <t>36.507841, -4.884533</t>
  </si>
  <si>
    <t>https://turismo.marbella.es/descubre/aparcamiento/el-fuerte-marbella-2.html</t>
  </si>
  <si>
    <t>19.01.028</t>
  </si>
  <si>
    <t>El Laurel Aparcamiento</t>
  </si>
  <si>
    <t>36.490176, -4.776037</t>
  </si>
  <si>
    <t>https://turismo.marbella.es/descubre/aparcamiento/el-laurel-parking.html</t>
  </si>
  <si>
    <t>19.01.029</t>
  </si>
  <si>
    <t>El Piyayo Aparcamiento</t>
  </si>
  <si>
    <t>36.487050, -4.986410</t>
  </si>
  <si>
    <t>https://turismo.marbella.es/descubre/aparcamiento/el-pillayo-parking.html</t>
  </si>
  <si>
    <t>19.01.030</t>
  </si>
  <si>
    <t>Estaciones de Autobuses Marbella Aparcamiento</t>
  </si>
  <si>
    <t>36.519233, -4.892677</t>
  </si>
  <si>
    <t>https://turismo.marbella.es/descubre/aparcamiento/estacion-de-autobuses-de-marbella-2.html</t>
  </si>
  <si>
    <t>19.01.031</t>
  </si>
  <si>
    <t>Fantasía Aparcamiento</t>
  </si>
  <si>
    <t>https://turismo.marbella.es/descubre/aparcamiento/fantasia-parking.html</t>
  </si>
  <si>
    <t>19.01.032</t>
  </si>
  <si>
    <t>Felicidad Aparcamiento</t>
  </si>
  <si>
    <t>36.489970, -4.985590</t>
  </si>
  <si>
    <t>https://turismo.marbella.es/descubre/aparcamiento/felicidad-aparcamiento.html</t>
  </si>
  <si>
    <t>19.01.033</t>
  </si>
  <si>
    <t>Francisco Norte Indigo</t>
  </si>
  <si>
    <t>36.508596, -4.889028</t>
  </si>
  <si>
    <t>https://turismo.marbella.es/descubre/aparcamiento/francisco-norte-indigo.html</t>
  </si>
  <si>
    <t>19.01.034</t>
  </si>
  <si>
    <t>Gran Marbella Amu Beach  Aparcamiento</t>
  </si>
  <si>
    <t>36.492757, -4.786347</t>
  </si>
  <si>
    <t>https://turismo.marbella.es/descubre/aparcamiento/gran-marbella-aparcamiento.html</t>
  </si>
  <si>
    <t>19.01.035</t>
  </si>
  <si>
    <t>Guadalmina Aparcamiento</t>
  </si>
  <si>
    <t>36.479456, -5.006201</t>
  </si>
  <si>
    <t>https://turismo.marbella.es/descubre/aparcamiento/guadalmina-aparcamiento.html</t>
  </si>
  <si>
    <t>19.01.036</t>
  </si>
  <si>
    <t>Hospital Universitario Costa del Sol Aparcamiento</t>
  </si>
  <si>
    <t>36.507901, -4.827447</t>
  </si>
  <si>
    <t>https://turismo.marbella.es/descubre/aparcamiento/hospital-costa-del-sol-2.html</t>
  </si>
  <si>
    <t>19.01.037</t>
  </si>
  <si>
    <t>Hospital Universitario Costa del Sol Parking</t>
  </si>
  <si>
    <t>https://turismo.marbella.es/descubre/aparcamiento/hospital-universitario-costa-del-sol-parking.html</t>
  </si>
  <si>
    <t>19.01.038</t>
  </si>
  <si>
    <t>Hotel Coronado</t>
  </si>
  <si>
    <t>36.491070, -4.762133</t>
  </si>
  <si>
    <t>19.01.039</t>
  </si>
  <si>
    <t>Jacinto Benavente</t>
  </si>
  <si>
    <t>36.511441, -4.900372</t>
  </si>
  <si>
    <t>https://turismo.marbella.es/descubre/aparcamiento/jacinto-benavente.html</t>
  </si>
  <si>
    <t>19.01.040</t>
  </si>
  <si>
    <t>36.496928, -4.975400</t>
  </si>
  <si>
    <t>https://turismo.marbella.es/descubre/aparcamiento/la-campana.html</t>
  </si>
  <si>
    <t>19.01.041</t>
  </si>
  <si>
    <t>La Patera Aparcamiento</t>
  </si>
  <si>
    <t>36.516892, -4.879937</t>
  </si>
  <si>
    <t>https://turismo.marbella.es/descubre/aparcamiento/la-patera-aparcamiento.html</t>
  </si>
  <si>
    <t>19.01.042</t>
  </si>
  <si>
    <t>Las Albarizas Aparcamiento</t>
  </si>
  <si>
    <t>36.516549, -4.873841</t>
  </si>
  <si>
    <t>https://turismo.marbella.es/descubre/aparcamiento/las-albarizas.html</t>
  </si>
  <si>
    <t>19.01.043</t>
  </si>
  <si>
    <t>Las Cañas Aparcamiento</t>
  </si>
  <si>
    <t>36.486687, -4.759517</t>
  </si>
  <si>
    <t>https://turismo.marbella.es/descubre/aparcamiento/las-canas-parking.html</t>
  </si>
  <si>
    <t>19.01.044</t>
  </si>
  <si>
    <t>Las Terrazas</t>
  </si>
  <si>
    <t>36.511040, -4.891832</t>
  </si>
  <si>
    <t>https://turismo.marbella.es/descubre/aparcamiento/las-terrazas.html</t>
  </si>
  <si>
    <t>19.01.045</t>
  </si>
  <si>
    <t>LIDL Aparcamientos</t>
  </si>
  <si>
    <t>36.509381, -4.909780</t>
  </si>
  <si>
    <t>https://turismo.marbella.es/descubre/aparcamiento/lidl-aparcamientos.html</t>
  </si>
  <si>
    <t>19.01.046</t>
  </si>
  <si>
    <t>Los Naranjos Aparcamiento</t>
  </si>
  <si>
    <t>36.508446, -4.951300</t>
  </si>
  <si>
    <t>Público, Exterior Urb. Los Naranjos de Marbella s/n (Mercadona) C.P. 29660 Nueva Andalucía.</t>
  </si>
  <si>
    <t>https://turismo.marbella.es/index.php?option=com_content&amp;view=article&amp;id=7787</t>
  </si>
  <si>
    <t>19.01.047</t>
  </si>
  <si>
    <t>Los Pinares de Elviria Parking</t>
  </si>
  <si>
    <t>https://turismo.marbella.es/descubre/aparcamiento/los-pinares-de-elviria.html</t>
  </si>
  <si>
    <t>19.01.048</t>
  </si>
  <si>
    <t>Mainake Aparcamiento</t>
  </si>
  <si>
    <t>36.481660, -4.993510</t>
  </si>
  <si>
    <t>https://turismo.marbella.es/descubre/aparcamiento/mainake-aparcamiento.html</t>
  </si>
  <si>
    <t>19.01.049</t>
  </si>
  <si>
    <t>Malta Aparcamiento</t>
  </si>
  <si>
    <t>36.498420, -4.993790</t>
  </si>
  <si>
    <t>https://turismo.marbella.es/descubre/aparcamiento/malta-aparcamiento.html</t>
  </si>
  <si>
    <t>19.01.050</t>
  </si>
  <si>
    <t>Marina Banús Puerto Banús</t>
  </si>
  <si>
    <t>36.490379, -4.952011</t>
  </si>
  <si>
    <t>https://turismo.marbella.es/descubre/aparcamiento/cc-marina-banus-puerto-banus.html</t>
  </si>
  <si>
    <t>19.01.051</t>
  </si>
  <si>
    <t>Maskom - San Pedro Alcántara</t>
  </si>
  <si>
    <t>36.483700, -4.990200</t>
  </si>
  <si>
    <t>https://turismo.marbella.es/descubre/aparcamiento/maskom-san-pedro-alcantara.html</t>
  </si>
  <si>
    <t>19.01.052</t>
  </si>
  <si>
    <t>Mercado Municipal Telpark by Empark</t>
  </si>
  <si>
    <t>36.511260, -4.886416</t>
  </si>
  <si>
    <t>https://turismo.marbella.es/descubre/aparcamiento/mercado-municipal.html</t>
  </si>
  <si>
    <t>19.01.053</t>
  </si>
  <si>
    <t>Miraflores Aparcamiento</t>
  </si>
  <si>
    <t>36.516159, -4.889928</t>
  </si>
  <si>
    <t>https://turismo.marbella.es/descubre/aparcamiento/aparcamiento-miraflores.html</t>
  </si>
  <si>
    <t>19.01.054</t>
  </si>
  <si>
    <t>Nikki Beach Aparcamiento</t>
  </si>
  <si>
    <t>36.489661, -4.773181</t>
  </si>
  <si>
    <t>https://turismo.marbella.es/descubre/aparcamiento/nikki-beach-parking.html</t>
  </si>
  <si>
    <t>19.01.055</t>
  </si>
  <si>
    <t>Opium Beach Club Aparcamiento</t>
  </si>
  <si>
    <t>36.507695, -4.857702</t>
  </si>
  <si>
    <t>https://turismo.marbella.es/descubre/aparcamiento/opium-beach-club-marbella-2.html</t>
  </si>
  <si>
    <t>19.01.056</t>
  </si>
  <si>
    <t>parkin Urb. Bahía de Marbella</t>
  </si>
  <si>
    <t>36.502544, -4.831062</t>
  </si>
  <si>
    <t>19.01.057</t>
  </si>
  <si>
    <t>Parking APK2 Arias Maldonado</t>
  </si>
  <si>
    <t>36.508221, -4.893056</t>
  </si>
  <si>
    <t>https://turismo.marbella.es/descubre/aparcamiento/arias-maldonado.html</t>
  </si>
  <si>
    <t>19.01.058</t>
  </si>
  <si>
    <t>Parking C.C. La Cañada</t>
  </si>
  <si>
    <t>36.522813, -4.873369</t>
  </si>
  <si>
    <t>19.01.059</t>
  </si>
  <si>
    <t>36.520831, -4.873001</t>
  </si>
  <si>
    <t>19.01.060</t>
  </si>
  <si>
    <t>Parking Camino del calvario</t>
  </si>
  <si>
    <t>36.512193, -4.890506</t>
  </si>
  <si>
    <t>19.01.061</t>
  </si>
  <si>
    <t>Parking Centro Marbella Telpark by Empark</t>
  </si>
  <si>
    <t>36.510635, -4.888881</t>
  </si>
  <si>
    <t>https://turismo.marbella.es/descubre/aparcamiento/mayar.html</t>
  </si>
  <si>
    <t>19.01.062</t>
  </si>
  <si>
    <t>Parking La Iglesia</t>
  </si>
  <si>
    <t>36.486764, -4.989202</t>
  </si>
  <si>
    <t>19.01.063</t>
  </si>
  <si>
    <t>Parking Los Cipreses</t>
  </si>
  <si>
    <t>36.511647, -4.900269</t>
  </si>
  <si>
    <t>19.01.064</t>
  </si>
  <si>
    <t>Parking Mathilda</t>
  </si>
  <si>
    <t>36.486986, -4.960489</t>
  </si>
  <si>
    <t>https://turismo.marbella.es/descubre/aparcamiento/parking-mathilda.html</t>
  </si>
  <si>
    <t>19.01.065</t>
  </si>
  <si>
    <t>Parking Mercado</t>
  </si>
  <si>
    <t>36.511337, -4.886517</t>
  </si>
  <si>
    <t>19.01.066</t>
  </si>
  <si>
    <t>Parking Occidental</t>
  </si>
  <si>
    <t>36.483715, -4.989180</t>
  </si>
  <si>
    <t>Avenida Marqués del Duero</t>
  </si>
  <si>
    <t>19.01.067</t>
  </si>
  <si>
    <t>Parking Palacio Congresos</t>
  </si>
  <si>
    <t>36.509756, -4.903437</t>
  </si>
  <si>
    <t>Público, Exterior C. José Meliá, 2, 29602 Marbella.</t>
  </si>
  <si>
    <t>https://turismo.marbella.es/index.php?option=com_content&amp;view=article&amp;id=7610</t>
  </si>
  <si>
    <t>19.01.068</t>
  </si>
  <si>
    <t>Parking Parque del Mediterráneo</t>
  </si>
  <si>
    <t>36.508602, -4.862236</t>
  </si>
  <si>
    <t>https://turismo.marbella.es/descubre/aparcamiento/parking-parque-del-mediterraneo.html</t>
  </si>
  <si>
    <t>19.01.069</t>
  </si>
  <si>
    <t>parking playa Los Monteros</t>
  </si>
  <si>
    <t>36.502879, -4.837969</t>
  </si>
  <si>
    <t>A-7 salida186 Altos de Marbella</t>
  </si>
  <si>
    <t>19.01.070</t>
  </si>
  <si>
    <t>parking playa Los Monteros E</t>
  </si>
  <si>
    <t>36.502401, -4.836455</t>
  </si>
  <si>
    <t>19.01.071</t>
  </si>
  <si>
    <t>parking playa Pinillo</t>
  </si>
  <si>
    <t>36.504072, -4.843572</t>
  </si>
  <si>
    <t>19.01.072</t>
  </si>
  <si>
    <t>36.486921, -4.955847</t>
  </si>
  <si>
    <t>https://turismo.marbella.es/descubre/aparcamiento/playas-del-duque.html</t>
  </si>
  <si>
    <t>19.01.073</t>
  </si>
  <si>
    <t>Plaza de Doña Elvira</t>
  </si>
  <si>
    <t>36.511548, -4.964196</t>
  </si>
  <si>
    <t>19.01.074</t>
  </si>
  <si>
    <t>Plaza de Istán - San Pedro Alcántara</t>
  </si>
  <si>
    <t>36.487419, -4.988674</t>
  </si>
  <si>
    <t>https://turismo.marbella.es/descubre/aparcamiento/plaza-de-istan-san-pedro-alcantara.html</t>
  </si>
  <si>
    <t>19.01.075</t>
  </si>
  <si>
    <t>Plaza de la Iglesia - San Pedro Alcántara</t>
  </si>
  <si>
    <t>36.486696, -4.989164</t>
  </si>
  <si>
    <t>https://turismo.marbella.es/descubre/aparcamiento/plaza-de-la-iglesia-san-pedro-alcantara.html</t>
  </si>
  <si>
    <t>19.01.076</t>
  </si>
  <si>
    <t>Plaza de la Victoria Parkia</t>
  </si>
  <si>
    <t>36.510190, -4.886417</t>
  </si>
  <si>
    <t>Calle Huerta Chica</t>
  </si>
  <si>
    <t>https://turismo.marbella.es/descubre/aparcamiento/plaza-de-la-victoria-parkia.html</t>
  </si>
  <si>
    <t>19.01.077</t>
  </si>
  <si>
    <t>Plaza del Mar Parking</t>
  </si>
  <si>
    <t>36.507684, -4.898645</t>
  </si>
  <si>
    <t>https://turismo.marbella.es/descubre/aparcamiento/plaza-del-mar-parking.html</t>
  </si>
  <si>
    <t>19.01.078</t>
  </si>
  <si>
    <t>Plaza del Pan</t>
  </si>
  <si>
    <t>36.510551, -4.964397</t>
  </si>
  <si>
    <t>19.01.079</t>
  </si>
  <si>
    <t>Plaza Don Juan de Austria</t>
  </si>
  <si>
    <t>36.518336, -4.877471</t>
  </si>
  <si>
    <t>19.01.080</t>
  </si>
  <si>
    <t>Plaza Parking</t>
  </si>
  <si>
    <t>36.493513, -4.960661</t>
  </si>
  <si>
    <t>https://turismo.marbella.es/descubre/aparcamiento/centro-plaza.html</t>
  </si>
  <si>
    <t>19.01.081</t>
  </si>
  <si>
    <t>Polideportivo Paco Cantos Aparcamiento</t>
  </si>
  <si>
    <t>36.512587, -4.898052</t>
  </si>
  <si>
    <t>https://turismo.marbella.es/descubre/aparcamiento/polideportivo-paco-cantos.html</t>
  </si>
  <si>
    <t>19.01.082</t>
  </si>
  <si>
    <t>Puerto de Cabopino Aparcamiento</t>
  </si>
  <si>
    <t>36.482995, -4.739563</t>
  </si>
  <si>
    <t>https://turismo.marbella.es/descubre/aparcamiento/puerto-de-cabopino-parking.html</t>
  </si>
  <si>
    <t>19.01.083</t>
  </si>
  <si>
    <t>Puerto Marina La Bajadilla Aparcamiento</t>
  </si>
  <si>
    <t>36.508091, -4.875304</t>
  </si>
  <si>
    <t>https://turismo.marbella.es/descubre/aparcamiento/puerto-marina-la-bajadilla-2.html</t>
  </si>
  <si>
    <t>19.01.084</t>
  </si>
  <si>
    <t>Puerto Virgen del Carmen Parking</t>
  </si>
  <si>
    <t>36.505391, -4.889086</t>
  </si>
  <si>
    <t>https://turismo.marbella.es/descubre/aparcamiento/puerto-virgen-del-carmen-puerto-deportivo-de-marbella-2.html</t>
  </si>
  <si>
    <t>19.01.085</t>
  </si>
  <si>
    <t>Real de Zaragoza Aparcamiento</t>
  </si>
  <si>
    <t>https://turismo.marbella.es/descubre/aparcamiento/real-de-zaragoza-2.html</t>
  </si>
  <si>
    <t>19.01.086</t>
  </si>
  <si>
    <t>Recinto Ferial La Caridad Parking</t>
  </si>
  <si>
    <t>36.495290, -4.986520</t>
  </si>
  <si>
    <t>https://turismo.marbella.es/descubre/aparcamiento/finca-la-caridad-2.html</t>
  </si>
  <si>
    <t>19.01.087</t>
  </si>
  <si>
    <t>Saba Puerto Banús</t>
  </si>
  <si>
    <t>36.488896, -4.952953</t>
  </si>
  <si>
    <t>https://turismo.marbella.es/descubre/aparcamiento/saba-puerto-banus.html</t>
  </si>
  <si>
    <t>19.01.088</t>
  </si>
  <si>
    <t>Santa Leonor Aparcamiento</t>
  </si>
  <si>
    <t>36.490880, -4.986090</t>
  </si>
  <si>
    <t>https://turismo.marbella.es/descubre/aparcamiento/santa-leonor-aparcamiento.html</t>
  </si>
  <si>
    <t>19.01.089</t>
  </si>
  <si>
    <t>Telepark Parking Paseo Marítimo</t>
  </si>
  <si>
    <t>36.507182, -4.883646</t>
  </si>
  <si>
    <t>https://turismo.marbella.es/descubre/aparcamiento/marbell-center-parkia.html</t>
  </si>
  <si>
    <t>19.01.090</t>
  </si>
  <si>
    <t>Tembo Puerto Banús</t>
  </si>
  <si>
    <t>36.489170, -4.954455</t>
  </si>
  <si>
    <t>https://turismo.marbella.es/descubre/aparcamiento/tembo-puerto-banus.html</t>
  </si>
  <si>
    <t>19.01.091</t>
  </si>
  <si>
    <t>Tolox Aparcamiento</t>
  </si>
  <si>
    <t>36.483231, -4.992099</t>
  </si>
  <si>
    <t>https://turismo.marbella.es/descubre/aparcamiento/tolox-aparcamiento.html</t>
  </si>
  <si>
    <t>19.01.092</t>
  </si>
  <si>
    <t>Valentuñana</t>
  </si>
  <si>
    <t>36.511711, -4.888526</t>
  </si>
  <si>
    <t>https://turismo.marbella.es/descubre/aparcamiento/valentunana.html</t>
  </si>
  <si>
    <t>19.01.093</t>
  </si>
  <si>
    <t>Vigil de Quiñones Aparcamiento</t>
  </si>
  <si>
    <t>36.514047, -4.897355</t>
  </si>
  <si>
    <t>https://turismo.marbella.es/descubre/aparcamiento/vigil-de-quinones-aparcamiento.html</t>
  </si>
  <si>
    <t>19.02</t>
  </si>
  <si>
    <t>Movilidad</t>
  </si>
  <si>
    <t>Estaciones de autobuses, paradas de taxi, tren y aeropuerto.</t>
  </si>
  <si>
    <t>https://turismo.marbella.es/descubre/movilidad.html
https://turismo.marbella.es/servicios/contactos-de-interes/transportes.html</t>
  </si>
  <si>
    <t>19.02.001</t>
  </si>
  <si>
    <t>Aeropuerto de Gibraltar</t>
  </si>
  <si>
    <t>36.153794, -5.346356</t>
  </si>
  <si>
    <t>British Lines Road, GX11 1AA, Gibraltar</t>
  </si>
  <si>
    <t>https://turismo.marbella.es/index.php?option=com_content&amp;view=article&amp;id=755</t>
  </si>
  <si>
    <t>19.02.002</t>
  </si>
  <si>
    <t>Aeropuerto de Jerez</t>
  </si>
  <si>
    <t>36.745487, -6.060803</t>
  </si>
  <si>
    <t>Carretera N-IV, km. 628.5, 11401 Jerez de la Frontera, Cádiz</t>
  </si>
  <si>
    <t>https://turismo.marbella.es/index.php?option=com_content&amp;view=article&amp;id=6426</t>
  </si>
  <si>
    <t>19.02.003</t>
  </si>
  <si>
    <t>Aeropuerto de Málaga - Costa del Sol</t>
  </si>
  <si>
    <t>36.678569, -4.494593</t>
  </si>
  <si>
    <t>Av. del Comandante García Morato, s/n, 29004, Málaga</t>
  </si>
  <si>
    <t>https://turismo.marbella.es/index.php?option=com_content&amp;view=article&amp;id=750</t>
  </si>
  <si>
    <t>19.02.004</t>
  </si>
  <si>
    <t>Andalucía Plaza</t>
  </si>
  <si>
    <t>36.489398, -4.962038</t>
  </si>
  <si>
    <t>19.02.005</t>
  </si>
  <si>
    <t>Autobuses</t>
  </si>
  <si>
    <t>36.519485, -4.892370</t>
  </si>
  <si>
    <t>https://turismo.marbella.es/index.php?option=com_content&amp;view=article&amp;id=6970</t>
  </si>
  <si>
    <t>19.02.006</t>
  </si>
  <si>
    <t>Barceló</t>
  </si>
  <si>
    <t>36.483882, -5.006760</t>
  </si>
  <si>
    <t>19.02.007</t>
  </si>
  <si>
    <t>Buchinger</t>
  </si>
  <si>
    <t>36.518294, -4.911552</t>
  </si>
  <si>
    <t>19.02.008</t>
  </si>
  <si>
    <t>Cabopino</t>
  </si>
  <si>
    <t>36.486784, -4.741024</t>
  </si>
  <si>
    <t>19.02.009</t>
  </si>
  <si>
    <t>Cafetería Marbella</t>
  </si>
  <si>
    <t>36.509018, -4.886641</t>
  </si>
  <si>
    <t>19.02.010</t>
  </si>
  <si>
    <t>Calvario</t>
  </si>
  <si>
    <t>36.510621, -4.890283</t>
  </si>
  <si>
    <t>19.02.011</t>
  </si>
  <si>
    <t>36.508566, -4.884874</t>
  </si>
  <si>
    <t>19.02.012</t>
  </si>
  <si>
    <t>Centro Salud Albarizas</t>
  </si>
  <si>
    <t>36.511059, -4.873593</t>
  </si>
  <si>
    <t>19.02.013</t>
  </si>
  <si>
    <t>Comarcal</t>
  </si>
  <si>
    <t>36.508765, -4.826320</t>
  </si>
  <si>
    <t>19.02.014</t>
  </si>
  <si>
    <t>Consultas</t>
  </si>
  <si>
    <t>36.507038, -4.827245</t>
  </si>
  <si>
    <t>19.02.015</t>
  </si>
  <si>
    <t>36.497624, -4.942801</t>
  </si>
  <si>
    <t>19.02.016</t>
  </si>
  <si>
    <t>Don Carlos</t>
  </si>
  <si>
    <t>36.492687, -4.773625</t>
  </si>
  <si>
    <t>19.02.017</t>
  </si>
  <si>
    <t>Estaciones de Autobuses Marbella</t>
  </si>
  <si>
    <t>36.519898, -4.892522</t>
  </si>
  <si>
    <t>Av. Trapiche, S/N - 29601 Marbella</t>
  </si>
  <si>
    <t>https://turismo.marbella.es/index.php?option=com_content&amp;view=article&amp;id=754</t>
  </si>
  <si>
    <t>19.02.018</t>
  </si>
  <si>
    <t>Estación de Tren Maria Zambrano</t>
  </si>
  <si>
    <t>36.711827, -4.431172</t>
  </si>
  <si>
    <t>Explanada de la Estación, S/N Málaga 29002- Málaga</t>
  </si>
  <si>
    <t>https://turismo.marbella.es/index.php?option=com_content&amp;view=article&amp;id=753</t>
  </si>
  <si>
    <t>19.02.019</t>
  </si>
  <si>
    <t>Estrella del Mar</t>
  </si>
  <si>
    <t>36.495194, -4.784401</t>
  </si>
  <si>
    <t>19.02.020</t>
  </si>
  <si>
    <t>Frank's Corner</t>
  </si>
  <si>
    <t>36.508372, -4.896455</t>
  </si>
  <si>
    <t>19.02.021</t>
  </si>
  <si>
    <t>36.464056, -5.003743</t>
  </si>
  <si>
    <t>19.02.022</t>
  </si>
  <si>
    <t>Guadalpín Banús</t>
  </si>
  <si>
    <t>36.483284, -4.966225</t>
  </si>
  <si>
    <t>19.02.023</t>
  </si>
  <si>
    <t>Guadalpín Marbella</t>
  </si>
  <si>
    <t>36.509828, -4.907286</t>
  </si>
  <si>
    <t>19.02.024</t>
  </si>
  <si>
    <t>Hipercor</t>
  </si>
  <si>
    <t>36.490377, -4.952134</t>
  </si>
  <si>
    <t>19.02.025</t>
  </si>
  <si>
    <t>La Cañada</t>
  </si>
  <si>
    <t>36.521313, -4.873816</t>
  </si>
  <si>
    <t>19.02.026</t>
  </si>
  <si>
    <t>Las Cumbres</t>
  </si>
  <si>
    <t>36.498240, -4.783777</t>
  </si>
  <si>
    <t>19.02.027</t>
  </si>
  <si>
    <t>Lorcrimar</t>
  </si>
  <si>
    <t>36.486926, -4.970023</t>
  </si>
  <si>
    <t>19.02.028</t>
  </si>
  <si>
    <t>Los Monteros</t>
  </si>
  <si>
    <t>36.505822, -4.823761</t>
  </si>
  <si>
    <t>19.02.029</t>
  </si>
  <si>
    <t>Los Pinos de D. Carlos</t>
  </si>
  <si>
    <t>36.495641, -4.775443</t>
  </si>
  <si>
    <t>19.02.030</t>
  </si>
  <si>
    <t>Marbella Club</t>
  </si>
  <si>
    <t>36.506553, -4.919777</t>
  </si>
  <si>
    <t>19.02.031</t>
  </si>
  <si>
    <t>Meliá Banús</t>
  </si>
  <si>
    <t>36.495351, -4.946696</t>
  </si>
  <si>
    <t>19.02.032</t>
  </si>
  <si>
    <t>36.504331, -4.925168</t>
  </si>
  <si>
    <t>19.02.033</t>
  </si>
  <si>
    <t>Palacio de Congresos</t>
  </si>
  <si>
    <t>36.509704, -4.901761</t>
  </si>
  <si>
    <t>19.02.034</t>
  </si>
  <si>
    <t>Parada de taxi</t>
  </si>
  <si>
    <t>36.486531, -4.955693</t>
  </si>
  <si>
    <t>19.02.035</t>
  </si>
  <si>
    <t>36.487749, -4.953709</t>
  </si>
  <si>
    <t>19.02.036</t>
  </si>
  <si>
    <t>36.516511, -4.882519</t>
  </si>
  <si>
    <t>19.02.037</t>
  </si>
  <si>
    <t>Paseo A Caballo</t>
  </si>
  <si>
    <t>36.509003, -4.886983</t>
  </si>
  <si>
    <t>19.02.038</t>
  </si>
  <si>
    <t>Paseos en Calesa</t>
  </si>
  <si>
    <t>36.507485, -4.892650</t>
  </si>
  <si>
    <t>19.02.039</t>
  </si>
  <si>
    <t>Plaza de la Iglesia</t>
  </si>
  <si>
    <t>36.486535, -4.990805</t>
  </si>
  <si>
    <t>19.02.040</t>
  </si>
  <si>
    <t>Portillo</t>
  </si>
  <si>
    <t>36.482881, -4.988180</t>
  </si>
  <si>
    <t>19.02.041</t>
  </si>
  <si>
    <t>Principal</t>
  </si>
  <si>
    <t>36.483704, -4.989783</t>
  </si>
  <si>
    <t>19.02.042</t>
  </si>
  <si>
    <t>Puente Romano</t>
  </si>
  <si>
    <t>36.503881, -4.926255</t>
  </si>
  <si>
    <t>19.02.043</t>
  </si>
  <si>
    <t>Quirón</t>
  </si>
  <si>
    <t>36.508978, -4.875220</t>
  </si>
  <si>
    <t>19.02.044</t>
  </si>
  <si>
    <t>Servicio de Taxi</t>
  </si>
  <si>
    <t>36.512491, -4.898695</t>
  </si>
  <si>
    <t>Av. Cánovas del Castillo, 29601 Marbella</t>
  </si>
  <si>
    <t>https://turismo.marbella.es/index.php?option=com_content&amp;view=article&amp;id=751</t>
  </si>
  <si>
    <t>19.02.045</t>
  </si>
  <si>
    <t>Skol</t>
  </si>
  <si>
    <t>36.508609, -4.893042</t>
  </si>
  <si>
    <t>19.02.046</t>
  </si>
  <si>
    <t>Taxis</t>
  </si>
  <si>
    <t>36.490419, -4.988673</t>
  </si>
  <si>
    <t>https://turismo.marbella.es/index.php?option=com_content&amp;view=article&amp;id=7040</t>
  </si>
  <si>
    <t>19.02.047</t>
  </si>
  <si>
    <t>Terminal de Autobuses de San Pedro</t>
  </si>
  <si>
    <t>36.481921, -4.989939</t>
  </si>
  <si>
    <t>Avda. Norberto Goizueta Díaz - 29670 San Pedro Alcántara</t>
  </si>
  <si>
    <t>https://turismo.marbella.es/index.php?option=com_content&amp;view=article&amp;id=7273</t>
  </si>
  <si>
    <t>19.03</t>
  </si>
  <si>
    <t>Emergencias</t>
  </si>
  <si>
    <t>Policía, Protección Civil, Salvamento Marítimo y teléfonos de emergencia.</t>
  </si>
  <si>
    <t>https://turismo.marbella.es/servicios/contactos-de-interes/emergencias.html</t>
  </si>
  <si>
    <t>19.03.001</t>
  </si>
  <si>
    <t>Bomberos de Marbella 080</t>
  </si>
  <si>
    <t>36.521731, -4.879525</t>
  </si>
  <si>
    <t>C.C La Cañada, N-340, s/n, 29603 Marbella</t>
  </si>
  <si>
    <t>https://turismo.marbella.es/index.php?option=com_content&amp;view=article&amp;id=4757</t>
  </si>
  <si>
    <t>19.03.002</t>
  </si>
  <si>
    <t>Comisaría de Policía Nacional de Marbella</t>
  </si>
  <si>
    <t>36.516808, -4.884974</t>
  </si>
  <si>
    <t>19.03.003</t>
  </si>
  <si>
    <t>Emergencias Médicas 24 horas 061</t>
  </si>
  <si>
    <t>https://turismo.marbella.es/index.php?option=com_content&amp;view=article&amp;id=727</t>
  </si>
  <si>
    <t>19.03.004</t>
  </si>
  <si>
    <t>Guardia Civil Marbella 952 77 03 44</t>
  </si>
  <si>
    <t>36.513563, -4.882154</t>
  </si>
  <si>
    <t>Pl. de Leganitos, 3, 29601 Marbella</t>
  </si>
  <si>
    <t>https://turismo.marbella.es/index.php?option=com_content&amp;view=article&amp;id=7488</t>
  </si>
  <si>
    <t>19.03.005</t>
  </si>
  <si>
    <t>Policía</t>
  </si>
  <si>
    <t>36.485215, -4.990336</t>
  </si>
  <si>
    <t>19.03.006</t>
  </si>
  <si>
    <t>Policía Local</t>
  </si>
  <si>
    <t>36.485196, -4.990295</t>
  </si>
  <si>
    <t>19.03.007</t>
  </si>
  <si>
    <t>Policía Local Marbella 952 89 99 00</t>
  </si>
  <si>
    <t>36.508753, -4.868233</t>
  </si>
  <si>
    <t>C/ Juan de la Cierva, 13, 29603 Marbella, Málaga</t>
  </si>
  <si>
    <t>https://turismo.marbella.es/index.php?option=com_content&amp;view=article&amp;id=7331</t>
  </si>
  <si>
    <t>19.03.008</t>
  </si>
  <si>
    <t>Policía Nacional Marbella 091</t>
  </si>
  <si>
    <t>36.516701, -4.884924</t>
  </si>
  <si>
    <t>Av. Arias de Velasco, 25, 29601 Marbella</t>
  </si>
  <si>
    <t>https://turismo.marbella.es/index.php?option=com_content&amp;view=article&amp;id=7332</t>
  </si>
  <si>
    <t>19.03.009</t>
  </si>
  <si>
    <t>Protección Civil  951 77 51 95</t>
  </si>
  <si>
    <t>36.515343, -4.879243</t>
  </si>
  <si>
    <t>Calle Serenata, 16, 1º - 29601 Marbella</t>
  </si>
  <si>
    <t>https://turismo.marbella.es/index.php?option=com_content&amp;view=article&amp;id=7487</t>
  </si>
  <si>
    <t>19.03.010</t>
  </si>
  <si>
    <t>Salvamento Marítimo 900 202 202</t>
  </si>
  <si>
    <t>https://turismo.marbella.es/index.php?option=com_content&amp;view=article&amp;id=7489</t>
  </si>
  <si>
    <t>19.03.011</t>
  </si>
  <si>
    <t>Teléfonos de Emergencias 112 / 061</t>
  </si>
  <si>
    <t>https://turismo.marbella.es/index.php?option=com_content&amp;view=article&amp;id=725</t>
  </si>
  <si>
    <t>19.04</t>
  </si>
  <si>
    <t>Otros contactos de interés</t>
  </si>
  <si>
    <t>Ayuntamiento, Correos, Extranjería y otros servicios.</t>
  </si>
  <si>
    <t>https://turismo.marbella.es/servicios/contactos-de-interes/otros.html</t>
  </si>
  <si>
    <t>19.04.001</t>
  </si>
  <si>
    <t>Ayuntamiento de Marbella</t>
  </si>
  <si>
    <t>36.510386, -4.885033</t>
  </si>
  <si>
    <t>Plaza de los Naranjos s/n - 29601 Marbella</t>
  </si>
  <si>
    <t>https://turismo.marbella.es/index.php?option=com_content&amp;view=article&amp;id=723</t>
  </si>
  <si>
    <t>19.04.002</t>
  </si>
  <si>
    <t>Departamento de Extranjeros</t>
  </si>
  <si>
    <t>36.509712, -4.901929</t>
  </si>
  <si>
    <t>Palacio de Congresos, Ferias y Exposiciones Avda. José Meliá, 2</t>
  </si>
  <si>
    <t>https://turismo.marbella.es/index.php?option=com_content&amp;view=article&amp;id=724</t>
  </si>
  <si>
    <t>19.04.003</t>
  </si>
  <si>
    <t>Oficinas de Correos</t>
  </si>
  <si>
    <t>36.511441, -4.891580</t>
  </si>
  <si>
    <t>C/ Jacinto Benavente, 14 - 29601 y San Pedro - C/ Pizarro, 41 San Pedro Alcántara</t>
  </si>
  <si>
    <t>https://turismo.marbella.es/index.php?option=com_content&amp;view=article&amp;id=726</t>
  </si>
  <si>
    <t>19.04.004</t>
  </si>
  <si>
    <t>Patrulla Verde Marbella</t>
  </si>
  <si>
    <t>36.511900, -4.886300</t>
  </si>
  <si>
    <t>https://turismo.marbella.es/index.php?option=com_content&amp;view=article&amp;id=6416</t>
  </si>
  <si>
    <t>19.04.005</t>
  </si>
  <si>
    <t>Recogida de muebles y enseres</t>
  </si>
  <si>
    <t>https://turismo.marbella.es/index.php?option=com_content&amp;view=article&amp;id=6418</t>
  </si>
  <si>
    <t>19.05</t>
  </si>
  <si>
    <t>Farmacias</t>
  </si>
  <si>
    <t>Farmacias (complementaria).</t>
  </si>
  <si>
    <t>19.05.001</t>
  </si>
  <si>
    <t>Farmacia</t>
  </si>
  <si>
    <t>36.517932, -4.890481</t>
  </si>
  <si>
    <t>19.05.002</t>
  </si>
  <si>
    <t>36.509218, -4.885782</t>
  </si>
  <si>
    <t>19.05.003</t>
  </si>
  <si>
    <t>Farmacia  pejo</t>
  </si>
  <si>
    <t>36.518391, -4.879907</t>
  </si>
  <si>
    <t>Avenida Duque de Lerma</t>
  </si>
  <si>
    <t>19.05.004</t>
  </si>
  <si>
    <t>Farmacia Adela Lavigne</t>
  </si>
  <si>
    <t>36.511128, -4.888220</t>
  </si>
  <si>
    <t>Calle de Jacinto Benavente 6</t>
  </si>
  <si>
    <t>19.05.005</t>
  </si>
  <si>
    <t>Farmacia Albatros Marbella (Nueva Andalucía)</t>
  </si>
  <si>
    <t>36.501280, -4.977767</t>
  </si>
  <si>
    <t>Calle Quevedo 6</t>
  </si>
  <si>
    <t>19.05.006</t>
  </si>
  <si>
    <t>Farmacia Aloha</t>
  </si>
  <si>
    <t>36.498532, -4.963368</t>
  </si>
  <si>
    <t>Calle del Califa</t>
  </si>
  <si>
    <t>19.05.007</t>
  </si>
  <si>
    <t>Farmacia Belon 5</t>
  </si>
  <si>
    <t>36.507776, -4.887992</t>
  </si>
  <si>
    <t>Avenida Antonio Belón 5</t>
  </si>
  <si>
    <t>19.05.008</t>
  </si>
  <si>
    <t>Farmacia Berdaguer</t>
  </si>
  <si>
    <t>36.509617, -4.887037</t>
  </si>
  <si>
    <t>Avenida Ricardo Soriano 4</t>
  </si>
  <si>
    <t>19.05.009</t>
  </si>
  <si>
    <t>Farmacia C. Díaz Gil</t>
  </si>
  <si>
    <t>36.508518, -4.884762</t>
  </si>
  <si>
    <t>Avenida de Ramón y Cajal 4</t>
  </si>
  <si>
    <t>19.05.010</t>
  </si>
  <si>
    <t>Farmacia Carmen Galvez</t>
  </si>
  <si>
    <t>36.512885, -4.876243</t>
  </si>
  <si>
    <t>Avenida General López Domínguez 22</t>
  </si>
  <si>
    <t>19.05.011</t>
  </si>
  <si>
    <t>Farmacia Central</t>
  </si>
  <si>
    <t>36.508087, -4.896086</t>
  </si>
  <si>
    <t>Calle Camilo José Cela 13</t>
  </si>
  <si>
    <t>19.05.012</t>
  </si>
  <si>
    <t>Farmacia Diego Roldán Pérez</t>
  </si>
  <si>
    <t>36.512643, -4.885291</t>
  </si>
  <si>
    <t>Calle de San Francisco 9</t>
  </si>
  <si>
    <t>19.05.013</t>
  </si>
  <si>
    <t>Farmacia El Rosario</t>
  </si>
  <si>
    <t>36.505012, -4.809133</t>
  </si>
  <si>
    <t>Urbanizacion El Rosario</t>
  </si>
  <si>
    <t>19.05.014</t>
  </si>
  <si>
    <t>Farmacia Elisa Ramos Olmo</t>
  </si>
  <si>
    <t>36.482451, -4.990709</t>
  </si>
  <si>
    <t>Avenida de la Constitución 36</t>
  </si>
  <si>
    <t>19.05.015</t>
  </si>
  <si>
    <t>Farmacia Elviria</t>
  </si>
  <si>
    <t>36.497657, -4.784963</t>
  </si>
  <si>
    <t>Avenida de las Cumbres 4</t>
  </si>
  <si>
    <t>19.05.016</t>
  </si>
  <si>
    <t>Farmacia Espejo</t>
  </si>
  <si>
    <t>36.510920, -4.886063</t>
  </si>
  <si>
    <t>19.05.017</t>
  </si>
  <si>
    <t>36.510271, -4.885355</t>
  </si>
  <si>
    <t>19.05.018</t>
  </si>
  <si>
    <t>Farmacia Espinosa Sanchez</t>
  </si>
  <si>
    <t>36.487096, -4.989394</t>
  </si>
  <si>
    <t>Plaza de la Iglesia 3</t>
  </si>
  <si>
    <t>19.05.019</t>
  </si>
  <si>
    <t>Farmacia Faus</t>
  </si>
  <si>
    <t>36.484446, -4.991790</t>
  </si>
  <si>
    <t>Avenida de la Constitución 7</t>
  </si>
  <si>
    <t>19.05.020</t>
  </si>
  <si>
    <t>Farmacia Fuentenueva</t>
  </si>
  <si>
    <t>36.487575, -4.987465</t>
  </si>
  <si>
    <t>Calle Fuente Nueva 15</t>
  </si>
  <si>
    <t>19.05.021</t>
  </si>
  <si>
    <t>Farmacia Gallego Marbella</t>
  </si>
  <si>
    <t>36.508950, -4.894317</t>
  </si>
  <si>
    <t>Calle de Pablo Casal 7</t>
  </si>
  <si>
    <t>19.05.022</t>
  </si>
  <si>
    <t>Farmacia Guadalmina</t>
  </si>
  <si>
    <t>36.474196, -5.003979</t>
  </si>
  <si>
    <t>Autovía del Mediterráneo 19</t>
  </si>
  <si>
    <t>https://farmaciaguadalmina.net/</t>
  </si>
  <si>
    <t>19.05.023</t>
  </si>
  <si>
    <t>Farmacia Homeopharma</t>
  </si>
  <si>
    <t>36.510263, -4.890896</t>
  </si>
  <si>
    <t>Avenida Ricardo Soriano 27</t>
  </si>
  <si>
    <t>19.05.024</t>
  </si>
  <si>
    <t>Farmacia Internacional 24h</t>
  </si>
  <si>
    <t>36.484249, -4.989494</t>
  </si>
  <si>
    <t>https://www.farmaciainternacional24h.com/</t>
  </si>
  <si>
    <t>19.05.025</t>
  </si>
  <si>
    <t>Farmacia Jiménez Gómez</t>
  </si>
  <si>
    <t>36.510143, -4.882308</t>
  </si>
  <si>
    <t>19.05.026</t>
  </si>
  <si>
    <t>Farmacia Lasso</t>
  </si>
  <si>
    <t>36.493762, -4.775741</t>
  </si>
  <si>
    <t>Las Golondrinas, Centro Comercial CONTUR,</t>
  </si>
  <si>
    <t>19.05.027</t>
  </si>
  <si>
    <t>Farmacia Laura Moratalla</t>
  </si>
  <si>
    <t>36.512004, -4.882113</t>
  </si>
  <si>
    <t>Avenida de Europa 7</t>
  </si>
  <si>
    <t>19.05.028</t>
  </si>
  <si>
    <t>Farmacia Ldo. Sánchez García</t>
  </si>
  <si>
    <t>36.514867, -4.873715</t>
  </si>
  <si>
    <t>Avenida José Manuel Vallés 35</t>
  </si>
  <si>
    <t>19.05.029</t>
  </si>
  <si>
    <t>Farmacia Los Angeles</t>
  </si>
  <si>
    <t>36.522884, -4.892329</t>
  </si>
  <si>
    <t>Calle Padre Paco Ostos 11</t>
  </si>
  <si>
    <t>19.05.030</t>
  </si>
  <si>
    <t>Farmacia Marbella Pérez y Vera</t>
  </si>
  <si>
    <t>36.509410, -4.877357</t>
  </si>
  <si>
    <t>Avenida de Severo Ochoa 41</t>
  </si>
  <si>
    <t>19.05.031</t>
  </si>
  <si>
    <t>Farmacia Marbella Real</t>
  </si>
  <si>
    <t>36.508448, -4.915212</t>
  </si>
  <si>
    <t>19.05.032</t>
  </si>
  <si>
    <t>Farmacia Marco</t>
  </si>
  <si>
    <t>36.516042, -4.891439</t>
  </si>
  <si>
    <t>Calle Pinsapo 8</t>
  </si>
  <si>
    <t>19.05.033</t>
  </si>
  <si>
    <t>Farmacia Mingorance</t>
  </si>
  <si>
    <t>36.510587, -4.892632</t>
  </si>
  <si>
    <t>Avenida Ricardo Soriano 44</t>
  </si>
  <si>
    <t>19.05.034</t>
  </si>
  <si>
    <t>Farmacia Miraflores</t>
  </si>
  <si>
    <t>36.514077, -4.886580</t>
  </si>
  <si>
    <t>Calle Matrona Asunción Alameda 3</t>
  </si>
  <si>
    <t>19.05.035</t>
  </si>
  <si>
    <t>Farmacia Mª Angeles Rivera</t>
  </si>
  <si>
    <t>36.515651, -4.878988</t>
  </si>
  <si>
    <t>Calle San Bernabé 1</t>
  </si>
  <si>
    <t>19.05.036</t>
  </si>
  <si>
    <t>Farmacia Mª José Fernández López</t>
  </si>
  <si>
    <t>36.510728, -4.874011</t>
  </si>
  <si>
    <t>Avenida General López Domínguez</t>
  </si>
  <si>
    <t>19.05.037</t>
  </si>
  <si>
    <t>Farmacia Norte</t>
  </si>
  <si>
    <t>36.492154, -4.992070</t>
  </si>
  <si>
    <t>Avenida Pablo Ruiz Picasso 66</t>
  </si>
  <si>
    <t>19.05.038</t>
  </si>
  <si>
    <t>Farmacia Nueva Andalucia</t>
  </si>
  <si>
    <t>36.499026, -4.971138</t>
  </si>
  <si>
    <t>Miguel de Cervantes 8</t>
  </si>
  <si>
    <t>19.05.039</t>
  </si>
  <si>
    <t>Farmacia Paseo del Mar</t>
  </si>
  <si>
    <t>36.481878, -4.988360</t>
  </si>
  <si>
    <t>Avenida del Mar Mediterráneo</t>
  </si>
  <si>
    <t>19.05.040</t>
  </si>
  <si>
    <t>36.481855, -4.988366</t>
  </si>
  <si>
    <t>19.05.041</t>
  </si>
  <si>
    <t>Farmacia Pinomar</t>
  </si>
  <si>
    <t>36.500337, -4.799137</t>
  </si>
  <si>
    <t>19.05.042</t>
  </si>
  <si>
    <t>Farmacia Playas del Duque</t>
  </si>
  <si>
    <t>36.487389, -4.959383</t>
  </si>
  <si>
    <t>Avenida Playas del Duque 2</t>
  </si>
  <si>
    <t>19.05.043</t>
  </si>
  <si>
    <t>Farmacia Puerto Banús</t>
  </si>
  <si>
    <t>36.491758, -4.951501</t>
  </si>
  <si>
    <t>Avenida de las Naciones Unidas</t>
  </si>
  <si>
    <t>19.05.044</t>
  </si>
  <si>
    <t>Farmacia Raigón</t>
  </si>
  <si>
    <t>36.510592, -4.897716</t>
  </si>
  <si>
    <t>Avenida Ricardo Soriano 64</t>
  </si>
  <si>
    <t>19.05.045</t>
  </si>
  <si>
    <t>Farmacia Rodríguez Peñalver</t>
  </si>
  <si>
    <t>36.516014, -4.887777</t>
  </si>
  <si>
    <t>Avenida del Trapiche 29</t>
  </si>
  <si>
    <t>19.05.046</t>
  </si>
  <si>
    <t>Farmacia San Antonio</t>
  </si>
  <si>
    <t>36.514372, -4.881779</t>
  </si>
  <si>
    <t>Calle San Antonio 37</t>
  </si>
  <si>
    <t>19.05.047</t>
  </si>
  <si>
    <t>Farmacia Universal</t>
  </si>
  <si>
    <t>36.509961, -4.905542</t>
  </si>
  <si>
    <t>19.05.048</t>
  </si>
  <si>
    <t>Farmacia Víctor Navarro Manosalbas</t>
  </si>
  <si>
    <t>36.481392, -4.994024</t>
  </si>
  <si>
    <t>Calle Ávila 17</t>
  </si>
  <si>
    <t>19.05.049</t>
  </si>
  <si>
    <t>Healtfarma. Parafarmacia</t>
  </si>
  <si>
    <t>36.521467, -4.874423</t>
  </si>
  <si>
    <t>http://www.healtfarma.es</t>
  </si>
  <si>
    <t>19.06</t>
  </si>
  <si>
    <t>Aseos públicos</t>
  </si>
  <si>
    <t>Aseos públicos, incluidos los de playa (complementaria).</t>
  </si>
  <si>
    <t>19.06.001</t>
  </si>
  <si>
    <t>Aseo público</t>
  </si>
  <si>
    <t>36.506548, -4.905739</t>
  </si>
  <si>
    <t>19.06.002</t>
  </si>
  <si>
    <t>36.488253, -4.989132</t>
  </si>
  <si>
    <t>19.06.003</t>
  </si>
  <si>
    <t>36.482615, -4.987640</t>
  </si>
  <si>
    <t>19.06.004</t>
  </si>
  <si>
    <t>36.481155, -4.989897</t>
  </si>
  <si>
    <t>19.06.005</t>
  </si>
  <si>
    <t>36.479501, -4.992535</t>
  </si>
  <si>
    <t>19.06.006</t>
  </si>
  <si>
    <t>36.489895, -4.950994</t>
  </si>
  <si>
    <t>19.06.007</t>
  </si>
  <si>
    <t>36.506828, -4.883572</t>
  </si>
  <si>
    <t>19.06.008</t>
  </si>
  <si>
    <t>36.508007, -4.891378</t>
  </si>
  <si>
    <t>19.06.009</t>
  </si>
  <si>
    <t>36.493058, -4.959926</t>
  </si>
  <si>
    <t>19.06.010</t>
  </si>
  <si>
    <t>36.505577, -4.914156</t>
  </si>
  <si>
    <t>19.06.011</t>
  </si>
  <si>
    <t>36.484794, -4.742564</t>
  </si>
  <si>
    <t>19.06.012</t>
  </si>
  <si>
    <t>36.507971, -4.867732</t>
  </si>
  <si>
    <t>19.06.013</t>
  </si>
  <si>
    <t>36.496079, -4.800977</t>
  </si>
  <si>
    <t>19.06.014</t>
  </si>
  <si>
    <t>36.507843, -4.862268</t>
  </si>
  <si>
    <t>19.06.015</t>
  </si>
  <si>
    <t>36.484768, -4.743086</t>
  </si>
  <si>
    <t>19.06.016</t>
  </si>
  <si>
    <t>36.464500, -4.999776</t>
  </si>
  <si>
    <t>19.06.017</t>
  </si>
  <si>
    <t>36.488738, -4.770725</t>
  </si>
  <si>
    <t>19.06.018</t>
  </si>
  <si>
    <t>36.490405, -4.776616</t>
  </si>
  <si>
    <t>19.06.019</t>
  </si>
  <si>
    <t>36.491382, -4.780842</t>
  </si>
  <si>
    <t>19.06.020</t>
  </si>
  <si>
    <t>36.492229, -4.785290</t>
  </si>
  <si>
    <t>19.06.021</t>
  </si>
  <si>
    <t>36.522492, -4.872292</t>
  </si>
  <si>
    <t>19.06.022</t>
  </si>
  <si>
    <t>36.522148, -4.873806</t>
  </si>
  <si>
    <t>19.06.023</t>
  </si>
  <si>
    <t>36.519761, -4.892226</t>
  </si>
  <si>
    <t>19.06.024</t>
  </si>
  <si>
    <t>36.474167, -4.984414</t>
  </si>
  <si>
    <t>19.06.025</t>
  </si>
  <si>
    <t>36.490720, -4.949049</t>
  </si>
  <si>
    <t>19.06.026</t>
  </si>
  <si>
    <t>36.478225, -4.977606</t>
  </si>
  <si>
    <t>19.06.027</t>
  </si>
  <si>
    <t>36.503952, -4.843471</t>
  </si>
  <si>
    <t>19.06.028</t>
  </si>
  <si>
    <t>36.508221, -4.869934</t>
  </si>
  <si>
    <t>19.06.029</t>
  </si>
  <si>
    <t>36.507863, -4.866730</t>
  </si>
  <si>
    <t>19.06.030</t>
  </si>
  <si>
    <t>36.506966, -4.886773</t>
  </si>
  <si>
    <t>19.06.031</t>
  </si>
  <si>
    <t>36.482978, -4.964936</t>
  </si>
  <si>
    <t>19.06.032</t>
  </si>
  <si>
    <t>36.507731, -4.859723</t>
  </si>
  <si>
    <t>19.06.033</t>
  </si>
  <si>
    <t>36.506647, -4.853802</t>
  </si>
  <si>
    <t>19.06.034</t>
  </si>
  <si>
    <t>36.507970, -4.861999</t>
  </si>
  <si>
    <t>19.06.035</t>
  </si>
  <si>
    <t>36.507196, -4.856545</t>
  </si>
  <si>
    <t>19.06.036</t>
  </si>
  <si>
    <t>36.506794, -4.900197</t>
  </si>
  <si>
    <t>19.06.037</t>
  </si>
  <si>
    <t>36.502991, -4.919832</t>
  </si>
  <si>
    <t>19.06.038</t>
  </si>
  <si>
    <t>36.491577, -4.947827</t>
  </si>
  <si>
    <t>19.06.039</t>
  </si>
  <si>
    <t>36.495287, -4.943178</t>
  </si>
  <si>
    <t>19.06.040</t>
  </si>
  <si>
    <t>36.495258, -4.943227</t>
  </si>
  <si>
    <t>19.06.041</t>
  </si>
  <si>
    <t>36.489224, -4.742816</t>
  </si>
  <si>
    <t>19.06.042</t>
  </si>
  <si>
    <t>36.489611, -4.742406</t>
  </si>
  <si>
    <t>19.06.043</t>
  </si>
  <si>
    <t>36.525390, -4.894653</t>
  </si>
  <si>
    <t>19.06.044</t>
  </si>
  <si>
    <t>36.512675, -4.887531</t>
  </si>
  <si>
    <t>19.06.045</t>
  </si>
  <si>
    <t>36.490313, -4.742392</t>
  </si>
  <si>
    <t>19.06.046</t>
  </si>
  <si>
    <t>36.491644, -4.742258</t>
  </si>
  <si>
    <t>19.06.047</t>
  </si>
  <si>
    <t>36.480116, -4.970171</t>
  </si>
  <si>
    <t>19.06.048</t>
  </si>
  <si>
    <t>Baños</t>
  </si>
  <si>
    <t>36.491877, -4.782539</t>
  </si>
  <si>
    <t>19.07</t>
  </si>
  <si>
    <t>Puntos de recarga eléctrica</t>
  </si>
  <si>
    <t>Puntos de recarga de vehículo eléctrico (complementaria).</t>
  </si>
  <si>
    <t>19.07.001</t>
  </si>
  <si>
    <t>Porsche</t>
  </si>
  <si>
    <t>36.495509, -4.950224</t>
  </si>
  <si>
    <t>19.07.002</t>
  </si>
  <si>
    <t>36.485998, -4.954383</t>
  </si>
  <si>
    <t>19.07.003</t>
  </si>
  <si>
    <t>Punto de recarga</t>
  </si>
  <si>
    <t>36.509157, -4.909245</t>
  </si>
  <si>
    <t>19.07.004</t>
  </si>
  <si>
    <t>36.509159, -4.909237</t>
  </si>
  <si>
    <t>19.07.005</t>
  </si>
  <si>
    <t>36.509164, -4.909216</t>
  </si>
  <si>
    <t>19.07.006</t>
  </si>
  <si>
    <t>Repsol</t>
  </si>
  <si>
    <t>36.500357, -4.799079</t>
  </si>
  <si>
    <t>Total</t>
  </si>
  <si>
    <t>Notas</t>
  </si>
  <si>
    <t>Nivel 1 = capa; 2 = subcapa; 3 = subconjunto de una subcapa (p. ej. playas con Q de Calidad); 4 = elemento. Los totales de cada capa suman solo el nivel 2 para no contar dos veces.</t>
  </si>
  <si>
    <t>«De la web»: subcapa que reproduce una sección de turismo.marbella.es. «Complementaria» (en cursiva): subcapa añadida con otras fuentes (OSM, OpenRTA, REDIAM...).</t>
  </si>
  <si>
    <t>Coordenadas: una por ubicación, en grados decimales WGS84 (latitud, longitud). Puntos: las del visor. Polígonos: el marcador de la web si lo hay; si no, su centro (siempre dentro del polígono). Líneas: el punto a mitad de recorrido. Las ubicaciones aproximadas lo indican en «Pendiente / aviso». «Sin ubicación»: la web no la publica.</t>
  </si>
  <si>
    <t>Los códigos y las coordenadas son los mismos que muestra el visor al pinchar en cada elemento. Fuente: datos del visor (2026-10-21).</t>
  </si>
  <si>
    <t>Resumen por capa</t>
  </si>
  <si>
    <t>Subcapas (nivel 2)</t>
  </si>
  <si>
    <t>Complementarias</t>
  </si>
  <si>
    <t>Sub-subcapas (nivel 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</si>
</sst>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b/>
      <sz val="16"/>
      <color rgb="FF37A0B4"/>
      <name val="Arial"/>
    </font>
    <font>
      <i/>
      <sz val="10"/>
      <color rgb="FF555555"/>
      <name val="Arial"/>
    </font>
    <font>
      <b/>
      <sz val="11"/>
      <color rgb="FFFFFFFF"/>
      <name val="Arial"/>
    </font>
    <font>
      <sz val="11"/>
      <color rgb="FF222222"/>
      <name val="Arial"/>
    </font>
    <font>
      <b/>
      <sz val="11"/>
      <color rgb="FF222222"/>
      <name val="Arial"/>
    </font>
    <font>
      <sz val="11"/>
      <color rgb="FFC0392B"/>
      <name val="Arial"/>
    </font>
    <font>
      <sz val="9"/>
      <color rgb="FF444444"/>
      <name val="Arial"/>
    </font>
    <font>
      <sz val="9"/>
      <color rgb="FFC0392B"/>
      <name val="Arial"/>
    </font>
    <font>
      <b/>
      <i/>
      <sz val="11"/>
      <color rgb="FF222222"/>
      <name val="Arial"/>
    </font>
    <font>
      <i/>
      <sz val="11"/>
      <color rgb="FF222222"/>
      <name val="Arial"/>
    </font>
    <font>
      <i/>
      <sz val="11"/>
      <color rgb="FFFFFFFF"/>
      <name val="Arial"/>
    </font>
    <font>
      <b/>
      <sz val="11"/>
      <name val="Arial"/>
    </font>
    <font>
      <b/>
      <sz val="11"/>
      <color rgb="FF37A0B4"/>
      <name val="Arial"/>
    </font>
    <font>
      <sz val="10"/>
      <color rgb="FF555555"/>
      <name val="Arial"/>
    </font>
    <font>
      <sz val="11"/>
      <name val="Arial"/>
    </font>
    <font>
      <b/>
      <sz val="14"/>
      <color rgb="FF1F4E79"/>
      <name val="Calibri"/>
    </font>
    <font>
      <b/>
      <sz val="11"/>
      <color rgb="FFFFFFFF"/>
      <name val="Calibri"/>
    </font>
    <font>
      <sz val="11"/>
      <color rgb="FF000000"/>
      <name val="Calibri"/>
    </font>
  </fonts>
  <fills count="48">
    <fill>
      <patternFill patternType="none"/>
    </fill>
    <fill>
      <patternFill patternType="gray125"/>
    </fill>
    <fill>
      <patternFill patternType="solid">
        <fgColor rgb="FF37A0B4"/>
      </patternFill>
    </fill>
    <fill>
      <patternFill patternType="solid">
        <fgColor rgb="FF0E7FB8"/>
      </patternFill>
    </fill>
    <fill>
      <patternFill patternType="solid">
        <fgColor rgb="FFDAEBF4"/>
      </patternFill>
    </fill>
    <fill>
      <patternFill patternType="solid">
        <fgColor rgb="FFEEF6FA"/>
      </patternFill>
    </fill>
    <fill>
      <patternFill patternType="solid">
        <fgColor rgb="FF00838F"/>
      </patternFill>
    </fill>
    <fill>
      <patternFill patternType="solid">
        <fgColor rgb="FFD8ECEE"/>
      </patternFill>
    </fill>
    <fill>
      <patternFill patternType="solid">
        <fgColor rgb="FF3A8D3F"/>
      </patternFill>
    </fill>
    <fill>
      <patternFill patternType="solid">
        <fgColor rgb="FFE1EDE2"/>
      </patternFill>
    </fill>
    <fill>
      <patternFill patternType="solid">
        <fgColor rgb="FFC0392B"/>
      </patternFill>
    </fill>
    <fill>
      <patternFill patternType="solid">
        <fgColor rgb="FFF5E1DF"/>
      </patternFill>
    </fill>
    <fill>
      <patternFill patternType="solid">
        <fgColor rgb="FF7D3C98"/>
      </patternFill>
    </fill>
    <fill>
      <patternFill patternType="solid">
        <fgColor rgb="FFEBE1EF"/>
      </patternFill>
    </fill>
    <fill>
      <patternFill patternType="solid">
        <fgColor rgb="FFF5F1F7"/>
      </patternFill>
    </fill>
    <fill>
      <patternFill patternType="solid">
        <fgColor rgb="FF2E7D32"/>
      </patternFill>
    </fill>
    <fill>
      <patternFill patternType="solid">
        <fgColor rgb="FFDFEBE0"/>
      </patternFill>
    </fill>
    <fill>
      <patternFill patternType="solid">
        <fgColor rgb="FFF0F5F0"/>
      </patternFill>
    </fill>
    <fill>
      <patternFill patternType="solid">
        <fgColor rgb="FF558B2F"/>
      </patternFill>
    </fill>
    <fill>
      <patternFill patternType="solid">
        <fgColor rgb="FFE5EDDF"/>
      </patternFill>
    </fill>
    <fill>
      <patternFill patternType="solid">
        <fgColor rgb="FFD81B60"/>
      </patternFill>
    </fill>
    <fill>
      <patternFill patternType="solid">
        <fgColor rgb="FFF9DCE7"/>
      </patternFill>
    </fill>
    <fill>
      <patternFill patternType="solid">
        <fgColor rgb="FF8E5B3E"/>
      </patternFill>
    </fill>
    <fill>
      <patternFill patternType="solid">
        <fgColor rgb="FFEEE6E2"/>
      </patternFill>
    </fill>
    <fill>
      <patternFill patternType="solid">
        <fgColor rgb="FFF7F3F1"/>
      </patternFill>
    </fill>
    <fill>
      <patternFill patternType="solid">
        <fgColor rgb="FF6A1B9A"/>
      </patternFill>
    </fill>
    <fill>
      <patternFill patternType="solid">
        <fgColor rgb="FFE8DCEF"/>
      </patternFill>
    </fill>
    <fill>
      <patternFill patternType="solid">
        <fgColor rgb="FF1565C0"/>
      </patternFill>
    </fill>
    <fill>
      <patternFill patternType="solid">
        <fgColor rgb="FFDBE7F5"/>
      </patternFill>
    </fill>
    <fill>
      <patternFill patternType="solid">
        <fgColor rgb="FFEEF4FA"/>
      </patternFill>
    </fill>
    <fill>
      <patternFill patternType="solid">
        <fgColor rgb="FF00897B"/>
      </patternFill>
    </fill>
    <fill>
      <patternFill patternType="solid">
        <fgColor rgb="FFD8EDEB"/>
      </patternFill>
    </fill>
    <fill>
      <patternFill patternType="solid">
        <fgColor rgb="FFEDF6F5"/>
      </patternFill>
    </fill>
    <fill>
      <patternFill patternType="solid">
        <fgColor rgb="FFAD1457"/>
      </patternFill>
    </fill>
    <fill>
      <patternFill patternType="solid">
        <fgColor rgb="FFF2DBE5"/>
      </patternFill>
    </fill>
    <fill>
      <patternFill patternType="solid">
        <fgColor rgb="FF6D4C41"/>
      </patternFill>
    </fill>
    <fill>
      <patternFill patternType="solid">
        <fgColor rgb="FFE9E4E2"/>
      </patternFill>
    </fill>
    <fill>
      <patternFill patternType="solid">
        <fgColor rgb="FF455A64"/>
      </patternFill>
    </fill>
    <fill>
      <patternFill patternType="solid">
        <fgColor rgb="FFE3E6E7"/>
      </patternFill>
    </fill>
    <fill>
      <patternFill patternType="solid">
        <fgColor rgb="FFEF6C00"/>
      </patternFill>
    </fill>
    <fill>
      <patternFill patternType="solid">
        <fgColor rgb="FFFCE8D8"/>
      </patternFill>
    </fill>
    <fill>
      <patternFill patternType="solid">
        <fgColor rgb="FFC2185B"/>
      </patternFill>
    </fill>
    <fill>
      <patternFill patternType="solid">
        <fgColor rgb="FFF5DCE6"/>
      </patternFill>
    </fill>
    <fill>
      <patternFill patternType="solid">
        <fgColor rgb="FF5D4037"/>
      </patternFill>
    </fill>
    <fill>
      <patternFill patternType="solid">
        <fgColor rgb="FFE6E2E1"/>
      </patternFill>
    </fill>
    <fill>
      <patternFill patternType="solid">
        <fgColor rgb="FF37474F"/>
      </patternFill>
    </fill>
    <fill>
      <patternFill patternType="solid">
        <fgColor rgb="FFE1E3E4"/>
      </patternFill>
    </fill>
    <fill>
      <patternFill patternType="solid">
        <fgColor rgb="FF1F4E79"/>
      </patternFill>
    </fill>
  </fills>
  <borders count="3">
    <border>
      <left/>
      <right/>
      <top/>
      <bottom/>
      <diagonal/>
    </border>
    <border>
      <left/>
      <right/>
      <top/>
      <bottom style="thin">
        <color rgb="FFD0D7DE"/>
      </bottom>
      <diagonal/>
    </border>
    <border>
      <left/>
      <right/>
      <top style="medium">
        <color rgb="FF37A0B4"/>
      </top>
      <bottom/>
      <diagonal/>
    </border>
  </borders>
  <cellStyleXfs count="1">
    <xf numFmtId="0" fontId="0" fillId="0" borderId="0"/>
  </cellStyleXfs>
  <cellXfs count="334">
    <xf numFmtId="0" fontId="0" fillId="0" borderId="0" xfId="0"/>
    <xf numFmtId="0" fontId="16" fillId="0" borderId="0" xfId="0" applyFont="1"/>
    <xf numFmtId="0" fontId="17" fillId="47" borderId="0" xfId="0" applyFont="1" applyFill="1"/>
    <xf numFmtId="0" fontId="17" fillId="3" borderId="0" xfId="0" applyFont="1" applyFill="1" applyAlignment="1">
      <alignment horizontal="left"/>
    </xf>
    <xf numFmtId="0" fontId="17" fillId="3" borderId="0" xfId="0" applyFont="1" applyFill="1"/>
    <xf numFmtId="0" fontId="18" fillId="4" borderId="0" xfId="0" applyFont="1" applyFill="1" applyAlignment="1">
      <alignment horizontal="left"/>
    </xf>
    <xf numFmtId="0" fontId="18" fillId="4" borderId="0" xfId="0" applyFont="1" applyFill="1"/>
    <xf numFmtId="0" fontId="18" fillId="5" borderId="0" xfId="0" applyFont="1" applyFill="1" applyAlignment="1">
      <alignment horizontal="left"/>
    </xf>
    <xf numFmtId="0" fontId="18" fillId="5" borderId="0" xfId="0" applyFont="1" applyFill="1"/>
    <xf numFmtId="0" fontId="17" fillId="6" borderId="0" xfId="0" applyFont="1" applyFill="1" applyAlignment="1">
      <alignment horizontal="left"/>
    </xf>
    <xf numFmtId="0" fontId="17" fillId="6" borderId="0" xfId="0" applyFont="1" applyFill="1"/>
    <xf numFmtId="0" fontId="18" fillId="7" borderId="0" xfId="0" applyFont="1" applyFill="1" applyAlignment="1">
      <alignment horizontal="left"/>
    </xf>
    <xf numFmtId="0" fontId="18" fillId="7" borderId="0" xfId="0" applyFont="1" applyFill="1"/>
    <xf numFmtId="0" fontId="17" fillId="8" borderId="0" xfId="0" applyFont="1" applyFill="1" applyAlignment="1">
      <alignment horizontal="left"/>
    </xf>
    <xf numFmtId="0" fontId="17" fillId="8" borderId="0" xfId="0" applyFont="1" applyFill="1"/>
    <xf numFmtId="0" fontId="18" fillId="9" borderId="0" xfId="0" applyFont="1" applyFill="1" applyAlignment="1">
      <alignment horizontal="left"/>
    </xf>
    <xf numFmtId="0" fontId="18" fillId="9" borderId="0" xfId="0" applyFont="1" applyFill="1"/>
    <xf numFmtId="0" fontId="17" fillId="10" borderId="0" xfId="0" applyFont="1" applyFill="1" applyAlignment="1">
      <alignment horizontal="left"/>
    </xf>
    <xf numFmtId="0" fontId="17" fillId="10" borderId="0" xfId="0" applyFont="1" applyFill="1"/>
    <xf numFmtId="0" fontId="18" fillId="11" borderId="0" xfId="0" applyFont="1" applyFill="1" applyAlignment="1">
      <alignment horizontal="left"/>
    </xf>
    <xf numFmtId="0" fontId="18" fillId="11" borderId="0" xfId="0" applyFont="1" applyFill="1"/>
    <xf numFmtId="0" fontId="17" fillId="12" borderId="0" xfId="0" applyFont="1" applyFill="1" applyAlignment="1">
      <alignment horizontal="left"/>
    </xf>
    <xf numFmtId="0" fontId="17" fillId="12" borderId="0" xfId="0" applyFont="1" applyFill="1"/>
    <xf numFmtId="0" fontId="18" fillId="13" borderId="0" xfId="0" applyFont="1" applyFill="1" applyAlignment="1">
      <alignment horizontal="left"/>
    </xf>
    <xf numFmtId="0" fontId="18" fillId="13" borderId="0" xfId="0" applyFont="1" applyFill="1"/>
    <xf numFmtId="0" fontId="18" fillId="14" borderId="0" xfId="0" applyFont="1" applyFill="1" applyAlignment="1">
      <alignment horizontal="left"/>
    </xf>
    <xf numFmtId="0" fontId="18" fillId="14" borderId="0" xfId="0" applyFont="1" applyFill="1"/>
    <xf numFmtId="0" fontId="17" fillId="15" borderId="0" xfId="0" applyFont="1" applyFill="1" applyAlignment="1">
      <alignment horizontal="left"/>
    </xf>
    <xf numFmtId="0" fontId="17" fillId="15" borderId="0" xfId="0" applyFont="1" applyFill="1"/>
    <xf numFmtId="0" fontId="18" fillId="16" borderId="0" xfId="0" applyFont="1" applyFill="1" applyAlignment="1">
      <alignment horizontal="left"/>
    </xf>
    <xf numFmtId="0" fontId="18" fillId="16" borderId="0" xfId="0" applyFont="1" applyFill="1"/>
    <xf numFmtId="0" fontId="18" fillId="17" borderId="0" xfId="0" applyFont="1" applyFill="1" applyAlignment="1">
      <alignment horizontal="left"/>
    </xf>
    <xf numFmtId="0" fontId="18" fillId="17" borderId="0" xfId="0" applyFont="1" applyFill="1"/>
    <xf numFmtId="0" fontId="17" fillId="18" borderId="0" xfId="0" applyFont="1" applyFill="1" applyAlignment="1">
      <alignment horizontal="left"/>
    </xf>
    <xf numFmtId="0" fontId="17" fillId="18" borderId="0" xfId="0" applyFont="1" applyFill="1"/>
    <xf numFmtId="0" fontId="18" fillId="19" borderId="0" xfId="0" applyFont="1" applyFill="1" applyAlignment="1">
      <alignment horizontal="left"/>
    </xf>
    <xf numFmtId="0" fontId="18" fillId="19" borderId="0" xfId="0" applyFont="1" applyFill="1"/>
    <xf numFmtId="0" fontId="17" fillId="20" borderId="0" xfId="0" applyFont="1" applyFill="1" applyAlignment="1">
      <alignment horizontal="left"/>
    </xf>
    <xf numFmtId="0" fontId="17" fillId="20" borderId="0" xfId="0" applyFont="1" applyFill="1"/>
    <xf numFmtId="0" fontId="18" fillId="21" borderId="0" xfId="0" applyFont="1" applyFill="1" applyAlignment="1">
      <alignment horizontal="left"/>
    </xf>
    <xf numFmtId="0" fontId="18" fillId="21" borderId="0" xfId="0" applyFont="1" applyFill="1"/>
    <xf numFmtId="0" fontId="17" fillId="22" borderId="0" xfId="0" applyFont="1" applyFill="1" applyAlignment="1">
      <alignment horizontal="left"/>
    </xf>
    <xf numFmtId="0" fontId="17" fillId="22" borderId="0" xfId="0" applyFont="1" applyFill="1"/>
    <xf numFmtId="0" fontId="18" fillId="23" borderId="0" xfId="0" applyFont="1" applyFill="1" applyAlignment="1">
      <alignment horizontal="left"/>
    </xf>
    <xf numFmtId="0" fontId="18" fillId="23" borderId="0" xfId="0" applyFont="1" applyFill="1"/>
    <xf numFmtId="0" fontId="18" fillId="24" borderId="0" xfId="0" applyFont="1" applyFill="1" applyAlignment="1">
      <alignment horizontal="left"/>
    </xf>
    <xf numFmtId="0" fontId="18" fillId="24" borderId="0" xfId="0" applyFont="1" applyFill="1"/>
    <xf numFmtId="0" fontId="17" fillId="25" borderId="0" xfId="0" applyFont="1" applyFill="1" applyAlignment="1">
      <alignment horizontal="left"/>
    </xf>
    <xf numFmtId="0" fontId="17" fillId="25" borderId="0" xfId="0" applyFont="1" applyFill="1"/>
    <xf numFmtId="0" fontId="18" fillId="26" borderId="0" xfId="0" applyFont="1" applyFill="1" applyAlignment="1">
      <alignment horizontal="left"/>
    </xf>
    <xf numFmtId="0" fontId="18" fillId="26" borderId="0" xfId="0" applyFont="1" applyFill="1"/>
    <xf numFmtId="0" fontId="17" fillId="27" borderId="0" xfId="0" applyFont="1" applyFill="1" applyAlignment="1">
      <alignment horizontal="left"/>
    </xf>
    <xf numFmtId="0" fontId="17" fillId="27" borderId="0" xfId="0" applyFont="1" applyFill="1"/>
    <xf numFmtId="0" fontId="18" fillId="28" borderId="0" xfId="0" applyFont="1" applyFill="1" applyAlignment="1">
      <alignment horizontal="left"/>
    </xf>
    <xf numFmtId="0" fontId="18" fillId="28" borderId="0" xfId="0" applyFont="1" applyFill="1"/>
    <xf numFmtId="0" fontId="18" fillId="29" borderId="0" xfId="0" applyFont="1" applyFill="1" applyAlignment="1">
      <alignment horizontal="left"/>
    </xf>
    <xf numFmtId="0" fontId="18" fillId="29" borderId="0" xfId="0" applyFont="1" applyFill="1"/>
    <xf numFmtId="0" fontId="17" fillId="30" borderId="0" xfId="0" applyFont="1" applyFill="1" applyAlignment="1">
      <alignment horizontal="left"/>
    </xf>
    <xf numFmtId="0" fontId="17" fillId="30" borderId="0" xfId="0" applyFont="1" applyFill="1"/>
    <xf numFmtId="0" fontId="18" fillId="31" borderId="0" xfId="0" applyFont="1" applyFill="1" applyAlignment="1">
      <alignment horizontal="left"/>
    </xf>
    <xf numFmtId="0" fontId="18" fillId="31" borderId="0" xfId="0" applyFont="1" applyFill="1"/>
    <xf numFmtId="0" fontId="18" fillId="32" borderId="0" xfId="0" applyFont="1" applyFill="1" applyAlignment="1">
      <alignment horizontal="left"/>
    </xf>
    <xf numFmtId="0" fontId="18" fillId="32" borderId="0" xfId="0" applyFont="1" applyFill="1"/>
    <xf numFmtId="0" fontId="17" fillId="33" borderId="0" xfId="0" applyFont="1" applyFill="1" applyAlignment="1">
      <alignment horizontal="left"/>
    </xf>
    <xf numFmtId="0" fontId="17" fillId="33" borderId="0" xfId="0" applyFont="1" applyFill="1"/>
    <xf numFmtId="0" fontId="18" fillId="34" borderId="0" xfId="0" applyFont="1" applyFill="1" applyAlignment="1">
      <alignment horizontal="left"/>
    </xf>
    <xf numFmtId="0" fontId="18" fillId="34" borderId="0" xfId="0" applyFont="1" applyFill="1"/>
    <xf numFmtId="0" fontId="17" fillId="35" borderId="0" xfId="0" applyFont="1" applyFill="1" applyAlignment="1">
      <alignment horizontal="left"/>
    </xf>
    <xf numFmtId="0" fontId="17" fillId="35" borderId="0" xfId="0" applyFont="1" applyFill="1"/>
    <xf numFmtId="0" fontId="18" fillId="36" borderId="0" xfId="0" applyFont="1" applyFill="1" applyAlignment="1">
      <alignment horizontal="left"/>
    </xf>
    <xf numFmtId="0" fontId="18" fillId="36" borderId="0" xfId="0" applyFont="1" applyFill="1"/>
    <xf numFmtId="0" fontId="17" fillId="37" borderId="0" xfId="0" applyFont="1" applyFill="1" applyAlignment="1">
      <alignment horizontal="left"/>
    </xf>
    <xf numFmtId="0" fontId="17" fillId="37" borderId="0" xfId="0" applyFont="1" applyFill="1"/>
    <xf numFmtId="0" fontId="18" fillId="38" borderId="0" xfId="0" applyFont="1" applyFill="1" applyAlignment="1">
      <alignment horizontal="left"/>
    </xf>
    <xf numFmtId="0" fontId="18" fillId="38" borderId="0" xfId="0" applyFont="1" applyFill="1"/>
    <xf numFmtId="0" fontId="17" fillId="39" borderId="0" xfId="0" applyFont="1" applyFill="1" applyAlignment="1">
      <alignment horizontal="left"/>
    </xf>
    <xf numFmtId="0" fontId="17" fillId="39" borderId="0" xfId="0" applyFont="1" applyFill="1"/>
    <xf numFmtId="0" fontId="18" fillId="40" borderId="0" xfId="0" applyFont="1" applyFill="1" applyAlignment="1">
      <alignment horizontal="left"/>
    </xf>
    <xf numFmtId="0" fontId="18" fillId="40" borderId="0" xfId="0" applyFont="1" applyFill="1"/>
    <xf numFmtId="0" fontId="17" fillId="41" borderId="0" xfId="0" applyFont="1" applyFill="1" applyAlignment="1">
      <alignment horizontal="left"/>
    </xf>
    <xf numFmtId="0" fontId="17" fillId="41" borderId="0" xfId="0" applyFont="1" applyFill="1"/>
    <xf numFmtId="0" fontId="18" fillId="42" borderId="0" xfId="0" applyFont="1" applyFill="1" applyAlignment="1">
      <alignment horizontal="left"/>
    </xf>
    <xf numFmtId="0" fontId="18" fillId="42" borderId="0" xfId="0" applyFont="1" applyFill="1"/>
    <xf numFmtId="0" fontId="17" fillId="43" borderId="0" xfId="0" applyFont="1" applyFill="1" applyAlignment="1">
      <alignment horizontal="left"/>
    </xf>
    <xf numFmtId="0" fontId="17" fillId="43" borderId="0" xfId="0" applyFont="1" applyFill="1"/>
    <xf numFmtId="0" fontId="18" fillId="44" borderId="0" xfId="0" applyFont="1" applyFill="1" applyAlignment="1">
      <alignment horizontal="left"/>
    </xf>
    <xf numFmtId="0" fontId="18" fillId="44" borderId="0" xfId="0" applyFont="1" applyFill="1"/>
    <xf numFmtId="0" fontId="17" fillId="45" borderId="0" xfId="0" applyFont="1" applyFill="1" applyAlignment="1">
      <alignment horizontal="left"/>
    </xf>
    <xf numFmtId="0" fontId="17" fillId="45" borderId="0" xfId="0" applyFont="1" applyFill="1"/>
    <xf numFmtId="0" fontId="18" fillId="46" borderId="0" xfId="0" applyFont="1" applyFill="1" applyAlignment="1">
      <alignment horizontal="left"/>
    </xf>
    <xf numFmtId="0" fontId="18" fillId="46" borderId="0" xfId="0" applyFont="1" applyFill="1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center" vertical="top"/>
    </xf>
    <xf numFmtId="0" fontId="3" fillId="3" borderId="0" xfId="0" applyFont="1" applyFill="1" applyAlignment="1">
      <alignment horizontal="left" vertical="top"/>
    </xf>
    <xf numFmtId="0" fontId="11" fillId="3" borderId="0" xfId="0" applyFont="1" applyFill="1" applyAlignment="1">
      <alignment horizontal="left" vertical="top"/>
    </xf>
    <xf numFmtId="3" fontId="3" fillId="3" borderId="0" xfId="0" applyNumberFormat="1" applyFont="1" applyFill="1" applyAlignment="1">
      <alignment horizontal="center" vertical="top"/>
    </xf>
    <xf numFmtId="0" fontId="3" fillId="3" borderId="0" xfId="0" applyFont="1" applyFill="1" applyAlignment="1">
      <alignment horizontal="left" vertical="top" wrapText="1"/>
    </xf>
    <xf numFmtId="0" fontId="4" fillId="4" borderId="1" xfId="0" applyFont="1" applyFill="1" applyBorder="1" applyAlignment="1">
      <alignment horizontal="center" vertical="top"/>
    </xf>
    <xf numFmtId="0" fontId="4" fillId="4" borderId="1" xfId="0" applyFont="1" applyFill="1" applyBorder="1" applyAlignment="1">
      <alignment horizontal="left" vertical="top"/>
    </xf>
    <xf numFmtId="0" fontId="5" fillId="4" borderId="1" xfId="0" applyFont="1" applyFill="1" applyBorder="1" applyAlignment="1">
      <alignment horizontal="left" vertical="top"/>
    </xf>
    <xf numFmtId="0" fontId="4" fillId="4" borderId="1" xfId="0" applyFont="1" applyFill="1" applyBorder="1" applyAlignment="1">
      <alignment horizontal="left" vertical="top" wrapText="1"/>
    </xf>
    <xf numFmtId="0" fontId="6" fillId="4" borderId="1" xfId="0" applyFont="1" applyFill="1" applyBorder="1" applyAlignment="1">
      <alignment horizontal="left" vertical="top" wrapText="1"/>
    </xf>
    <xf numFmtId="0" fontId="7" fillId="0" borderId="1" xfId="0" applyFont="1" applyBorder="1" applyAlignment="1">
      <alignment horizontal="center" vertical="top"/>
    </xf>
    <xf numFmtId="0" fontId="7" fillId="0" borderId="1" xfId="0" applyFont="1" applyBorder="1" applyAlignment="1">
      <alignment horizontal="left" vertical="top"/>
    </xf>
    <xf numFmtId="0" fontId="8" fillId="0" borderId="1" xfId="0" applyFont="1" applyBorder="1" applyAlignment="1">
      <alignment horizontal="left" vertical="top"/>
    </xf>
    <xf numFmtId="0" fontId="4" fillId="5" borderId="1" xfId="0" applyFont="1" applyFill="1" applyBorder="1" applyAlignment="1">
      <alignment horizontal="center" vertical="top"/>
    </xf>
    <xf numFmtId="0" fontId="4" fillId="5" borderId="1" xfId="0" applyFont="1" applyFill="1" applyBorder="1" applyAlignment="1">
      <alignment horizontal="left" vertical="top"/>
    </xf>
    <xf numFmtId="0" fontId="4" fillId="5" borderId="1" xfId="0" applyFont="1" applyFill="1" applyBorder="1" applyAlignment="1">
      <alignment horizontal="left" vertical="top" wrapText="1"/>
    </xf>
    <xf numFmtId="0" fontId="6" fillId="5" borderId="1" xfId="0" applyFont="1" applyFill="1" applyBorder="1" applyAlignment="1">
      <alignment horizontal="left" vertical="top" wrapText="1"/>
    </xf>
    <xf numFmtId="0" fontId="9" fillId="4" borderId="1" xfId="0" applyFont="1" applyFill="1" applyBorder="1" applyAlignment="1">
      <alignment horizontal="left" vertical="top"/>
    </xf>
    <xf numFmtId="0" fontId="10" fillId="4" borderId="1" xfId="0" applyFont="1" applyFill="1" applyBorder="1" applyAlignment="1">
      <alignment horizontal="left" vertical="top"/>
    </xf>
    <xf numFmtId="0" fontId="3" fillId="6" borderId="0" xfId="0" applyFont="1" applyFill="1" applyAlignment="1">
      <alignment horizontal="center" vertical="top"/>
    </xf>
    <xf numFmtId="0" fontId="3" fillId="6" borderId="0" xfId="0" applyFont="1" applyFill="1" applyAlignment="1">
      <alignment horizontal="left" vertical="top"/>
    </xf>
    <xf numFmtId="0" fontId="11" fillId="6" borderId="0" xfId="0" applyFont="1" applyFill="1" applyAlignment="1">
      <alignment horizontal="left" vertical="top"/>
    </xf>
    <xf numFmtId="3" fontId="3" fillId="6" borderId="0" xfId="0" applyNumberFormat="1" applyFont="1" applyFill="1" applyAlignment="1">
      <alignment horizontal="center" vertical="top"/>
    </xf>
    <xf numFmtId="0" fontId="3" fillId="6" borderId="0" xfId="0" applyFont="1" applyFill="1" applyAlignment="1">
      <alignment horizontal="left" vertical="top" wrapText="1"/>
    </xf>
    <xf numFmtId="0" fontId="4" fillId="7" borderId="1" xfId="0" applyFont="1" applyFill="1" applyBorder="1" applyAlignment="1">
      <alignment horizontal="center" vertical="top"/>
    </xf>
    <xf numFmtId="0" fontId="4" fillId="7" borderId="1" xfId="0" applyFont="1" applyFill="1" applyBorder="1" applyAlignment="1">
      <alignment horizontal="left" vertical="top"/>
    </xf>
    <xf numFmtId="0" fontId="5" fillId="7" borderId="1" xfId="0" applyFont="1" applyFill="1" applyBorder="1" applyAlignment="1">
      <alignment horizontal="left" vertical="top"/>
    </xf>
    <xf numFmtId="0" fontId="4" fillId="7" borderId="1" xfId="0" applyFont="1" applyFill="1" applyBorder="1" applyAlignment="1">
      <alignment horizontal="left" vertical="top" wrapText="1"/>
    </xf>
    <xf numFmtId="0" fontId="6" fillId="7" borderId="1" xfId="0" applyFont="1" applyFill="1" applyBorder="1" applyAlignment="1">
      <alignment horizontal="left" vertical="top" wrapText="1"/>
    </xf>
    <xf numFmtId="0" fontId="3" fillId="8" borderId="0" xfId="0" applyFont="1" applyFill="1" applyAlignment="1">
      <alignment horizontal="center" vertical="top"/>
    </xf>
    <xf numFmtId="0" fontId="3" fillId="8" borderId="0" xfId="0" applyFont="1" applyFill="1" applyAlignment="1">
      <alignment horizontal="left" vertical="top"/>
    </xf>
    <xf numFmtId="0" fontId="11" fillId="8" borderId="0" xfId="0" applyFont="1" applyFill="1" applyAlignment="1">
      <alignment horizontal="left" vertical="top"/>
    </xf>
    <xf numFmtId="3" fontId="3" fillId="8" borderId="0" xfId="0" applyNumberFormat="1" applyFont="1" applyFill="1" applyAlignment="1">
      <alignment horizontal="center" vertical="top"/>
    </xf>
    <xf numFmtId="0" fontId="3" fillId="8" borderId="0" xfId="0" applyFont="1" applyFill="1" applyAlignment="1">
      <alignment horizontal="left" vertical="top" wrapText="1"/>
    </xf>
    <xf numFmtId="0" fontId="4" fillId="9" borderId="1" xfId="0" applyFont="1" applyFill="1" applyBorder="1" applyAlignment="1">
      <alignment horizontal="center" vertical="top"/>
    </xf>
    <xf numFmtId="0" fontId="4" fillId="9" borderId="1" xfId="0" applyFont="1" applyFill="1" applyBorder="1" applyAlignment="1">
      <alignment horizontal="left" vertical="top"/>
    </xf>
    <xf numFmtId="0" fontId="5" fillId="9" borderId="1" xfId="0" applyFont="1" applyFill="1" applyBorder="1" applyAlignment="1">
      <alignment horizontal="left" vertical="top"/>
    </xf>
    <xf numFmtId="0" fontId="4" fillId="9" borderId="1" xfId="0" applyFont="1" applyFill="1" applyBorder="1" applyAlignment="1">
      <alignment horizontal="left" vertical="top" wrapText="1"/>
    </xf>
    <xf numFmtId="0" fontId="6" fillId="9" borderId="1" xfId="0" applyFont="1" applyFill="1" applyBorder="1" applyAlignment="1">
      <alignment horizontal="left" vertical="top" wrapText="1"/>
    </xf>
    <xf numFmtId="0" fontId="3" fillId="10" borderId="0" xfId="0" applyFont="1" applyFill="1" applyAlignment="1">
      <alignment horizontal="center" vertical="top"/>
    </xf>
    <xf numFmtId="0" fontId="3" fillId="10" borderId="0" xfId="0" applyFont="1" applyFill="1" applyAlignment="1">
      <alignment horizontal="left" vertical="top"/>
    </xf>
    <xf numFmtId="0" fontId="11" fillId="10" borderId="0" xfId="0" applyFont="1" applyFill="1" applyAlignment="1">
      <alignment horizontal="left" vertical="top"/>
    </xf>
    <xf numFmtId="3" fontId="3" fillId="10" borderId="0" xfId="0" applyNumberFormat="1" applyFont="1" applyFill="1" applyAlignment="1">
      <alignment horizontal="center" vertical="top"/>
    </xf>
    <xf numFmtId="0" fontId="3" fillId="10" borderId="0" xfId="0" applyFont="1" applyFill="1" applyAlignment="1">
      <alignment horizontal="left" vertical="top" wrapText="1"/>
    </xf>
    <xf numFmtId="0" fontId="4" fillId="11" borderId="1" xfId="0" applyFont="1" applyFill="1" applyBorder="1" applyAlignment="1">
      <alignment horizontal="center" vertical="top"/>
    </xf>
    <xf numFmtId="0" fontId="4" fillId="11" borderId="1" xfId="0" applyFont="1" applyFill="1" applyBorder="1" applyAlignment="1">
      <alignment horizontal="left" vertical="top"/>
    </xf>
    <xf numFmtId="0" fontId="5" fillId="11" borderId="1" xfId="0" applyFont="1" applyFill="1" applyBorder="1" applyAlignment="1">
      <alignment horizontal="left" vertical="top"/>
    </xf>
    <xf numFmtId="0" fontId="4" fillId="11" borderId="1" xfId="0" applyFont="1" applyFill="1" applyBorder="1" applyAlignment="1">
      <alignment horizontal="left" vertical="top" wrapText="1"/>
    </xf>
    <xf numFmtId="0" fontId="6" fillId="11" borderId="1" xfId="0" applyFont="1" applyFill="1" applyBorder="1" applyAlignment="1">
      <alignment horizontal="left" vertical="top" wrapText="1"/>
    </xf>
    <xf numFmtId="0" fontId="3" fillId="12" borderId="0" xfId="0" applyFont="1" applyFill="1" applyAlignment="1">
      <alignment horizontal="center" vertical="top"/>
    </xf>
    <xf numFmtId="0" fontId="3" fillId="12" borderId="0" xfId="0" applyFont="1" applyFill="1" applyAlignment="1">
      <alignment horizontal="left" vertical="top"/>
    </xf>
    <xf numFmtId="0" fontId="11" fillId="12" borderId="0" xfId="0" applyFont="1" applyFill="1" applyAlignment="1">
      <alignment horizontal="left" vertical="top"/>
    </xf>
    <xf numFmtId="3" fontId="3" fillId="12" borderId="0" xfId="0" applyNumberFormat="1" applyFont="1" applyFill="1" applyAlignment="1">
      <alignment horizontal="center" vertical="top"/>
    </xf>
    <xf numFmtId="0" fontId="3" fillId="12" borderId="0" xfId="0" applyFont="1" applyFill="1" applyAlignment="1">
      <alignment horizontal="left" vertical="top" wrapText="1"/>
    </xf>
    <xf numFmtId="0" fontId="4" fillId="13" borderId="1" xfId="0" applyFont="1" applyFill="1" applyBorder="1" applyAlignment="1">
      <alignment horizontal="center" vertical="top"/>
    </xf>
    <xf numFmtId="0" fontId="4" fillId="13" borderId="1" xfId="0" applyFont="1" applyFill="1" applyBorder="1" applyAlignment="1">
      <alignment horizontal="left" vertical="top"/>
    </xf>
    <xf numFmtId="0" fontId="5" fillId="13" borderId="1" xfId="0" applyFont="1" applyFill="1" applyBorder="1" applyAlignment="1">
      <alignment horizontal="left" vertical="top"/>
    </xf>
    <xf numFmtId="0" fontId="4" fillId="13" borderId="1" xfId="0" applyFont="1" applyFill="1" applyBorder="1" applyAlignment="1">
      <alignment horizontal="left" vertical="top" wrapText="1"/>
    </xf>
    <xf numFmtId="0" fontId="6" fillId="13" borderId="1" xfId="0" applyFont="1" applyFill="1" applyBorder="1" applyAlignment="1">
      <alignment horizontal="left" vertical="top" wrapText="1"/>
    </xf>
    <xf numFmtId="0" fontId="4" fillId="14" borderId="1" xfId="0" applyFont="1" applyFill="1" applyBorder="1" applyAlignment="1">
      <alignment horizontal="center" vertical="top"/>
    </xf>
    <xf numFmtId="0" fontId="4" fillId="14" borderId="1" xfId="0" applyFont="1" applyFill="1" applyBorder="1" applyAlignment="1">
      <alignment horizontal="left" vertical="top"/>
    </xf>
    <xf numFmtId="0" fontId="4" fillId="14" borderId="1" xfId="0" applyFont="1" applyFill="1" applyBorder="1" applyAlignment="1">
      <alignment horizontal="left" vertical="top" wrapText="1"/>
    </xf>
    <xf numFmtId="0" fontId="6" fillId="14" borderId="1" xfId="0" applyFont="1" applyFill="1" applyBorder="1" applyAlignment="1">
      <alignment horizontal="left" vertical="top" wrapText="1"/>
    </xf>
    <xf numFmtId="0" fontId="9" fillId="13" borderId="1" xfId="0" applyFont="1" applyFill="1" applyBorder="1" applyAlignment="1">
      <alignment horizontal="left" vertical="top"/>
    </xf>
    <xf numFmtId="0" fontId="10" fillId="13" borderId="1" xfId="0" applyFont="1" applyFill="1" applyBorder="1" applyAlignment="1">
      <alignment horizontal="left" vertical="top"/>
    </xf>
    <xf numFmtId="0" fontId="3" fillId="15" borderId="0" xfId="0" applyFont="1" applyFill="1" applyAlignment="1">
      <alignment horizontal="center" vertical="top"/>
    </xf>
    <xf numFmtId="0" fontId="3" fillId="15" borderId="0" xfId="0" applyFont="1" applyFill="1" applyAlignment="1">
      <alignment horizontal="left" vertical="top"/>
    </xf>
    <xf numFmtId="0" fontId="11" fillId="15" borderId="0" xfId="0" applyFont="1" applyFill="1" applyAlignment="1">
      <alignment horizontal="left" vertical="top"/>
    </xf>
    <xf numFmtId="3" fontId="3" fillId="15" borderId="0" xfId="0" applyNumberFormat="1" applyFont="1" applyFill="1" applyAlignment="1">
      <alignment horizontal="center" vertical="top"/>
    </xf>
    <xf numFmtId="0" fontId="3" fillId="15" borderId="0" xfId="0" applyFont="1" applyFill="1" applyAlignment="1">
      <alignment horizontal="left" vertical="top" wrapText="1"/>
    </xf>
    <xf numFmtId="0" fontId="4" fillId="16" borderId="1" xfId="0" applyFont="1" applyFill="1" applyBorder="1" applyAlignment="1">
      <alignment horizontal="center" vertical="top"/>
    </xf>
    <xf numFmtId="0" fontId="4" fillId="16" borderId="1" xfId="0" applyFont="1" applyFill="1" applyBorder="1" applyAlignment="1">
      <alignment horizontal="left" vertical="top"/>
    </xf>
    <xf numFmtId="0" fontId="5" fillId="16" borderId="1" xfId="0" applyFont="1" applyFill="1" applyBorder="1" applyAlignment="1">
      <alignment horizontal="left" vertical="top"/>
    </xf>
    <xf numFmtId="0" fontId="4" fillId="16" borderId="1" xfId="0" applyFont="1" applyFill="1" applyBorder="1" applyAlignment="1">
      <alignment horizontal="left" vertical="top" wrapText="1"/>
    </xf>
    <xf numFmtId="0" fontId="6" fillId="16" borderId="1" xfId="0" applyFont="1" applyFill="1" applyBorder="1" applyAlignment="1">
      <alignment horizontal="left" vertical="top" wrapText="1"/>
    </xf>
    <xf numFmtId="0" fontId="4" fillId="17" borderId="1" xfId="0" applyFont="1" applyFill="1" applyBorder="1" applyAlignment="1">
      <alignment horizontal="center" vertical="top"/>
    </xf>
    <xf numFmtId="0" fontId="4" fillId="17" borderId="1" xfId="0" applyFont="1" applyFill="1" applyBorder="1" applyAlignment="1">
      <alignment horizontal="left" vertical="top"/>
    </xf>
    <xf numFmtId="0" fontId="4" fillId="17" borderId="1" xfId="0" applyFont="1" applyFill="1" applyBorder="1" applyAlignment="1">
      <alignment horizontal="left" vertical="top" wrapText="1"/>
    </xf>
    <xf numFmtId="0" fontId="6" fillId="17" borderId="1" xfId="0" applyFont="1" applyFill="1" applyBorder="1" applyAlignment="1">
      <alignment horizontal="left" vertical="top" wrapText="1"/>
    </xf>
    <xf numFmtId="0" fontId="10" fillId="17" borderId="1" xfId="0" applyFont="1" applyFill="1" applyBorder="1" applyAlignment="1">
      <alignment horizontal="left" vertical="top"/>
    </xf>
    <xf numFmtId="0" fontId="9" fillId="16" borderId="1" xfId="0" applyFont="1" applyFill="1" applyBorder="1" applyAlignment="1">
      <alignment horizontal="left" vertical="top"/>
    </xf>
    <xf numFmtId="0" fontId="10" fillId="16" borderId="1" xfId="0" applyFont="1" applyFill="1" applyBorder="1" applyAlignment="1">
      <alignment horizontal="left" vertical="top"/>
    </xf>
    <xf numFmtId="0" fontId="3" fillId="18" borderId="0" xfId="0" applyFont="1" applyFill="1" applyAlignment="1">
      <alignment horizontal="center" vertical="top"/>
    </xf>
    <xf numFmtId="0" fontId="3" fillId="18" borderId="0" xfId="0" applyFont="1" applyFill="1" applyAlignment="1">
      <alignment horizontal="left" vertical="top"/>
    </xf>
    <xf numFmtId="0" fontId="11" fillId="18" borderId="0" xfId="0" applyFont="1" applyFill="1" applyAlignment="1">
      <alignment horizontal="left" vertical="top"/>
    </xf>
    <xf numFmtId="3" fontId="3" fillId="18" borderId="0" xfId="0" applyNumberFormat="1" applyFont="1" applyFill="1" applyAlignment="1">
      <alignment horizontal="center" vertical="top"/>
    </xf>
    <xf numFmtId="0" fontId="3" fillId="18" borderId="0" xfId="0" applyFont="1" applyFill="1" applyAlignment="1">
      <alignment horizontal="left" vertical="top" wrapText="1"/>
    </xf>
    <xf numFmtId="0" fontId="4" fillId="19" borderId="1" xfId="0" applyFont="1" applyFill="1" applyBorder="1" applyAlignment="1">
      <alignment horizontal="center" vertical="top"/>
    </xf>
    <xf numFmtId="0" fontId="4" fillId="19" borderId="1" xfId="0" applyFont="1" applyFill="1" applyBorder="1" applyAlignment="1">
      <alignment horizontal="left" vertical="top"/>
    </xf>
    <xf numFmtId="0" fontId="5" fillId="19" borderId="1" xfId="0" applyFont="1" applyFill="1" applyBorder="1" applyAlignment="1">
      <alignment horizontal="left" vertical="top"/>
    </xf>
    <xf numFmtId="0" fontId="4" fillId="19" borderId="1" xfId="0" applyFont="1" applyFill="1" applyBorder="1" applyAlignment="1">
      <alignment horizontal="left" vertical="top" wrapText="1"/>
    </xf>
    <xf numFmtId="0" fontId="6" fillId="19" borderId="1" xfId="0" applyFont="1" applyFill="1" applyBorder="1" applyAlignment="1">
      <alignment horizontal="left" vertical="top" wrapText="1"/>
    </xf>
    <xf numFmtId="0" fontId="3" fillId="20" borderId="0" xfId="0" applyFont="1" applyFill="1" applyAlignment="1">
      <alignment horizontal="center" vertical="top"/>
    </xf>
    <xf numFmtId="0" fontId="3" fillId="20" borderId="0" xfId="0" applyFont="1" applyFill="1" applyAlignment="1">
      <alignment horizontal="left" vertical="top"/>
    </xf>
    <xf numFmtId="0" fontId="11" fillId="20" borderId="0" xfId="0" applyFont="1" applyFill="1" applyAlignment="1">
      <alignment horizontal="left" vertical="top"/>
    </xf>
    <xf numFmtId="3" fontId="3" fillId="20" borderId="0" xfId="0" applyNumberFormat="1" applyFont="1" applyFill="1" applyAlignment="1">
      <alignment horizontal="center" vertical="top"/>
    </xf>
    <xf numFmtId="0" fontId="3" fillId="20" borderId="0" xfId="0" applyFont="1" applyFill="1" applyAlignment="1">
      <alignment horizontal="left" vertical="top" wrapText="1"/>
    </xf>
    <xf numFmtId="0" fontId="4" fillId="21" borderId="1" xfId="0" applyFont="1" applyFill="1" applyBorder="1" applyAlignment="1">
      <alignment horizontal="center" vertical="top"/>
    </xf>
    <xf numFmtId="0" fontId="4" fillId="21" borderId="1" xfId="0" applyFont="1" applyFill="1" applyBorder="1" applyAlignment="1">
      <alignment horizontal="left" vertical="top"/>
    </xf>
    <xf numFmtId="0" fontId="5" fillId="21" borderId="1" xfId="0" applyFont="1" applyFill="1" applyBorder="1" applyAlignment="1">
      <alignment horizontal="left" vertical="top"/>
    </xf>
    <xf numFmtId="0" fontId="4" fillId="21" borderId="1" xfId="0" applyFont="1" applyFill="1" applyBorder="1" applyAlignment="1">
      <alignment horizontal="left" vertical="top" wrapText="1"/>
    </xf>
    <xf numFmtId="0" fontId="6" fillId="21" borderId="1" xfId="0" applyFont="1" applyFill="1" applyBorder="1" applyAlignment="1">
      <alignment horizontal="left" vertical="top" wrapText="1"/>
    </xf>
    <xf numFmtId="0" fontId="3" fillId="22" borderId="0" xfId="0" applyFont="1" applyFill="1" applyAlignment="1">
      <alignment horizontal="center" vertical="top"/>
    </xf>
    <xf numFmtId="0" fontId="3" fillId="22" borderId="0" xfId="0" applyFont="1" applyFill="1" applyAlignment="1">
      <alignment horizontal="left" vertical="top"/>
    </xf>
    <xf numFmtId="0" fontId="11" fillId="22" borderId="0" xfId="0" applyFont="1" applyFill="1" applyAlignment="1">
      <alignment horizontal="left" vertical="top"/>
    </xf>
    <xf numFmtId="3" fontId="3" fillId="22" borderId="0" xfId="0" applyNumberFormat="1" applyFont="1" applyFill="1" applyAlignment="1">
      <alignment horizontal="center" vertical="top"/>
    </xf>
    <xf numFmtId="0" fontId="3" fillId="22" borderId="0" xfId="0" applyFont="1" applyFill="1" applyAlignment="1">
      <alignment horizontal="left" vertical="top" wrapText="1"/>
    </xf>
    <xf numFmtId="0" fontId="4" fillId="23" borderId="1" xfId="0" applyFont="1" applyFill="1" applyBorder="1" applyAlignment="1">
      <alignment horizontal="center" vertical="top"/>
    </xf>
    <xf numFmtId="0" fontId="4" fillId="23" borderId="1" xfId="0" applyFont="1" applyFill="1" applyBorder="1" applyAlignment="1">
      <alignment horizontal="left" vertical="top"/>
    </xf>
    <xf numFmtId="0" fontId="5" fillId="23" borderId="1" xfId="0" applyFont="1" applyFill="1" applyBorder="1" applyAlignment="1">
      <alignment horizontal="left" vertical="top"/>
    </xf>
    <xf numFmtId="0" fontId="4" fillId="23" borderId="1" xfId="0" applyFont="1" applyFill="1" applyBorder="1" applyAlignment="1">
      <alignment horizontal="left" vertical="top" wrapText="1"/>
    </xf>
    <xf numFmtId="0" fontId="6" fillId="23" borderId="1" xfId="0" applyFont="1" applyFill="1" applyBorder="1" applyAlignment="1">
      <alignment horizontal="left" vertical="top" wrapText="1"/>
    </xf>
    <xf numFmtId="0" fontId="4" fillId="24" borderId="1" xfId="0" applyFont="1" applyFill="1" applyBorder="1" applyAlignment="1">
      <alignment horizontal="center" vertical="top"/>
    </xf>
    <xf numFmtId="0" fontId="4" fillId="24" borderId="1" xfId="0" applyFont="1" applyFill="1" applyBorder="1" applyAlignment="1">
      <alignment horizontal="left" vertical="top"/>
    </xf>
    <xf numFmtId="0" fontId="4" fillId="24" borderId="1" xfId="0" applyFont="1" applyFill="1" applyBorder="1" applyAlignment="1">
      <alignment horizontal="left" vertical="top" wrapText="1"/>
    </xf>
    <xf numFmtId="0" fontId="6" fillId="24" borderId="1" xfId="0" applyFont="1" applyFill="1" applyBorder="1" applyAlignment="1">
      <alignment horizontal="left" vertical="top" wrapText="1"/>
    </xf>
    <xf numFmtId="0" fontId="9" fillId="23" borderId="1" xfId="0" applyFont="1" applyFill="1" applyBorder="1" applyAlignment="1">
      <alignment horizontal="left" vertical="top"/>
    </xf>
    <xf numFmtId="0" fontId="10" fillId="23" borderId="1" xfId="0" applyFont="1" applyFill="1" applyBorder="1" applyAlignment="1">
      <alignment horizontal="left" vertical="top"/>
    </xf>
    <xf numFmtId="0" fontId="3" fillId="25" borderId="0" xfId="0" applyFont="1" applyFill="1" applyAlignment="1">
      <alignment horizontal="center" vertical="top"/>
    </xf>
    <xf numFmtId="0" fontId="3" fillId="25" borderId="0" xfId="0" applyFont="1" applyFill="1" applyAlignment="1">
      <alignment horizontal="left" vertical="top"/>
    </xf>
    <xf numFmtId="0" fontId="11" fillId="25" borderId="0" xfId="0" applyFont="1" applyFill="1" applyAlignment="1">
      <alignment horizontal="left" vertical="top"/>
    </xf>
    <xf numFmtId="3" fontId="3" fillId="25" borderId="0" xfId="0" applyNumberFormat="1" applyFont="1" applyFill="1" applyAlignment="1">
      <alignment horizontal="center" vertical="top"/>
    </xf>
    <xf numFmtId="0" fontId="3" fillId="25" borderId="0" xfId="0" applyFont="1" applyFill="1" applyAlignment="1">
      <alignment horizontal="left" vertical="top" wrapText="1"/>
    </xf>
    <xf numFmtId="0" fontId="4" fillId="26" borderId="1" xfId="0" applyFont="1" applyFill="1" applyBorder="1" applyAlignment="1">
      <alignment horizontal="center" vertical="top"/>
    </xf>
    <xf numFmtId="0" fontId="4" fillId="26" borderId="1" xfId="0" applyFont="1" applyFill="1" applyBorder="1" applyAlignment="1">
      <alignment horizontal="left" vertical="top"/>
    </xf>
    <xf numFmtId="0" fontId="9" fillId="26" borderId="1" xfId="0" applyFont="1" applyFill="1" applyBorder="1" applyAlignment="1">
      <alignment horizontal="left" vertical="top"/>
    </xf>
    <xf numFmtId="0" fontId="10" fillId="26" borderId="1" xfId="0" applyFont="1" applyFill="1" applyBorder="1" applyAlignment="1">
      <alignment horizontal="left" vertical="top"/>
    </xf>
    <xf numFmtId="0" fontId="4" fillId="26" borderId="1" xfId="0" applyFont="1" applyFill="1" applyBorder="1" applyAlignment="1">
      <alignment horizontal="left" vertical="top" wrapText="1"/>
    </xf>
    <xf numFmtId="0" fontId="6" fillId="26" borderId="1" xfId="0" applyFont="1" applyFill="1" applyBorder="1" applyAlignment="1">
      <alignment horizontal="left" vertical="top" wrapText="1"/>
    </xf>
    <xf numFmtId="0" fontId="3" fillId="27" borderId="0" xfId="0" applyFont="1" applyFill="1" applyAlignment="1">
      <alignment horizontal="center" vertical="top"/>
    </xf>
    <xf numFmtId="0" fontId="3" fillId="27" borderId="0" xfId="0" applyFont="1" applyFill="1" applyAlignment="1">
      <alignment horizontal="left" vertical="top"/>
    </xf>
    <xf numFmtId="0" fontId="11" fillId="27" borderId="0" xfId="0" applyFont="1" applyFill="1" applyAlignment="1">
      <alignment horizontal="left" vertical="top"/>
    </xf>
    <xf numFmtId="3" fontId="3" fillId="27" borderId="0" xfId="0" applyNumberFormat="1" applyFont="1" applyFill="1" applyAlignment="1">
      <alignment horizontal="center" vertical="top"/>
    </xf>
    <xf numFmtId="0" fontId="3" fillId="27" borderId="0" xfId="0" applyFont="1" applyFill="1" applyAlignment="1">
      <alignment horizontal="left" vertical="top" wrapText="1"/>
    </xf>
    <xf numFmtId="0" fontId="4" fillId="28" borderId="1" xfId="0" applyFont="1" applyFill="1" applyBorder="1" applyAlignment="1">
      <alignment horizontal="center" vertical="top"/>
    </xf>
    <xf numFmtId="0" fontId="4" fillId="28" borderId="1" xfId="0" applyFont="1" applyFill="1" applyBorder="1" applyAlignment="1">
      <alignment horizontal="left" vertical="top"/>
    </xf>
    <xf numFmtId="0" fontId="5" fillId="28" borderId="1" xfId="0" applyFont="1" applyFill="1" applyBorder="1" applyAlignment="1">
      <alignment horizontal="left" vertical="top"/>
    </xf>
    <xf numFmtId="0" fontId="4" fillId="28" borderId="1" xfId="0" applyFont="1" applyFill="1" applyBorder="1" applyAlignment="1">
      <alignment horizontal="left" vertical="top" wrapText="1"/>
    </xf>
    <xf numFmtId="0" fontId="6" fillId="28" borderId="1" xfId="0" applyFont="1" applyFill="1" applyBorder="1" applyAlignment="1">
      <alignment horizontal="left" vertical="top" wrapText="1"/>
    </xf>
    <xf numFmtId="0" fontId="4" fillId="29" borderId="1" xfId="0" applyFont="1" applyFill="1" applyBorder="1" applyAlignment="1">
      <alignment horizontal="center" vertical="top"/>
    </xf>
    <xf numFmtId="0" fontId="4" fillId="29" borderId="1" xfId="0" applyFont="1" applyFill="1" applyBorder="1" applyAlignment="1">
      <alignment horizontal="left" vertical="top"/>
    </xf>
    <xf numFmtId="0" fontId="4" fillId="29" borderId="1" xfId="0" applyFont="1" applyFill="1" applyBorder="1" applyAlignment="1">
      <alignment horizontal="left" vertical="top" wrapText="1"/>
    </xf>
    <xf numFmtId="0" fontId="6" fillId="29" borderId="1" xfId="0" applyFont="1" applyFill="1" applyBorder="1" applyAlignment="1">
      <alignment horizontal="left" vertical="top" wrapText="1"/>
    </xf>
    <xf numFmtId="0" fontId="3" fillId="30" borderId="0" xfId="0" applyFont="1" applyFill="1" applyAlignment="1">
      <alignment horizontal="center" vertical="top"/>
    </xf>
    <xf numFmtId="0" fontId="3" fillId="30" borderId="0" xfId="0" applyFont="1" applyFill="1" applyAlignment="1">
      <alignment horizontal="left" vertical="top"/>
    </xf>
    <xf numFmtId="0" fontId="11" fillId="30" borderId="0" xfId="0" applyFont="1" applyFill="1" applyAlignment="1">
      <alignment horizontal="left" vertical="top"/>
    </xf>
    <xf numFmtId="3" fontId="3" fillId="30" borderId="0" xfId="0" applyNumberFormat="1" applyFont="1" applyFill="1" applyAlignment="1">
      <alignment horizontal="center" vertical="top"/>
    </xf>
    <xf numFmtId="0" fontId="3" fillId="30" borderId="0" xfId="0" applyFont="1" applyFill="1" applyAlignment="1">
      <alignment horizontal="left" vertical="top" wrapText="1"/>
    </xf>
    <xf numFmtId="0" fontId="4" fillId="31" borderId="1" xfId="0" applyFont="1" applyFill="1" applyBorder="1" applyAlignment="1">
      <alignment horizontal="center" vertical="top"/>
    </xf>
    <xf numFmtId="0" fontId="4" fillId="31" borderId="1" xfId="0" applyFont="1" applyFill="1" applyBorder="1" applyAlignment="1">
      <alignment horizontal="left" vertical="top"/>
    </xf>
    <xf numFmtId="0" fontId="5" fillId="31" borderId="1" xfId="0" applyFont="1" applyFill="1" applyBorder="1" applyAlignment="1">
      <alignment horizontal="left" vertical="top"/>
    </xf>
    <xf numFmtId="0" fontId="4" fillId="31" borderId="1" xfId="0" applyFont="1" applyFill="1" applyBorder="1" applyAlignment="1">
      <alignment horizontal="left" vertical="top" wrapText="1"/>
    </xf>
    <xf numFmtId="0" fontId="6" fillId="31" borderId="1" xfId="0" applyFont="1" applyFill="1" applyBorder="1" applyAlignment="1">
      <alignment horizontal="left" vertical="top" wrapText="1"/>
    </xf>
    <xf numFmtId="0" fontId="4" fillId="32" borderId="1" xfId="0" applyFont="1" applyFill="1" applyBorder="1" applyAlignment="1">
      <alignment horizontal="center" vertical="top"/>
    </xf>
    <xf numFmtId="0" fontId="4" fillId="32" borderId="1" xfId="0" applyFont="1" applyFill="1" applyBorder="1" applyAlignment="1">
      <alignment horizontal="left" vertical="top"/>
    </xf>
    <xf numFmtId="0" fontId="4" fillId="32" borderId="1" xfId="0" applyFont="1" applyFill="1" applyBorder="1" applyAlignment="1">
      <alignment horizontal="left" vertical="top" wrapText="1"/>
    </xf>
    <xf numFmtId="0" fontId="6" fillId="32" borderId="1" xfId="0" applyFont="1" applyFill="1" applyBorder="1" applyAlignment="1">
      <alignment horizontal="left" vertical="top" wrapText="1"/>
    </xf>
    <xf numFmtId="0" fontId="9" fillId="31" borderId="1" xfId="0" applyFont="1" applyFill="1" applyBorder="1" applyAlignment="1">
      <alignment horizontal="left" vertical="top"/>
    </xf>
    <xf numFmtId="0" fontId="10" fillId="31" borderId="1" xfId="0" applyFont="1" applyFill="1" applyBorder="1" applyAlignment="1">
      <alignment horizontal="left" vertical="top"/>
    </xf>
    <xf numFmtId="0" fontId="3" fillId="33" borderId="0" xfId="0" applyFont="1" applyFill="1" applyAlignment="1">
      <alignment horizontal="center" vertical="top"/>
    </xf>
    <xf numFmtId="0" fontId="3" fillId="33" borderId="0" xfId="0" applyFont="1" applyFill="1" applyAlignment="1">
      <alignment horizontal="left" vertical="top"/>
    </xf>
    <xf numFmtId="0" fontId="11" fillId="33" borderId="0" xfId="0" applyFont="1" applyFill="1" applyAlignment="1">
      <alignment horizontal="left" vertical="top"/>
    </xf>
    <xf numFmtId="3" fontId="3" fillId="33" borderId="0" xfId="0" applyNumberFormat="1" applyFont="1" applyFill="1" applyAlignment="1">
      <alignment horizontal="center" vertical="top"/>
    </xf>
    <xf numFmtId="0" fontId="3" fillId="33" borderId="0" xfId="0" applyFont="1" applyFill="1" applyAlignment="1">
      <alignment horizontal="left" vertical="top" wrapText="1"/>
    </xf>
    <xf numFmtId="0" fontId="4" fillId="34" borderId="1" xfId="0" applyFont="1" applyFill="1" applyBorder="1" applyAlignment="1">
      <alignment horizontal="center" vertical="top"/>
    </xf>
    <xf numFmtId="0" fontId="4" fillId="34" borderId="1" xfId="0" applyFont="1" applyFill="1" applyBorder="1" applyAlignment="1">
      <alignment horizontal="left" vertical="top"/>
    </xf>
    <xf numFmtId="0" fontId="5" fillId="34" borderId="1" xfId="0" applyFont="1" applyFill="1" applyBorder="1" applyAlignment="1">
      <alignment horizontal="left" vertical="top"/>
    </xf>
    <xf numFmtId="0" fontId="4" fillId="34" borderId="1" xfId="0" applyFont="1" applyFill="1" applyBorder="1" applyAlignment="1">
      <alignment horizontal="left" vertical="top" wrapText="1"/>
    </xf>
    <xf numFmtId="0" fontId="6" fillId="34" borderId="1" xfId="0" applyFont="1" applyFill="1" applyBorder="1" applyAlignment="1">
      <alignment horizontal="left" vertical="top" wrapText="1"/>
    </xf>
    <xf numFmtId="0" fontId="9" fillId="34" borderId="1" xfId="0" applyFont="1" applyFill="1" applyBorder="1" applyAlignment="1">
      <alignment horizontal="left" vertical="top"/>
    </xf>
    <xf numFmtId="0" fontId="10" fillId="34" borderId="1" xfId="0" applyFont="1" applyFill="1" applyBorder="1" applyAlignment="1">
      <alignment horizontal="left" vertical="top"/>
    </xf>
    <xf numFmtId="0" fontId="3" fillId="35" borderId="0" xfId="0" applyFont="1" applyFill="1" applyAlignment="1">
      <alignment horizontal="center" vertical="top"/>
    </xf>
    <xf numFmtId="0" fontId="3" fillId="35" borderId="0" xfId="0" applyFont="1" applyFill="1" applyAlignment="1">
      <alignment horizontal="left" vertical="top"/>
    </xf>
    <xf numFmtId="0" fontId="11" fillId="35" borderId="0" xfId="0" applyFont="1" applyFill="1" applyAlignment="1">
      <alignment horizontal="left" vertical="top"/>
    </xf>
    <xf numFmtId="3" fontId="3" fillId="35" borderId="0" xfId="0" applyNumberFormat="1" applyFont="1" applyFill="1" applyAlignment="1">
      <alignment horizontal="center" vertical="top"/>
    </xf>
    <xf numFmtId="0" fontId="3" fillId="35" borderId="0" xfId="0" applyFont="1" applyFill="1" applyAlignment="1">
      <alignment horizontal="left" vertical="top" wrapText="1"/>
    </xf>
    <xf numFmtId="0" fontId="4" fillId="36" borderId="1" xfId="0" applyFont="1" applyFill="1" applyBorder="1" applyAlignment="1">
      <alignment horizontal="center" vertical="top"/>
    </xf>
    <xf numFmtId="0" fontId="4" fillId="36" borderId="1" xfId="0" applyFont="1" applyFill="1" applyBorder="1" applyAlignment="1">
      <alignment horizontal="left" vertical="top"/>
    </xf>
    <xf numFmtId="0" fontId="5" fillId="36" borderId="1" xfId="0" applyFont="1" applyFill="1" applyBorder="1" applyAlignment="1">
      <alignment horizontal="left" vertical="top"/>
    </xf>
    <xf numFmtId="0" fontId="4" fillId="36" borderId="1" xfId="0" applyFont="1" applyFill="1" applyBorder="1" applyAlignment="1">
      <alignment horizontal="left" vertical="top" wrapText="1"/>
    </xf>
    <xf numFmtId="0" fontId="6" fillId="36" borderId="1" xfId="0" applyFont="1" applyFill="1" applyBorder="1" applyAlignment="1">
      <alignment horizontal="left" vertical="top" wrapText="1"/>
    </xf>
    <xf numFmtId="0" fontId="3" fillId="37" borderId="0" xfId="0" applyFont="1" applyFill="1" applyAlignment="1">
      <alignment horizontal="center" vertical="top"/>
    </xf>
    <xf numFmtId="0" fontId="3" fillId="37" borderId="0" xfId="0" applyFont="1" applyFill="1" applyAlignment="1">
      <alignment horizontal="left" vertical="top"/>
    </xf>
    <xf numFmtId="0" fontId="11" fillId="37" borderId="0" xfId="0" applyFont="1" applyFill="1" applyAlignment="1">
      <alignment horizontal="left" vertical="top"/>
    </xf>
    <xf numFmtId="3" fontId="3" fillId="37" borderId="0" xfId="0" applyNumberFormat="1" applyFont="1" applyFill="1" applyAlignment="1">
      <alignment horizontal="center" vertical="top"/>
    </xf>
    <xf numFmtId="0" fontId="3" fillId="37" borderId="0" xfId="0" applyFont="1" applyFill="1" applyAlignment="1">
      <alignment horizontal="left" vertical="top" wrapText="1"/>
    </xf>
    <xf numFmtId="0" fontId="4" fillId="38" borderId="1" xfId="0" applyFont="1" applyFill="1" applyBorder="1" applyAlignment="1">
      <alignment horizontal="center" vertical="top"/>
    </xf>
    <xf numFmtId="0" fontId="4" fillId="38" borderId="1" xfId="0" applyFont="1" applyFill="1" applyBorder="1" applyAlignment="1">
      <alignment horizontal="left" vertical="top"/>
    </xf>
    <xf numFmtId="0" fontId="5" fillId="38" borderId="1" xfId="0" applyFont="1" applyFill="1" applyBorder="1" applyAlignment="1">
      <alignment horizontal="left" vertical="top"/>
    </xf>
    <xf numFmtId="0" fontId="4" fillId="38" borderId="1" xfId="0" applyFont="1" applyFill="1" applyBorder="1" applyAlignment="1">
      <alignment horizontal="left" vertical="top" wrapText="1"/>
    </xf>
    <xf numFmtId="0" fontId="6" fillId="38" borderId="1" xfId="0" applyFont="1" applyFill="1" applyBorder="1" applyAlignment="1">
      <alignment horizontal="left" vertical="top" wrapText="1"/>
    </xf>
    <xf numFmtId="0" fontId="3" fillId="39" borderId="0" xfId="0" applyFont="1" applyFill="1" applyAlignment="1">
      <alignment horizontal="center" vertical="top"/>
    </xf>
    <xf numFmtId="0" fontId="3" fillId="39" borderId="0" xfId="0" applyFont="1" applyFill="1" applyAlignment="1">
      <alignment horizontal="left" vertical="top"/>
    </xf>
    <xf numFmtId="0" fontId="11" fillId="39" borderId="0" xfId="0" applyFont="1" applyFill="1" applyAlignment="1">
      <alignment horizontal="left" vertical="top"/>
    </xf>
    <xf numFmtId="3" fontId="3" fillId="39" borderId="0" xfId="0" applyNumberFormat="1" applyFont="1" applyFill="1" applyAlignment="1">
      <alignment horizontal="center" vertical="top"/>
    </xf>
    <xf numFmtId="0" fontId="3" fillId="39" borderId="0" xfId="0" applyFont="1" applyFill="1" applyAlignment="1">
      <alignment horizontal="left" vertical="top" wrapText="1"/>
    </xf>
    <xf numFmtId="0" fontId="4" fillId="40" borderId="1" xfId="0" applyFont="1" applyFill="1" applyBorder="1" applyAlignment="1">
      <alignment horizontal="center" vertical="top"/>
    </xf>
    <xf numFmtId="0" fontId="4" fillId="40" borderId="1" xfId="0" applyFont="1" applyFill="1" applyBorder="1" applyAlignment="1">
      <alignment horizontal="left" vertical="top"/>
    </xf>
    <xf numFmtId="0" fontId="5" fillId="40" borderId="1" xfId="0" applyFont="1" applyFill="1" applyBorder="1" applyAlignment="1">
      <alignment horizontal="left" vertical="top"/>
    </xf>
    <xf numFmtId="0" fontId="4" fillId="40" borderId="1" xfId="0" applyFont="1" applyFill="1" applyBorder="1" applyAlignment="1">
      <alignment horizontal="left" vertical="top" wrapText="1"/>
    </xf>
    <xf numFmtId="0" fontId="6" fillId="40" borderId="1" xfId="0" applyFont="1" applyFill="1" applyBorder="1" applyAlignment="1">
      <alignment horizontal="left" vertical="top" wrapText="1"/>
    </xf>
    <xf numFmtId="0" fontId="3" fillId="41" borderId="0" xfId="0" applyFont="1" applyFill="1" applyAlignment="1">
      <alignment horizontal="center" vertical="top"/>
    </xf>
    <xf numFmtId="0" fontId="3" fillId="41" borderId="0" xfId="0" applyFont="1" applyFill="1" applyAlignment="1">
      <alignment horizontal="left" vertical="top"/>
    </xf>
    <xf numFmtId="0" fontId="11" fillId="41" borderId="0" xfId="0" applyFont="1" applyFill="1" applyAlignment="1">
      <alignment horizontal="left" vertical="top"/>
    </xf>
    <xf numFmtId="3" fontId="3" fillId="41" borderId="0" xfId="0" applyNumberFormat="1" applyFont="1" applyFill="1" applyAlignment="1">
      <alignment horizontal="center" vertical="top"/>
    </xf>
    <xf numFmtId="0" fontId="3" fillId="41" borderId="0" xfId="0" applyFont="1" applyFill="1" applyAlignment="1">
      <alignment horizontal="left" vertical="top" wrapText="1"/>
    </xf>
    <xf numFmtId="0" fontId="4" fillId="42" borderId="1" xfId="0" applyFont="1" applyFill="1" applyBorder="1" applyAlignment="1">
      <alignment horizontal="center" vertical="top"/>
    </xf>
    <xf numFmtId="0" fontId="4" fillId="42" borderId="1" xfId="0" applyFont="1" applyFill="1" applyBorder="1" applyAlignment="1">
      <alignment horizontal="left" vertical="top"/>
    </xf>
    <xf numFmtId="0" fontId="5" fillId="42" borderId="1" xfId="0" applyFont="1" applyFill="1" applyBorder="1" applyAlignment="1">
      <alignment horizontal="left" vertical="top"/>
    </xf>
    <xf numFmtId="0" fontId="4" fillId="42" borderId="1" xfId="0" applyFont="1" applyFill="1" applyBorder="1" applyAlignment="1">
      <alignment horizontal="left" vertical="top" wrapText="1"/>
    </xf>
    <xf numFmtId="0" fontId="6" fillId="42" borderId="1" xfId="0" applyFont="1" applyFill="1" applyBorder="1" applyAlignment="1">
      <alignment horizontal="left" vertical="top" wrapText="1"/>
    </xf>
    <xf numFmtId="0" fontId="3" fillId="43" borderId="0" xfId="0" applyFont="1" applyFill="1" applyAlignment="1">
      <alignment horizontal="center" vertical="top"/>
    </xf>
    <xf numFmtId="0" fontId="3" fillId="43" borderId="0" xfId="0" applyFont="1" applyFill="1" applyAlignment="1">
      <alignment horizontal="left" vertical="top"/>
    </xf>
    <xf numFmtId="0" fontId="11" fillId="43" borderId="0" xfId="0" applyFont="1" applyFill="1" applyAlignment="1">
      <alignment horizontal="left" vertical="top"/>
    </xf>
    <xf numFmtId="3" fontId="3" fillId="43" borderId="0" xfId="0" applyNumberFormat="1" applyFont="1" applyFill="1" applyAlignment="1">
      <alignment horizontal="center" vertical="top"/>
    </xf>
    <xf numFmtId="0" fontId="3" fillId="43" borderId="0" xfId="0" applyFont="1" applyFill="1" applyAlignment="1">
      <alignment horizontal="left" vertical="top" wrapText="1"/>
    </xf>
    <xf numFmtId="0" fontId="4" fillId="44" borderId="1" xfId="0" applyFont="1" applyFill="1" applyBorder="1" applyAlignment="1">
      <alignment horizontal="center" vertical="top"/>
    </xf>
    <xf numFmtId="0" fontId="4" fillId="44" borderId="1" xfId="0" applyFont="1" applyFill="1" applyBorder="1" applyAlignment="1">
      <alignment horizontal="left" vertical="top"/>
    </xf>
    <xf numFmtId="0" fontId="5" fillId="44" borderId="1" xfId="0" applyFont="1" applyFill="1" applyBorder="1" applyAlignment="1">
      <alignment horizontal="left" vertical="top"/>
    </xf>
    <xf numFmtId="0" fontId="4" fillId="44" borderId="1" xfId="0" applyFont="1" applyFill="1" applyBorder="1" applyAlignment="1">
      <alignment horizontal="left" vertical="top" wrapText="1"/>
    </xf>
    <xf numFmtId="0" fontId="6" fillId="44" borderId="1" xfId="0" applyFont="1" applyFill="1" applyBorder="1" applyAlignment="1">
      <alignment horizontal="left" vertical="top" wrapText="1"/>
    </xf>
    <xf numFmtId="0" fontId="3" fillId="45" borderId="0" xfId="0" applyFont="1" applyFill="1" applyAlignment="1">
      <alignment horizontal="center" vertical="top"/>
    </xf>
    <xf numFmtId="0" fontId="3" fillId="45" borderId="0" xfId="0" applyFont="1" applyFill="1" applyAlignment="1">
      <alignment horizontal="left" vertical="top"/>
    </xf>
    <xf numFmtId="0" fontId="11" fillId="45" borderId="0" xfId="0" applyFont="1" applyFill="1" applyAlignment="1">
      <alignment horizontal="left" vertical="top"/>
    </xf>
    <xf numFmtId="3" fontId="3" fillId="45" borderId="0" xfId="0" applyNumberFormat="1" applyFont="1" applyFill="1" applyAlignment="1">
      <alignment horizontal="center" vertical="top"/>
    </xf>
    <xf numFmtId="0" fontId="3" fillId="45" borderId="0" xfId="0" applyFont="1" applyFill="1" applyAlignment="1">
      <alignment horizontal="left" vertical="top" wrapText="1"/>
    </xf>
    <xf numFmtId="0" fontId="4" fillId="46" borderId="1" xfId="0" applyFont="1" applyFill="1" applyBorder="1" applyAlignment="1">
      <alignment horizontal="center" vertical="top"/>
    </xf>
    <xf numFmtId="0" fontId="4" fillId="46" borderId="1" xfId="0" applyFont="1" applyFill="1" applyBorder="1" applyAlignment="1">
      <alignment horizontal="left" vertical="top"/>
    </xf>
    <xf numFmtId="0" fontId="5" fillId="46" borderId="1" xfId="0" applyFont="1" applyFill="1" applyBorder="1" applyAlignment="1">
      <alignment horizontal="left" vertical="top"/>
    </xf>
    <xf numFmtId="0" fontId="4" fillId="46" borderId="1" xfId="0" applyFont="1" applyFill="1" applyBorder="1" applyAlignment="1">
      <alignment horizontal="left" vertical="top" wrapText="1"/>
    </xf>
    <xf numFmtId="0" fontId="6" fillId="46" borderId="1" xfId="0" applyFont="1" applyFill="1" applyBorder="1" applyAlignment="1">
      <alignment horizontal="left" vertical="top" wrapText="1"/>
    </xf>
    <xf numFmtId="0" fontId="9" fillId="46" borderId="1" xfId="0" applyFont="1" applyFill="1" applyBorder="1" applyAlignment="1">
      <alignment horizontal="left" vertical="top"/>
    </xf>
    <xf numFmtId="0" fontId="10" fillId="46" borderId="1" xfId="0" applyFont="1" applyFill="1" applyBorder="1" applyAlignment="1">
      <alignment horizontal="left" vertical="top"/>
    </xf>
    <xf numFmtId="0" fontId="12" fillId="0" borderId="0" xfId="0" applyFont="1"/>
    <xf numFmtId="3" fontId="12" fillId="0" borderId="2" xfId="0" applyNumberFormat="1" applyFont="1" applyBorder="1" applyAlignment="1">
      <alignment horizontal="center"/>
    </xf>
    <xf numFmtId="0" fontId="13" fillId="0" borderId="0" xfId="0" applyFont="1"/>
    <xf numFmtId="0" fontId="14" fillId="0" borderId="0" xfId="0" applyFont="1"/>
    <xf numFmtId="3" fontId="15" fillId="0" borderId="1" xfId="0" applyNumberFormat="1" applyFont="1" applyBorder="1" applyAlignment="1">
      <alignment horizontal="center"/>
    </xf>
    <xf numFmtId="3" fontId="15" fillId="0" borderId="1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52"/>
  <sheetViews>
    <sheetView tabSelected="1" workbookViewId="0">
      <pane ySplit="3" topLeftCell="A4" activePane="bottomLeft" state="frozen"/>
      <selection pane="bottomLeft"/>
    </sheetView>
  </sheetViews>
  <sheetFormatPr baseColWidth="10" defaultColWidth="8.88671875" defaultRowHeight="14.4" x14ac:dyDescent="0.3"/>
  <cols>
    <col min="1" max="1" width="11.109375" customWidth="1"/>
    <col min="2" max="2" width="40.77734375" customWidth="1"/>
    <col min="3" max="3" width="48.109375" customWidth="1"/>
    <col min="4" max="4" width="37" customWidth="1"/>
  </cols>
  <sheetData>
    <row r="1" spans="1:4" ht="18" x14ac:dyDescent="0.35">
      <c r="A1" s="1" t="s">
        <v>0</v>
      </c>
    </row>
    <row r="3" spans="1:4" x14ac:dyDescent="0.3">
      <c r="A3" s="2" t="s">
        <v>1</v>
      </c>
      <c r="B3" s="2" t="s">
        <v>2</v>
      </c>
      <c r="C3" s="2" t="s">
        <v>3</v>
      </c>
      <c r="D3" s="2" t="s">
        <v>4</v>
      </c>
    </row>
    <row r="4" spans="1:4" x14ac:dyDescent="0.3">
      <c r="A4" s="3" t="str">
        <f>Elementos!A5</f>
        <v>01</v>
      </c>
      <c r="B4" s="4" t="str">
        <f>Elementos!B5</f>
        <v>Playas y puertos</v>
      </c>
      <c r="C4" s="4"/>
      <c r="D4" s="4"/>
    </row>
    <row r="5" spans="1:4" x14ac:dyDescent="0.3">
      <c r="A5" s="5" t="str">
        <f>Elementos!A6</f>
        <v>01.01</v>
      </c>
      <c r="B5" s="6"/>
      <c r="C5" s="6" t="str">
        <f>Elementos!C6</f>
        <v>Playas</v>
      </c>
      <c r="D5" s="6"/>
    </row>
    <row r="6" spans="1:4" x14ac:dyDescent="0.3">
      <c r="A6" s="7" t="str">
        <f>Elementos!A33</f>
        <v>01.01.01</v>
      </c>
      <c r="B6" s="8"/>
      <c r="C6" s="8"/>
      <c r="D6" s="8" t="str">
        <f>Elementos!D33</f>
        <v>Con Q de Calidad Turística</v>
      </c>
    </row>
    <row r="7" spans="1:4" x14ac:dyDescent="0.3">
      <c r="A7" s="7" t="str">
        <f>Elementos!A56</f>
        <v>01.01.02</v>
      </c>
      <c r="B7" s="8"/>
      <c r="C7" s="8"/>
      <c r="D7" s="8" t="str">
        <f>Elementos!D56</f>
        <v>Con S de Sostenibilidad Turística</v>
      </c>
    </row>
    <row r="8" spans="1:4" x14ac:dyDescent="0.3">
      <c r="A8" s="7" t="str">
        <f>Elementos!A79</f>
        <v>01.01.03</v>
      </c>
      <c r="B8" s="8"/>
      <c r="C8" s="8"/>
      <c r="D8" s="8" t="str">
        <f>Elementos!D79</f>
        <v>Accesibles</v>
      </c>
    </row>
    <row r="9" spans="1:4" x14ac:dyDescent="0.3">
      <c r="A9" s="5" t="str">
        <f>Elementos!A84</f>
        <v>01.02</v>
      </c>
      <c r="B9" s="6"/>
      <c r="C9" s="6" t="str">
        <f>Elementos!C84</f>
        <v>Puertos</v>
      </c>
      <c r="D9" s="6"/>
    </row>
    <row r="10" spans="1:4" x14ac:dyDescent="0.3">
      <c r="A10" s="5" t="str">
        <f>Elementos!A89</f>
        <v>01.03</v>
      </c>
      <c r="B10" s="6"/>
      <c r="C10" s="6" t="str">
        <f>Elementos!C89</f>
        <v>Clubs de playa</v>
      </c>
      <c r="D10" s="6"/>
    </row>
    <row r="11" spans="1:4" x14ac:dyDescent="0.3">
      <c r="A11" s="5" t="str">
        <f>Elementos!A121</f>
        <v>01.04</v>
      </c>
      <c r="B11" s="6"/>
      <c r="C11" s="6" t="str">
        <f>Elementos!C121</f>
        <v>Salvamento y socorrismo</v>
      </c>
      <c r="D11" s="6"/>
    </row>
    <row r="12" spans="1:4" x14ac:dyDescent="0.3">
      <c r="A12" s="9" t="str">
        <f>Elementos!A128</f>
        <v>02</v>
      </c>
      <c r="B12" s="10" t="str">
        <f>Elementos!B128</f>
        <v>Náutica</v>
      </c>
      <c r="C12" s="10"/>
      <c r="D12" s="10"/>
    </row>
    <row r="13" spans="1:4" x14ac:dyDescent="0.3">
      <c r="A13" s="11" t="str">
        <f>Elementos!A129</f>
        <v>02.01</v>
      </c>
      <c r="B13" s="12"/>
      <c r="C13" s="12" t="str">
        <f>Elementos!C129</f>
        <v>Actividades náuticas</v>
      </c>
      <c r="D13" s="12"/>
    </row>
    <row r="14" spans="1:4" x14ac:dyDescent="0.3">
      <c r="A14" s="11" t="str">
        <f>Elementos!A173</f>
        <v>02.02</v>
      </c>
      <c r="B14" s="12"/>
      <c r="C14" s="12" t="str">
        <f>Elementos!C173</f>
        <v>Zonas de submarinismo</v>
      </c>
      <c r="D14" s="12"/>
    </row>
    <row r="15" spans="1:4" x14ac:dyDescent="0.3">
      <c r="A15" s="13" t="str">
        <f>Elementos!A179</f>
        <v>03</v>
      </c>
      <c r="B15" s="14" t="str">
        <f>Elementos!B179</f>
        <v>Golf</v>
      </c>
      <c r="C15" s="14"/>
      <c r="D15" s="14"/>
    </row>
    <row r="16" spans="1:4" x14ac:dyDescent="0.3">
      <c r="A16" s="15" t="str">
        <f>Elementos!A180</f>
        <v>03.01</v>
      </c>
      <c r="B16" s="16"/>
      <c r="C16" s="16" t="str">
        <f>Elementos!C180</f>
        <v>Campos de golf</v>
      </c>
      <c r="D16" s="16"/>
    </row>
    <row r="17" spans="1:4" x14ac:dyDescent="0.3">
      <c r="A17" s="15" t="str">
        <f>Elementos!A197</f>
        <v>03.02</v>
      </c>
      <c r="B17" s="16"/>
      <c r="C17" s="16" t="str">
        <f>Elementos!C197</f>
        <v>Academias y escuelas de golf</v>
      </c>
      <c r="D17" s="16"/>
    </row>
    <row r="18" spans="1:4" x14ac:dyDescent="0.3">
      <c r="A18" s="15" t="str">
        <f>Elementos!A213</f>
        <v>03.03</v>
      </c>
      <c r="B18" s="16"/>
      <c r="C18" s="16" t="str">
        <f>Elementos!C213</f>
        <v>Tiendas de golf</v>
      </c>
      <c r="D18" s="16"/>
    </row>
    <row r="19" spans="1:4" x14ac:dyDescent="0.3">
      <c r="A19" s="15" t="str">
        <f>Elementos!A216</f>
        <v>03.04</v>
      </c>
      <c r="B19" s="16"/>
      <c r="C19" s="16" t="str">
        <f>Elementos!C216</f>
        <v>Alquiler de equipos de golf</v>
      </c>
      <c r="D19" s="16"/>
    </row>
    <row r="20" spans="1:4" x14ac:dyDescent="0.3">
      <c r="A20" s="17" t="str">
        <f>Elementos!A219</f>
        <v>04</v>
      </c>
      <c r="B20" s="18" t="str">
        <f>Elementos!B219</f>
        <v>Gastronomía</v>
      </c>
      <c r="C20" s="18"/>
      <c r="D20" s="18"/>
    </row>
    <row r="21" spans="1:4" x14ac:dyDescent="0.3">
      <c r="A21" s="19" t="str">
        <f>Elementos!A220</f>
        <v>04.01</v>
      </c>
      <c r="B21" s="20"/>
      <c r="C21" s="20" t="str">
        <f>Elementos!C220</f>
        <v>Estrellas Michelin</v>
      </c>
      <c r="D21" s="20"/>
    </row>
    <row r="22" spans="1:4" x14ac:dyDescent="0.3">
      <c r="A22" s="19" t="str">
        <f>Elementos!A225</f>
        <v>04.02</v>
      </c>
      <c r="B22" s="20"/>
      <c r="C22" s="20" t="str">
        <f>Elementos!C225</f>
        <v>Soles Repsol</v>
      </c>
      <c r="D22" s="20"/>
    </row>
    <row r="23" spans="1:4" x14ac:dyDescent="0.3">
      <c r="A23" s="19" t="str">
        <f>Elementos!A236</f>
        <v>04.03</v>
      </c>
      <c r="B23" s="20"/>
      <c r="C23" s="20" t="str">
        <f>Elementos!C236</f>
        <v>Saboreando Marbella</v>
      </c>
      <c r="D23" s="20"/>
    </row>
    <row r="24" spans="1:4" x14ac:dyDescent="0.3">
      <c r="A24" s="19" t="str">
        <f>Elementos!A248</f>
        <v>04.04</v>
      </c>
      <c r="B24" s="20"/>
      <c r="C24" s="20" t="str">
        <f>Elementos!C248</f>
        <v>Restaurantes destacados</v>
      </c>
      <c r="D24" s="20"/>
    </row>
    <row r="25" spans="1:4" x14ac:dyDescent="0.3">
      <c r="A25" s="19" t="str">
        <f>Elementos!A361</f>
        <v>04.05</v>
      </c>
      <c r="B25" s="20"/>
      <c r="C25" s="20" t="str">
        <f>Elementos!C361</f>
        <v>Chiringuitos</v>
      </c>
      <c r="D25" s="20"/>
    </row>
    <row r="26" spans="1:4" x14ac:dyDescent="0.3">
      <c r="A26" s="19" t="str">
        <f>Elementos!A484</f>
        <v>04.06</v>
      </c>
      <c r="B26" s="20"/>
      <c r="C26" s="20" t="str">
        <f>Elementos!C484</f>
        <v>Catering</v>
      </c>
      <c r="D26" s="20"/>
    </row>
    <row r="27" spans="1:4" x14ac:dyDescent="0.3">
      <c r="A27" s="19" t="str">
        <f>Elementos!A501</f>
        <v>04.07</v>
      </c>
      <c r="B27" s="20"/>
      <c r="C27" s="20" t="str">
        <f>Elementos!C501</f>
        <v>Vinotecas</v>
      </c>
      <c r="D27" s="20"/>
    </row>
    <row r="28" spans="1:4" x14ac:dyDescent="0.3">
      <c r="A28" s="19" t="str">
        <f>Elementos!A515</f>
        <v>04.08</v>
      </c>
      <c r="B28" s="20"/>
      <c r="C28" s="20" t="str">
        <f>Elementos!C515</f>
        <v>Delicatessen</v>
      </c>
      <c r="D28" s="20"/>
    </row>
    <row r="29" spans="1:4" x14ac:dyDescent="0.3">
      <c r="A29" s="21" t="str">
        <f>Elementos!A527</f>
        <v>05</v>
      </c>
      <c r="B29" s="22" t="str">
        <f>Elementos!B527</f>
        <v>Alojamientos</v>
      </c>
      <c r="C29" s="22"/>
      <c r="D29" s="22"/>
    </row>
    <row r="30" spans="1:4" x14ac:dyDescent="0.3">
      <c r="A30" s="23" t="str">
        <f>Elementos!A528</f>
        <v>05.01</v>
      </c>
      <c r="B30" s="24"/>
      <c r="C30" s="24" t="str">
        <f>Elementos!C528</f>
        <v>Hoteles</v>
      </c>
      <c r="D30" s="24"/>
    </row>
    <row r="31" spans="1:4" x14ac:dyDescent="0.3">
      <c r="A31" s="25" t="str">
        <f>Elementos!A529</f>
        <v>05.01.01</v>
      </c>
      <c r="B31" s="26"/>
      <c r="C31" s="26"/>
      <c r="D31" s="26" t="str">
        <f>Elementos!D529</f>
        <v>Hoteles ***** GL</v>
      </c>
    </row>
    <row r="32" spans="1:4" x14ac:dyDescent="0.3">
      <c r="A32" s="25" t="str">
        <f>Elementos!A535</f>
        <v>05.01.02</v>
      </c>
      <c r="B32" s="26"/>
      <c r="C32" s="26"/>
      <c r="D32" s="26" t="str">
        <f>Elementos!D535</f>
        <v>Hoteles *****</v>
      </c>
    </row>
    <row r="33" spans="1:4" x14ac:dyDescent="0.3">
      <c r="A33" s="25" t="str">
        <f>Elementos!A547</f>
        <v>05.01.03</v>
      </c>
      <c r="B33" s="26"/>
      <c r="C33" s="26"/>
      <c r="D33" s="26" t="str">
        <f>Elementos!D547</f>
        <v>Hoteles ****</v>
      </c>
    </row>
    <row r="34" spans="1:4" x14ac:dyDescent="0.3">
      <c r="A34" s="25" t="str">
        <f>Elementos!A577</f>
        <v>05.01.04</v>
      </c>
      <c r="B34" s="26"/>
      <c r="C34" s="26"/>
      <c r="D34" s="26" t="str">
        <f>Elementos!D577</f>
        <v>Hoteles ***</v>
      </c>
    </row>
    <row r="35" spans="1:4" x14ac:dyDescent="0.3">
      <c r="A35" s="25" t="str">
        <f>Elementos!A594</f>
        <v>05.01.05</v>
      </c>
      <c r="B35" s="26"/>
      <c r="C35" s="26"/>
      <c r="D35" s="26" t="str">
        <f>Elementos!D594</f>
        <v>Hoteles **</v>
      </c>
    </row>
    <row r="36" spans="1:4" x14ac:dyDescent="0.3">
      <c r="A36" s="25" t="str">
        <f>Elementos!A608</f>
        <v>05.01.06</v>
      </c>
      <c r="B36" s="26"/>
      <c r="C36" s="26"/>
      <c r="D36" s="26" t="str">
        <f>Elementos!D608</f>
        <v>Hoteles *</v>
      </c>
    </row>
    <row r="37" spans="1:4" x14ac:dyDescent="0.3">
      <c r="A37" s="25" t="str">
        <f>Elementos!A617</f>
        <v>05.01.07</v>
      </c>
      <c r="B37" s="26"/>
      <c r="C37" s="26"/>
      <c r="D37" s="26" t="str">
        <f>Elementos!D617</f>
        <v>Hoteles Apto. ****</v>
      </c>
    </row>
    <row r="38" spans="1:4" x14ac:dyDescent="0.3">
      <c r="A38" s="25" t="str">
        <f>Elementos!A626</f>
        <v>05.01.08</v>
      </c>
      <c r="B38" s="26"/>
      <c r="C38" s="26"/>
      <c r="D38" s="26" t="str">
        <f>Elementos!D626</f>
        <v>Hoteles Apto. ***</v>
      </c>
    </row>
    <row r="39" spans="1:4" x14ac:dyDescent="0.3">
      <c r="A39" s="25" t="str">
        <f>Elementos!A631</f>
        <v>05.01.09</v>
      </c>
      <c r="B39" s="26"/>
      <c r="C39" s="26"/>
      <c r="D39" s="26" t="str">
        <f>Elementos!D631</f>
        <v>Hostales **</v>
      </c>
    </row>
    <row r="40" spans="1:4" x14ac:dyDescent="0.3">
      <c r="A40" s="25" t="str">
        <f>Elementos!A638</f>
        <v>05.01.10</v>
      </c>
      <c r="B40" s="26"/>
      <c r="C40" s="26"/>
      <c r="D40" s="26" t="str">
        <f>Elementos!D638</f>
        <v>Hostales *</v>
      </c>
    </row>
    <row r="41" spans="1:4" x14ac:dyDescent="0.3">
      <c r="A41" s="25" t="str">
        <f>Elementos!A665</f>
        <v>05.01.11</v>
      </c>
      <c r="B41" s="26"/>
      <c r="C41" s="26"/>
      <c r="D41" s="26" t="str">
        <f>Elementos!D665</f>
        <v>Pensiones</v>
      </c>
    </row>
    <row r="42" spans="1:4" x14ac:dyDescent="0.3">
      <c r="A42" s="23" t="str">
        <f>Elementos!A690</f>
        <v>05.02</v>
      </c>
      <c r="B42" s="24"/>
      <c r="C42" s="24" t="str">
        <f>Elementos!C690</f>
        <v>Apartamentos turísticos</v>
      </c>
      <c r="D42" s="24"/>
    </row>
    <row r="43" spans="1:4" x14ac:dyDescent="0.3">
      <c r="A43" s="25" t="str">
        <f>Elementos!A691</f>
        <v>05.02.01</v>
      </c>
      <c r="B43" s="26"/>
      <c r="C43" s="26"/>
      <c r="D43" s="26" t="str">
        <f>Elementos!D691</f>
        <v>AT 4 llaves</v>
      </c>
    </row>
    <row r="44" spans="1:4" x14ac:dyDescent="0.3">
      <c r="A44" s="25" t="str">
        <f>Elementos!A693</f>
        <v>05.02.02</v>
      </c>
      <c r="B44" s="26"/>
      <c r="C44" s="26"/>
      <c r="D44" s="26" t="str">
        <f>Elementos!D693</f>
        <v>AT 3 llaves</v>
      </c>
    </row>
    <row r="45" spans="1:4" x14ac:dyDescent="0.3">
      <c r="A45" s="25" t="str">
        <f>Elementos!A702</f>
        <v>05.02.03</v>
      </c>
      <c r="B45" s="26"/>
      <c r="C45" s="26"/>
      <c r="D45" s="26" t="str">
        <f>Elementos!D702</f>
        <v>AT 2 llaves</v>
      </c>
    </row>
    <row r="46" spans="1:4" x14ac:dyDescent="0.3">
      <c r="A46" s="25" t="str">
        <f>Elementos!A750</f>
        <v>05.02.04</v>
      </c>
      <c r="B46" s="26"/>
      <c r="C46" s="26"/>
      <c r="D46" s="26" t="str">
        <f>Elementos!D750</f>
        <v>AT 1 llave</v>
      </c>
    </row>
    <row r="47" spans="1:4" x14ac:dyDescent="0.3">
      <c r="A47" s="23" t="str">
        <f>Elementos!A776</f>
        <v>05.03</v>
      </c>
      <c r="B47" s="24"/>
      <c r="C47" s="24" t="str">
        <f>Elementos!C776</f>
        <v>Campings</v>
      </c>
      <c r="D47" s="24"/>
    </row>
    <row r="48" spans="1:4" x14ac:dyDescent="0.3">
      <c r="A48" s="23" t="str">
        <f>Elementos!A782</f>
        <v>05.04</v>
      </c>
      <c r="B48" s="24"/>
      <c r="C48" s="24" t="str">
        <f>Elementos!C782</f>
        <v>Albergues</v>
      </c>
      <c r="D48" s="24"/>
    </row>
    <row r="49" spans="1:4" x14ac:dyDescent="0.3">
      <c r="A49" s="23" t="str">
        <f>Elementos!A786</f>
        <v>05.05</v>
      </c>
      <c r="B49" s="24"/>
      <c r="C49" s="24" t="str">
        <f>Elementos!C786</f>
        <v>Alojamiento rural</v>
      </c>
      <c r="D49" s="24"/>
    </row>
    <row r="50" spans="1:4" x14ac:dyDescent="0.3">
      <c r="A50" s="27" t="str">
        <f>Elementos!A795</f>
        <v>06</v>
      </c>
      <c r="B50" s="28" t="str">
        <f>Elementos!B795</f>
        <v>Naturaleza</v>
      </c>
      <c r="C50" s="28"/>
      <c r="D50" s="28"/>
    </row>
    <row r="51" spans="1:4" x14ac:dyDescent="0.3">
      <c r="A51" s="29" t="str">
        <f>Elementos!A796</f>
        <v>06.01</v>
      </c>
      <c r="B51" s="30"/>
      <c r="C51" s="30" t="str">
        <f>Elementos!C796</f>
        <v>Puntos de interés</v>
      </c>
      <c r="D51" s="30"/>
    </row>
    <row r="52" spans="1:4" x14ac:dyDescent="0.3">
      <c r="A52" s="31" t="str">
        <f>Elementos!A797</f>
        <v>06.01.01</v>
      </c>
      <c r="B52" s="32"/>
      <c r="C52" s="32"/>
      <c r="D52" s="32" t="str">
        <f>Elementos!D797</f>
        <v>Dunas de Artola</v>
      </c>
    </row>
    <row r="53" spans="1:4" x14ac:dyDescent="0.3">
      <c r="A53" s="31" t="str">
        <f>Elementos!A799</f>
        <v>06.01.02</v>
      </c>
      <c r="B53" s="32"/>
      <c r="C53" s="32"/>
      <c r="D53" s="32" t="str">
        <f>Elementos!D799</f>
        <v>Lago de las Tortugas</v>
      </c>
    </row>
    <row r="54" spans="1:4" x14ac:dyDescent="0.3">
      <c r="A54" s="31" t="str">
        <f>Elementos!A801</f>
        <v>06.01.03</v>
      </c>
      <c r="B54" s="32"/>
      <c r="C54" s="32"/>
      <c r="D54" s="32" t="str">
        <f>Elementos!D801</f>
        <v>Miradores</v>
      </c>
    </row>
    <row r="55" spans="1:4" x14ac:dyDescent="0.3">
      <c r="A55" s="31" t="str">
        <f>Elementos!A806</f>
        <v>06.01.04</v>
      </c>
      <c r="B55" s="32"/>
      <c r="C55" s="32"/>
      <c r="D55" s="32" t="str">
        <f>Elementos!D806</f>
        <v>Sierra Blanca: cumbres</v>
      </c>
    </row>
    <row r="56" spans="1:4" x14ac:dyDescent="0.3">
      <c r="A56" s="29" t="str">
        <f>Elementos!A822</f>
        <v>06.02</v>
      </c>
      <c r="B56" s="30"/>
      <c r="C56" s="30" t="str">
        <f>Elementos!C822</f>
        <v>Senderos</v>
      </c>
      <c r="D56" s="30"/>
    </row>
    <row r="57" spans="1:4" x14ac:dyDescent="0.3">
      <c r="A57" s="31" t="str">
        <f>Elementos!A823</f>
        <v>06.02.01</v>
      </c>
      <c r="B57" s="32"/>
      <c r="C57" s="32"/>
      <c r="D57" s="32" t="str">
        <f>Elementos!D823</f>
        <v>Senda del Litoral</v>
      </c>
    </row>
    <row r="58" spans="1:4" x14ac:dyDescent="0.3">
      <c r="A58" s="31" t="str">
        <f>Elementos!A825</f>
        <v>06.02.02</v>
      </c>
      <c r="B58" s="32"/>
      <c r="C58" s="32"/>
      <c r="D58" s="32" t="str">
        <f>Elementos!D825</f>
        <v>Gran Senda de Málaga (GR-249)</v>
      </c>
    </row>
    <row r="59" spans="1:4" x14ac:dyDescent="0.3">
      <c r="A59" s="31" t="str">
        <f>Elementos!A827</f>
        <v>06.02.03</v>
      </c>
      <c r="B59" s="32"/>
      <c r="C59" s="32"/>
      <c r="D59" s="32" t="str">
        <f>Elementos!D827</f>
        <v>Rutas de senderismo</v>
      </c>
    </row>
    <row r="60" spans="1:4" x14ac:dyDescent="0.3">
      <c r="A60" s="29" t="str">
        <f>Elementos!A839</f>
        <v>06.03</v>
      </c>
      <c r="B60" s="30"/>
      <c r="C60" s="30" t="str">
        <f>Elementos!C839</f>
        <v>Parques y jardines</v>
      </c>
      <c r="D60" s="30"/>
    </row>
    <row r="61" spans="1:4" x14ac:dyDescent="0.3">
      <c r="A61" s="29" t="str">
        <f>Elementos!A879</f>
        <v>06.04</v>
      </c>
      <c r="B61" s="30"/>
      <c r="C61" s="30" t="str">
        <f>Elementos!C879</f>
        <v>Rutas cicloturismo</v>
      </c>
      <c r="D61" s="30"/>
    </row>
    <row r="62" spans="1:4" x14ac:dyDescent="0.3">
      <c r="A62" s="33" t="str">
        <f>Elementos!A882</f>
        <v>07</v>
      </c>
      <c r="B62" s="34" t="str">
        <f>Elementos!B882</f>
        <v>Turismo activo</v>
      </c>
      <c r="C62" s="34"/>
      <c r="D62" s="34"/>
    </row>
    <row r="63" spans="1:4" x14ac:dyDescent="0.3">
      <c r="A63" s="35" t="str">
        <f>Elementos!A883</f>
        <v>07.01</v>
      </c>
      <c r="B63" s="36"/>
      <c r="C63" s="36" t="str">
        <f>Elementos!C883</f>
        <v>Cicloturismo</v>
      </c>
      <c r="D63" s="36"/>
    </row>
    <row r="64" spans="1:4" x14ac:dyDescent="0.3">
      <c r="A64" s="35" t="str">
        <f>Elementos!A908</f>
        <v>07.02</v>
      </c>
      <c r="B64" s="36"/>
      <c r="C64" s="36" t="str">
        <f>Elementos!C908</f>
        <v>Empresas de turismo activo</v>
      </c>
      <c r="D64" s="36"/>
    </row>
    <row r="65" spans="1:4" x14ac:dyDescent="0.3">
      <c r="A65" s="37" t="str">
        <f>Elementos!A921</f>
        <v>08</v>
      </c>
      <c r="B65" s="38" t="str">
        <f>Elementos!B921</f>
        <v>Compras</v>
      </c>
      <c r="C65" s="38"/>
      <c r="D65" s="38"/>
    </row>
    <row r="66" spans="1:4" x14ac:dyDescent="0.3">
      <c r="A66" s="39" t="str">
        <f>Elementos!A922</f>
        <v>08.01</v>
      </c>
      <c r="B66" s="40"/>
      <c r="C66" s="40" t="str">
        <f>Elementos!C922</f>
        <v>Mercados y mercadillos</v>
      </c>
      <c r="D66" s="40"/>
    </row>
    <row r="67" spans="1:4" x14ac:dyDescent="0.3">
      <c r="A67" s="39" t="str">
        <f>Elementos!A939</f>
        <v>08.02</v>
      </c>
      <c r="B67" s="40"/>
      <c r="C67" s="40" t="str">
        <f>Elementos!C939</f>
        <v>Centros comerciales</v>
      </c>
      <c r="D67" s="40"/>
    </row>
    <row r="68" spans="1:4" x14ac:dyDescent="0.3">
      <c r="A68" s="39" t="str">
        <f>Elementos!A957</f>
        <v>08.03</v>
      </c>
      <c r="B68" s="40"/>
      <c r="C68" s="40" t="str">
        <f>Elementos!C957</f>
        <v>Firmas de moda</v>
      </c>
      <c r="D68" s="40"/>
    </row>
    <row r="69" spans="1:4" x14ac:dyDescent="0.3">
      <c r="A69" s="41" t="str">
        <f>Elementos!A998</f>
        <v>09</v>
      </c>
      <c r="B69" s="42" t="str">
        <f>Elementos!B998</f>
        <v>Cultura</v>
      </c>
      <c r="C69" s="42"/>
      <c r="D69" s="42"/>
    </row>
    <row r="70" spans="1:4" x14ac:dyDescent="0.3">
      <c r="A70" s="43" t="str">
        <f>Elementos!A999</f>
        <v>09.01</v>
      </c>
      <c r="B70" s="44"/>
      <c r="C70" s="44" t="str">
        <f>Elementos!C999</f>
        <v>Bibliotecas</v>
      </c>
      <c r="D70" s="44"/>
    </row>
    <row r="71" spans="1:4" x14ac:dyDescent="0.3">
      <c r="A71" s="43" t="str">
        <f>Elementos!A1005</f>
        <v>09.02</v>
      </c>
      <c r="B71" s="44"/>
      <c r="C71" s="44" t="str">
        <f>Elementos!C1005</f>
        <v>Centros culturales municipales</v>
      </c>
      <c r="D71" s="44"/>
    </row>
    <row r="72" spans="1:4" x14ac:dyDescent="0.3">
      <c r="A72" s="43" t="str">
        <f>Elementos!A1016</f>
        <v>09.03</v>
      </c>
      <c r="B72" s="44"/>
      <c r="C72" s="44" t="str">
        <f>Elementos!C1016</f>
        <v>Galerías de arte</v>
      </c>
      <c r="D72" s="44"/>
    </row>
    <row r="73" spans="1:4" x14ac:dyDescent="0.3">
      <c r="A73" s="43" t="str">
        <f>Elementos!A1054</f>
        <v>09.04</v>
      </c>
      <c r="B73" s="44"/>
      <c r="C73" s="44" t="str">
        <f>Elementos!C1054</f>
        <v>Casco histórico</v>
      </c>
      <c r="D73" s="44"/>
    </row>
    <row r="74" spans="1:4" x14ac:dyDescent="0.3">
      <c r="A74" s="43" t="str">
        <f>Elementos!A1074</f>
        <v>09.05</v>
      </c>
      <c r="B74" s="44"/>
      <c r="C74" s="44" t="str">
        <f>Elementos!C1074</f>
        <v>Patrimonio</v>
      </c>
      <c r="D74" s="44"/>
    </row>
    <row r="75" spans="1:4" x14ac:dyDescent="0.3">
      <c r="A75" s="45" t="str">
        <f>Elementos!A1075</f>
        <v>09.05.01</v>
      </c>
      <c r="B75" s="46"/>
      <c r="C75" s="46"/>
      <c r="D75" s="46" t="str">
        <f>Elementos!D1075</f>
        <v>Torres vigía</v>
      </c>
    </row>
    <row r="76" spans="1:4" x14ac:dyDescent="0.3">
      <c r="A76" s="45" t="str">
        <f>Elementos!A1082</f>
        <v>09.05.02</v>
      </c>
      <c r="B76" s="46"/>
      <c r="C76" s="46"/>
      <c r="D76" s="46" t="str">
        <f>Elementos!D1082</f>
        <v>Arqueología</v>
      </c>
    </row>
    <row r="77" spans="1:4" x14ac:dyDescent="0.3">
      <c r="A77" s="43" t="str">
        <f>Elementos!A1089</f>
        <v>09.06</v>
      </c>
      <c r="B77" s="44"/>
      <c r="C77" s="44" t="str">
        <f>Elementos!C1089</f>
        <v>Patrimonio Industrial</v>
      </c>
      <c r="D77" s="44"/>
    </row>
    <row r="78" spans="1:4" x14ac:dyDescent="0.3">
      <c r="A78" s="43" t="str">
        <f>Elementos!A1096</f>
        <v>09.07</v>
      </c>
      <c r="B78" s="44"/>
      <c r="C78" s="44" t="str">
        <f>Elementos!C1096</f>
        <v>Museos</v>
      </c>
      <c r="D78" s="44"/>
    </row>
    <row r="79" spans="1:4" x14ac:dyDescent="0.3">
      <c r="A79" s="43" t="str">
        <f>Elementos!A1100</f>
        <v>09.08</v>
      </c>
      <c r="B79" s="44"/>
      <c r="C79" s="44" t="str">
        <f>Elementos!C1100</f>
        <v>Arte en la calle</v>
      </c>
      <c r="D79" s="44"/>
    </row>
    <row r="80" spans="1:4" x14ac:dyDescent="0.3">
      <c r="A80" s="47" t="str">
        <f>Elementos!A1101</f>
        <v>10</v>
      </c>
      <c r="B80" s="48" t="str">
        <f>Elementos!B1101</f>
        <v>Centros religiosos</v>
      </c>
      <c r="C80" s="48"/>
      <c r="D80" s="48"/>
    </row>
    <row r="81" spans="1:4" x14ac:dyDescent="0.3">
      <c r="A81" s="49" t="str">
        <f>Elementos!A1102</f>
        <v>10.01</v>
      </c>
      <c r="B81" s="50"/>
      <c r="C81" s="50" t="str">
        <f>Elementos!C1102</f>
        <v>Centros religiosos</v>
      </c>
      <c r="D81" s="50"/>
    </row>
    <row r="82" spans="1:4" x14ac:dyDescent="0.3">
      <c r="A82" s="51" t="str">
        <f>Elementos!A1117</f>
        <v>11</v>
      </c>
      <c r="B82" s="52" t="str">
        <f>Elementos!B1117</f>
        <v>Deporte</v>
      </c>
      <c r="C82" s="52"/>
      <c r="D82" s="52"/>
    </row>
    <row r="83" spans="1:4" x14ac:dyDescent="0.3">
      <c r="A83" s="53" t="str">
        <f>Elementos!A1118</f>
        <v>11.01</v>
      </c>
      <c r="B83" s="54"/>
      <c r="C83" s="54" t="str">
        <f>Elementos!C1118</f>
        <v>Instalaciones municipales</v>
      </c>
      <c r="D83" s="54"/>
    </row>
    <row r="84" spans="1:4" x14ac:dyDescent="0.3">
      <c r="A84" s="55" t="str">
        <f>Elementos!A1119</f>
        <v>11.01.01</v>
      </c>
      <c r="B84" s="56"/>
      <c r="C84" s="56"/>
      <c r="D84" s="56" t="str">
        <f>Elementos!D1119</f>
        <v>Marbella</v>
      </c>
    </row>
    <row r="85" spans="1:4" x14ac:dyDescent="0.3">
      <c r="A85" s="55" t="str">
        <f>Elementos!A1122</f>
        <v>11.01.02</v>
      </c>
      <c r="B85" s="56"/>
      <c r="C85" s="56"/>
      <c r="D85" s="56" t="str">
        <f>Elementos!D1122</f>
        <v>San Pedro Alcántara</v>
      </c>
    </row>
    <row r="86" spans="1:4" x14ac:dyDescent="0.3">
      <c r="A86" s="55" t="str">
        <f>Elementos!A1124</f>
        <v>11.01.03</v>
      </c>
      <c r="B86" s="56"/>
      <c r="C86" s="56"/>
      <c r="D86" s="56" t="str">
        <f>Elementos!D1124</f>
        <v>Nueva Andalucía</v>
      </c>
    </row>
    <row r="87" spans="1:4" x14ac:dyDescent="0.3">
      <c r="A87" s="55" t="str">
        <f>Elementos!A1126</f>
        <v>11.01.04</v>
      </c>
      <c r="B87" s="56"/>
      <c r="C87" s="56"/>
      <c r="D87" s="56" t="str">
        <f>Elementos!D1126</f>
        <v>Las Chapas</v>
      </c>
    </row>
    <row r="88" spans="1:4" x14ac:dyDescent="0.3">
      <c r="A88" s="53" t="str">
        <f>Elementos!A1127</f>
        <v>11.02</v>
      </c>
      <c r="B88" s="54"/>
      <c r="C88" s="54" t="str">
        <f>Elementos!C1127</f>
        <v>Tenis y pádel</v>
      </c>
      <c r="D88" s="54"/>
    </row>
    <row r="89" spans="1:4" x14ac:dyDescent="0.3">
      <c r="A89" s="53" t="str">
        <f>Elementos!A1146</f>
        <v>11.03</v>
      </c>
      <c r="B89" s="54"/>
      <c r="C89" s="54" t="str">
        <f>Elementos!C1146</f>
        <v>Centros de equitación</v>
      </c>
      <c r="D89" s="54"/>
    </row>
    <row r="90" spans="1:4" x14ac:dyDescent="0.3">
      <c r="A90" s="53" t="str">
        <f>Elementos!A1147</f>
        <v>11.04</v>
      </c>
      <c r="B90" s="54"/>
      <c r="C90" s="54" t="str">
        <f>Elementos!C1147</f>
        <v>Gimnasios</v>
      </c>
      <c r="D90" s="54"/>
    </row>
    <row r="91" spans="1:4" x14ac:dyDescent="0.3">
      <c r="A91" s="53" t="str">
        <f>Elementos!A1148</f>
        <v>11.05</v>
      </c>
      <c r="B91" s="54"/>
      <c r="C91" s="54" t="str">
        <f>Elementos!C1148</f>
        <v>Yoga y pilates</v>
      </c>
      <c r="D91" s="54"/>
    </row>
    <row r="92" spans="1:4" x14ac:dyDescent="0.3">
      <c r="A92" s="57" t="str">
        <f>Elementos!A1177</f>
        <v>12</v>
      </c>
      <c r="B92" s="58" t="str">
        <f>Elementos!B1177</f>
        <v>Salud y bienestar</v>
      </c>
      <c r="C92" s="58"/>
      <c r="D92" s="58"/>
    </row>
    <row r="93" spans="1:4" x14ac:dyDescent="0.3">
      <c r="A93" s="59" t="str">
        <f>Elementos!A1178</f>
        <v>12.01</v>
      </c>
      <c r="B93" s="60"/>
      <c r="C93" s="60" t="str">
        <f>Elementos!C1178</f>
        <v>Wellness &amp; spa</v>
      </c>
      <c r="D93" s="60"/>
    </row>
    <row r="94" spans="1:4" x14ac:dyDescent="0.3">
      <c r="A94" s="59" t="str">
        <f>Elementos!A1196</f>
        <v>12.02</v>
      </c>
      <c r="B94" s="60"/>
      <c r="C94" s="60" t="str">
        <f>Elementos!C1196</f>
        <v>Centros de estética</v>
      </c>
      <c r="D94" s="60"/>
    </row>
    <row r="95" spans="1:4" x14ac:dyDescent="0.3">
      <c r="A95" s="59" t="str">
        <f>Elementos!A1221</f>
        <v>12.03</v>
      </c>
      <c r="B95" s="60"/>
      <c r="C95" s="60" t="str">
        <f>Elementos!C1221</f>
        <v>Hospitales</v>
      </c>
      <c r="D95" s="60"/>
    </row>
    <row r="96" spans="1:4" x14ac:dyDescent="0.3">
      <c r="A96" s="61" t="str">
        <f>Elementos!A1222</f>
        <v>12.03.01</v>
      </c>
      <c r="B96" s="62"/>
      <c r="C96" s="62"/>
      <c r="D96" s="62" t="str">
        <f>Elementos!D1222</f>
        <v>Públicos</v>
      </c>
    </row>
    <row r="97" spans="1:4" x14ac:dyDescent="0.3">
      <c r="A97" s="61" t="str">
        <f>Elementos!A1225</f>
        <v>12.03.02</v>
      </c>
      <c r="B97" s="62"/>
      <c r="C97" s="62"/>
      <c r="D97" s="62" t="str">
        <f>Elementos!D1225</f>
        <v>Privados</v>
      </c>
    </row>
    <row r="98" spans="1:4" x14ac:dyDescent="0.3">
      <c r="A98" s="59" t="str">
        <f>Elementos!A1231</f>
        <v>12.04</v>
      </c>
      <c r="B98" s="60"/>
      <c r="C98" s="60" t="str">
        <f>Elementos!C1231</f>
        <v>Centros médicos</v>
      </c>
      <c r="D98" s="60"/>
    </row>
    <row r="99" spans="1:4" x14ac:dyDescent="0.3">
      <c r="A99" s="61" t="str">
        <f>Elementos!A1232</f>
        <v>12.04.01</v>
      </c>
      <c r="B99" s="62"/>
      <c r="C99" s="62"/>
      <c r="D99" s="62" t="str">
        <f>Elementos!D1232</f>
        <v>Públicos</v>
      </c>
    </row>
    <row r="100" spans="1:4" x14ac:dyDescent="0.3">
      <c r="A100" s="61" t="str">
        <f>Elementos!A1239</f>
        <v>12.04.02</v>
      </c>
      <c r="B100" s="62"/>
      <c r="C100" s="62"/>
      <c r="D100" s="62" t="str">
        <f>Elementos!D1239</f>
        <v>Privados</v>
      </c>
    </row>
    <row r="101" spans="1:4" x14ac:dyDescent="0.3">
      <c r="A101" s="59" t="str">
        <f>Elementos!A1252</f>
        <v>12.05</v>
      </c>
      <c r="B101" s="60"/>
      <c r="C101" s="60" t="str">
        <f>Elementos!C1252</f>
        <v>Clínicas especializadas</v>
      </c>
      <c r="D101" s="60"/>
    </row>
    <row r="102" spans="1:4" x14ac:dyDescent="0.3">
      <c r="A102" s="59" t="str">
        <f>Elementos!A1260</f>
        <v>12.06</v>
      </c>
      <c r="B102" s="60"/>
      <c r="C102" s="60" t="str">
        <f>Elementos!C1260</f>
        <v>Análisis clínicos</v>
      </c>
      <c r="D102" s="60"/>
    </row>
    <row r="103" spans="1:4" x14ac:dyDescent="0.3">
      <c r="A103" s="63" t="str">
        <f>Elementos!A1264</f>
        <v>13</v>
      </c>
      <c r="B103" s="64" t="str">
        <f>Elementos!B1264</f>
        <v>Ocio</v>
      </c>
      <c r="C103" s="64"/>
      <c r="D103" s="64"/>
    </row>
    <row r="104" spans="1:4" x14ac:dyDescent="0.3">
      <c r="A104" s="65" t="str">
        <f>Elementos!A1265</f>
        <v>13.01</v>
      </c>
      <c r="B104" s="66"/>
      <c r="C104" s="66" t="str">
        <f>Elementos!C1265</f>
        <v>Espectáculos flamencos</v>
      </c>
      <c r="D104" s="66"/>
    </row>
    <row r="105" spans="1:4" x14ac:dyDescent="0.3">
      <c r="A105" s="65" t="str">
        <f>Elementos!A1272</f>
        <v>13.02</v>
      </c>
      <c r="B105" s="66"/>
      <c r="C105" s="66" t="str">
        <f>Elementos!C1272</f>
        <v>Ocio familiar</v>
      </c>
      <c r="D105" s="66"/>
    </row>
    <row r="106" spans="1:4" x14ac:dyDescent="0.3">
      <c r="A106" s="65" t="str">
        <f>Elementos!A1308</f>
        <v>13.03</v>
      </c>
      <c r="B106" s="66"/>
      <c r="C106" s="66" t="str">
        <f>Elementos!C1308</f>
        <v>Ocio nocturno</v>
      </c>
      <c r="D106" s="66"/>
    </row>
    <row r="107" spans="1:4" x14ac:dyDescent="0.3">
      <c r="A107" s="65" t="str">
        <f>Elementos!A1348</f>
        <v>13.04</v>
      </c>
      <c r="B107" s="66"/>
      <c r="C107" s="66" t="str">
        <f>Elementos!C1348</f>
        <v>Terrazas rooftops</v>
      </c>
      <c r="D107" s="66"/>
    </row>
    <row r="108" spans="1:4" x14ac:dyDescent="0.3">
      <c r="A108" s="65" t="str">
        <f>Elementos!A1366</f>
        <v>13.05</v>
      </c>
      <c r="B108" s="66"/>
      <c r="C108" s="66" t="str">
        <f>Elementos!C1366</f>
        <v>Cines y teatros</v>
      </c>
      <c r="D108" s="66"/>
    </row>
    <row r="109" spans="1:4" x14ac:dyDescent="0.3">
      <c r="A109" s="67" t="str">
        <f>Elementos!A1372</f>
        <v>14</v>
      </c>
      <c r="B109" s="68" t="str">
        <f>Elementos!B1372</f>
        <v>Viajar con mascotas</v>
      </c>
      <c r="C109" s="68"/>
      <c r="D109" s="68"/>
    </row>
    <row r="110" spans="1:4" x14ac:dyDescent="0.3">
      <c r="A110" s="69" t="str">
        <f>Elementos!A1373</f>
        <v>14.01</v>
      </c>
      <c r="B110" s="70"/>
      <c r="C110" s="70" t="str">
        <f>Elementos!C1373</f>
        <v>Veterinarios</v>
      </c>
      <c r="D110" s="70"/>
    </row>
    <row r="111" spans="1:4" x14ac:dyDescent="0.3">
      <c r="A111" s="69" t="str">
        <f>Elementos!A1403</f>
        <v>14.02</v>
      </c>
      <c r="B111" s="70"/>
      <c r="C111" s="70" t="str">
        <f>Elementos!C1403</f>
        <v>Servicios para mascotas</v>
      </c>
      <c r="D111" s="70"/>
    </row>
    <row r="112" spans="1:4" x14ac:dyDescent="0.3">
      <c r="A112" s="69" t="str">
        <f>Elementos!A1436</f>
        <v>14.03</v>
      </c>
      <c r="B112" s="70"/>
      <c r="C112" s="70" t="str">
        <f>Elementos!C1436</f>
        <v>Hoteles para mascotas</v>
      </c>
      <c r="D112" s="70"/>
    </row>
    <row r="113" spans="1:4" x14ac:dyDescent="0.3">
      <c r="A113" s="69" t="str">
        <f>Elementos!A1441</f>
        <v>14.04</v>
      </c>
      <c r="B113" s="70"/>
      <c r="C113" s="70" t="str">
        <f>Elementos!C1441</f>
        <v>Parques y playas caninas</v>
      </c>
      <c r="D113" s="70"/>
    </row>
    <row r="114" spans="1:4" x14ac:dyDescent="0.3">
      <c r="A114" s="69" t="str">
        <f>Elementos!A1448</f>
        <v>14.05</v>
      </c>
      <c r="B114" s="70"/>
      <c r="C114" s="70" t="str">
        <f>Elementos!C1448</f>
        <v>Alojamientos que permiten mascotas</v>
      </c>
      <c r="D114" s="70"/>
    </row>
    <row r="115" spans="1:4" x14ac:dyDescent="0.3">
      <c r="A115" s="71" t="str">
        <f>Elementos!A1489</f>
        <v>15</v>
      </c>
      <c r="B115" s="72" t="str">
        <f>Elementos!B1489</f>
        <v>Servicios turísticos</v>
      </c>
      <c r="C115" s="72"/>
      <c r="D115" s="72"/>
    </row>
    <row r="116" spans="1:4" x14ac:dyDescent="0.3">
      <c r="A116" s="73" t="str">
        <f>Elementos!A1490</f>
        <v>15.01</v>
      </c>
      <c r="B116" s="74"/>
      <c r="C116" s="74" t="str">
        <f>Elementos!C1490</f>
        <v>Oficinas de información turística</v>
      </c>
      <c r="D116" s="74"/>
    </row>
    <row r="117" spans="1:4" x14ac:dyDescent="0.3">
      <c r="A117" s="73" t="str">
        <f>Elementos!A1495</f>
        <v>15.02</v>
      </c>
      <c r="B117" s="74"/>
      <c r="C117" s="74" t="str">
        <f>Elementos!C1495</f>
        <v>Agencias de viajes</v>
      </c>
      <c r="D117" s="74"/>
    </row>
    <row r="118" spans="1:4" x14ac:dyDescent="0.3">
      <c r="A118" s="73" t="str">
        <f>Elementos!A1526</f>
        <v>15.03</v>
      </c>
      <c r="B118" s="74"/>
      <c r="C118" s="74" t="str">
        <f>Elementos!C1526</f>
        <v>Alquiler de coches</v>
      </c>
      <c r="D118" s="74"/>
    </row>
    <row r="119" spans="1:4" x14ac:dyDescent="0.3">
      <c r="A119" s="73" t="str">
        <f>Elementos!A1566</f>
        <v>15.04</v>
      </c>
      <c r="B119" s="74"/>
      <c r="C119" s="74" t="str">
        <f>Elementos!C1566</f>
        <v>Guías turísticos</v>
      </c>
      <c r="D119" s="74"/>
    </row>
    <row r="120" spans="1:4" x14ac:dyDescent="0.3">
      <c r="A120" s="73" t="str">
        <f>Elementos!A1591</f>
        <v>15.05</v>
      </c>
      <c r="B120" s="74"/>
      <c r="C120" s="74" t="str">
        <f>Elementos!C1591</f>
        <v>Alquiler de autobuses</v>
      </c>
      <c r="D120" s="74"/>
    </row>
    <row r="121" spans="1:4" x14ac:dyDescent="0.3">
      <c r="A121" s="73" t="str">
        <f>Elementos!A1594</f>
        <v>15.06</v>
      </c>
      <c r="B121" s="74"/>
      <c r="C121" s="74" t="str">
        <f>Elementos!C1594</f>
        <v>Alquiler de barcos</v>
      </c>
      <c r="D121" s="74"/>
    </row>
    <row r="122" spans="1:4" x14ac:dyDescent="0.3">
      <c r="A122" s="73" t="str">
        <f>Elementos!A1633</f>
        <v>15.07</v>
      </c>
      <c r="B122" s="74"/>
      <c r="C122" s="74" t="str">
        <f>Elementos!C1633</f>
        <v>Transfer</v>
      </c>
      <c r="D122" s="74"/>
    </row>
    <row r="123" spans="1:4" x14ac:dyDescent="0.3">
      <c r="A123" s="73" t="str">
        <f>Elementos!A1642</f>
        <v>15.08</v>
      </c>
      <c r="B123" s="74"/>
      <c r="C123" s="74" t="str">
        <f>Elementos!C1642</f>
        <v>Alquiler aéreo</v>
      </c>
      <c r="D123" s="74"/>
    </row>
    <row r="124" spans="1:4" x14ac:dyDescent="0.3">
      <c r="A124" s="73" t="str">
        <f>Elementos!A1645</f>
        <v>15.09</v>
      </c>
      <c r="B124" s="74"/>
      <c r="C124" s="74" t="str">
        <f>Elementos!C1645</f>
        <v>Caravanas</v>
      </c>
      <c r="D124" s="74"/>
    </row>
    <row r="125" spans="1:4" x14ac:dyDescent="0.3">
      <c r="A125" s="73" t="str">
        <f>Elementos!A1649</f>
        <v>15.10</v>
      </c>
      <c r="B125" s="74"/>
      <c r="C125" s="74" t="str">
        <f>Elementos!C1649</f>
        <v>Experiencias</v>
      </c>
      <c r="D125" s="74"/>
    </row>
    <row r="126" spans="1:4" x14ac:dyDescent="0.3">
      <c r="A126" s="73" t="str">
        <f>Elementos!A1673</f>
        <v>15.11</v>
      </c>
      <c r="B126" s="74"/>
      <c r="C126" s="74" t="str">
        <f>Elementos!C1673</f>
        <v>Oficinas de cambio</v>
      </c>
      <c r="D126" s="74"/>
    </row>
    <row r="127" spans="1:4" x14ac:dyDescent="0.3">
      <c r="A127" s="73" t="str">
        <f>Elementos!A1687</f>
        <v>15.12</v>
      </c>
      <c r="B127" s="74"/>
      <c r="C127" s="74" t="str">
        <f>Elementos!C1687</f>
        <v>Consigna de equipajes</v>
      </c>
      <c r="D127" s="74"/>
    </row>
    <row r="128" spans="1:4" x14ac:dyDescent="0.3">
      <c r="A128" s="75" t="str">
        <f>Elementos!A1696</f>
        <v>16</v>
      </c>
      <c r="B128" s="76" t="str">
        <f>Elementos!B1696</f>
        <v>Otros puntos singulares de Marbella</v>
      </c>
      <c r="C128" s="76"/>
      <c r="D128" s="76"/>
    </row>
    <row r="129" spans="1:4" x14ac:dyDescent="0.3">
      <c r="A129" s="77" t="str">
        <f>Elementos!A1697</f>
        <v>16.01</v>
      </c>
      <c r="B129" s="78"/>
      <c r="C129" s="78" t="str">
        <f>Elementos!C1697</f>
        <v>Toma tu selfie</v>
      </c>
      <c r="D129" s="78"/>
    </row>
    <row r="130" spans="1:4" x14ac:dyDescent="0.3">
      <c r="A130" s="77" t="str">
        <f>Elementos!A1705</f>
        <v>16.02</v>
      </c>
      <c r="B130" s="78"/>
      <c r="C130" s="78" t="str">
        <f>Elementos!C1705</f>
        <v>Localizaciones de película</v>
      </c>
      <c r="D130" s="78"/>
    </row>
    <row r="131" spans="1:4" x14ac:dyDescent="0.3">
      <c r="A131" s="79" t="str">
        <f>Elementos!A1706</f>
        <v>17</v>
      </c>
      <c r="B131" s="80" t="str">
        <f>Elementos!B1706</f>
        <v>Marbella de boda</v>
      </c>
      <c r="C131" s="80"/>
      <c r="D131" s="80"/>
    </row>
    <row r="132" spans="1:4" x14ac:dyDescent="0.3">
      <c r="A132" s="81" t="str">
        <f>Elementos!A1707</f>
        <v>17.01</v>
      </c>
      <c r="B132" s="82"/>
      <c r="C132" s="82" t="str">
        <f>Elementos!C1707</f>
        <v>Lugares de celebración</v>
      </c>
      <c r="D132" s="82"/>
    </row>
    <row r="133" spans="1:4" x14ac:dyDescent="0.3">
      <c r="A133" s="81" t="str">
        <f>Elementos!A1713</f>
        <v>17.02</v>
      </c>
      <c r="B133" s="82"/>
      <c r="C133" s="82" t="str">
        <f>Elementos!C1713</f>
        <v>Lugares de ceremonias religiosas</v>
      </c>
      <c r="D133" s="82"/>
    </row>
    <row r="134" spans="1:4" x14ac:dyDescent="0.3">
      <c r="A134" s="81" t="str">
        <f>Elementos!A1733</f>
        <v>17.03</v>
      </c>
      <c r="B134" s="82"/>
      <c r="C134" s="82" t="str">
        <f>Elementos!C1733</f>
        <v>Organizadores de eventos</v>
      </c>
      <c r="D134" s="82"/>
    </row>
    <row r="135" spans="1:4" x14ac:dyDescent="0.3">
      <c r="A135" s="81" t="str">
        <f>Elementos!A1748</f>
        <v>17.04</v>
      </c>
      <c r="B135" s="82"/>
      <c r="C135" s="82" t="str">
        <f>Elementos!C1748</f>
        <v>Oficiantes de ceremonia</v>
      </c>
      <c r="D135" s="82"/>
    </row>
    <row r="136" spans="1:4" x14ac:dyDescent="0.3">
      <c r="A136" s="81" t="str">
        <f>Elementos!A1751</f>
        <v>17.05</v>
      </c>
      <c r="B136" s="82"/>
      <c r="C136" s="82" t="str">
        <f>Elementos!C1751</f>
        <v>Servicios complementarios</v>
      </c>
      <c r="D136" s="82"/>
    </row>
    <row r="137" spans="1:4" x14ac:dyDescent="0.3">
      <c r="A137" s="81" t="str">
        <f>Elementos!A1832</f>
        <v>17.06</v>
      </c>
      <c r="B137" s="82"/>
      <c r="C137" s="82" t="str">
        <f>Elementos!C1832</f>
        <v>Servicios de alquiler</v>
      </c>
      <c r="D137" s="82"/>
    </row>
    <row r="138" spans="1:4" x14ac:dyDescent="0.3">
      <c r="A138" s="83" t="str">
        <f>Elementos!A1838</f>
        <v>18</v>
      </c>
      <c r="B138" s="84" t="str">
        <f>Elementos!B1838</f>
        <v>Congresos y empresas</v>
      </c>
      <c r="C138" s="84"/>
      <c r="D138" s="84"/>
    </row>
    <row r="139" spans="1:4" x14ac:dyDescent="0.3">
      <c r="A139" s="85" t="str">
        <f>Elementos!A1839</f>
        <v>18.01</v>
      </c>
      <c r="B139" s="86"/>
      <c r="C139" s="86" t="str">
        <f>Elementos!C1839</f>
        <v>Recintos para congresos y eventos</v>
      </c>
      <c r="D139" s="86"/>
    </row>
    <row r="140" spans="1:4" x14ac:dyDescent="0.3">
      <c r="A140" s="85" t="str">
        <f>Elementos!A1842</f>
        <v>18.02</v>
      </c>
      <c r="B140" s="86"/>
      <c r="C140" s="86" t="str">
        <f>Elementos!C1842</f>
        <v>Centros de negocios</v>
      </c>
      <c r="D140" s="86"/>
    </row>
    <row r="141" spans="1:4" x14ac:dyDescent="0.3">
      <c r="A141" s="85" t="str">
        <f>Elementos!A1857</f>
        <v>18.03</v>
      </c>
      <c r="B141" s="86"/>
      <c r="C141" s="86" t="str">
        <f>Elementos!C1857</f>
        <v>Traductores</v>
      </c>
      <c r="D141" s="86"/>
    </row>
    <row r="142" spans="1:4" x14ac:dyDescent="0.3">
      <c r="A142" s="85" t="str">
        <f>Elementos!A1874</f>
        <v>18.04</v>
      </c>
      <c r="B142" s="86"/>
      <c r="C142" s="86" t="str">
        <f>Elementos!C1874</f>
        <v>Azafatas</v>
      </c>
      <c r="D142" s="86"/>
    </row>
    <row r="143" spans="1:4" x14ac:dyDescent="0.3">
      <c r="A143" s="85" t="str">
        <f>Elementos!A1877</f>
        <v>18.05</v>
      </c>
      <c r="B143" s="86"/>
      <c r="C143" s="86" t="str">
        <f>Elementos!C1877</f>
        <v>Agencias de eventos</v>
      </c>
      <c r="D143" s="86"/>
    </row>
    <row r="144" spans="1:4" x14ac:dyDescent="0.3">
      <c r="A144" s="85" t="str">
        <f>Elementos!A1882</f>
        <v>18.06</v>
      </c>
      <c r="B144" s="86"/>
      <c r="C144" s="86" t="str">
        <f>Elementos!C1882</f>
        <v>Empresas turísticas</v>
      </c>
      <c r="D144" s="86"/>
    </row>
    <row r="145" spans="1:4" x14ac:dyDescent="0.3">
      <c r="A145" s="87" t="str">
        <f>Elementos!A1914</f>
        <v>19</v>
      </c>
      <c r="B145" s="88" t="str">
        <f>Elementos!B1914</f>
        <v>Información práctica</v>
      </c>
      <c r="C145" s="88"/>
      <c r="D145" s="88"/>
    </row>
    <row r="146" spans="1:4" x14ac:dyDescent="0.3">
      <c r="A146" s="89" t="str">
        <f>Elementos!A1915</f>
        <v>19.01</v>
      </c>
      <c r="B146" s="90"/>
      <c r="C146" s="90" t="str">
        <f>Elementos!C1915</f>
        <v>Aparcamientos</v>
      </c>
      <c r="D146" s="90"/>
    </row>
    <row r="147" spans="1:4" x14ac:dyDescent="0.3">
      <c r="A147" s="89" t="str">
        <f>Elementos!A2009</f>
        <v>19.02</v>
      </c>
      <c r="B147" s="90"/>
      <c r="C147" s="90" t="str">
        <f>Elementos!C2009</f>
        <v>Movilidad</v>
      </c>
      <c r="D147" s="90"/>
    </row>
    <row r="148" spans="1:4" x14ac:dyDescent="0.3">
      <c r="A148" s="89" t="str">
        <f>Elementos!A2057</f>
        <v>19.03</v>
      </c>
      <c r="B148" s="90"/>
      <c r="C148" s="90" t="str">
        <f>Elementos!C2057</f>
        <v>Emergencias</v>
      </c>
      <c r="D148" s="90"/>
    </row>
    <row r="149" spans="1:4" x14ac:dyDescent="0.3">
      <c r="A149" s="89" t="str">
        <f>Elementos!A2069</f>
        <v>19.04</v>
      </c>
      <c r="B149" s="90"/>
      <c r="C149" s="90" t="str">
        <f>Elementos!C2069</f>
        <v>Otros contactos de interés</v>
      </c>
      <c r="D149" s="90"/>
    </row>
    <row r="150" spans="1:4" x14ac:dyDescent="0.3">
      <c r="A150" s="89" t="str">
        <f>Elementos!A2075</f>
        <v>19.05</v>
      </c>
      <c r="B150" s="90"/>
      <c r="C150" s="90" t="str">
        <f>Elementos!C2075</f>
        <v>Farmacias</v>
      </c>
      <c r="D150" s="90"/>
    </row>
    <row r="151" spans="1:4" x14ac:dyDescent="0.3">
      <c r="A151" s="89" t="str">
        <f>Elementos!A2125</f>
        <v>19.06</v>
      </c>
      <c r="B151" s="90"/>
      <c r="C151" s="90" t="str">
        <f>Elementos!C2125</f>
        <v>Aseos públicos</v>
      </c>
      <c r="D151" s="90"/>
    </row>
    <row r="152" spans="1:4" x14ac:dyDescent="0.3">
      <c r="A152" s="89" t="str">
        <f>Elementos!A2174</f>
        <v>19.07</v>
      </c>
      <c r="B152" s="90"/>
      <c r="C152" s="90" t="str">
        <f>Elementos!C2174</f>
        <v>Puntos de recarga eléctrica</v>
      </c>
      <c r="D152" s="90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P2188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baseColWidth="10" defaultColWidth="8.88671875" defaultRowHeight="14.4" outlineLevelRow="3" x14ac:dyDescent="0.3"/>
  <cols>
    <col min="1" max="1" width="13" customWidth="1"/>
    <col min="2" max="2" width="20" customWidth="1"/>
    <col min="3" max="3" width="30" customWidth="1"/>
    <col min="4" max="4" width="28" customWidth="1"/>
    <col min="5" max="5" width="34" customWidth="1"/>
    <col min="6" max="6" width="30" customWidth="1"/>
    <col min="7" max="7" width="7" customWidth="1"/>
    <col min="8" max="8" width="14" customWidth="1"/>
    <col min="9" max="9" width="11" customWidth="1"/>
    <col min="10" max="10" width="12" customWidth="1"/>
    <col min="11" max="11" width="11" customWidth="1"/>
    <col min="12" max="12" width="12" customWidth="1"/>
    <col min="13" max="13" width="50" customWidth="1"/>
    <col min="14" max="14" width="40" customWidth="1"/>
    <col min="15" max="15" width="30" customWidth="1"/>
    <col min="16" max="16" width="50" customWidth="1"/>
  </cols>
  <sheetData>
    <row r="1" spans="1:16" ht="21" x14ac:dyDescent="0.4">
      <c r="A1" s="91" t="s">
        <v>5</v>
      </c>
    </row>
    <row r="2" spans="1:16" x14ac:dyDescent="0.3">
      <c r="A2" s="92" t="s">
        <v>6</v>
      </c>
    </row>
    <row r="4" spans="1:16" ht="31.95" customHeight="1" x14ac:dyDescent="0.3">
      <c r="A4" s="93" t="s">
        <v>1</v>
      </c>
      <c r="B4" s="94" t="s">
        <v>2</v>
      </c>
      <c r="C4" s="94" t="s">
        <v>3</v>
      </c>
      <c r="D4" s="94" t="s">
        <v>4</v>
      </c>
      <c r="E4" s="94" t="s">
        <v>7</v>
      </c>
      <c r="F4" s="94" t="s">
        <v>8</v>
      </c>
      <c r="G4" s="93" t="s">
        <v>9</v>
      </c>
      <c r="H4" s="94" t="s">
        <v>10</v>
      </c>
      <c r="I4" s="93" t="s">
        <v>11</v>
      </c>
      <c r="J4" s="93" t="s">
        <v>12</v>
      </c>
      <c r="K4" s="93" t="s">
        <v>13</v>
      </c>
      <c r="L4" s="93" t="s">
        <v>14</v>
      </c>
      <c r="M4" s="94" t="s">
        <v>15</v>
      </c>
      <c r="N4" s="94" t="s">
        <v>16</v>
      </c>
      <c r="O4" s="94" t="s">
        <v>17</v>
      </c>
      <c r="P4" s="94" t="s">
        <v>18</v>
      </c>
    </row>
    <row r="5" spans="1:16" x14ac:dyDescent="0.3">
      <c r="A5" s="95" t="s">
        <v>19</v>
      </c>
      <c r="B5" s="96" t="s">
        <v>20</v>
      </c>
      <c r="C5" s="97" t="str">
        <f>COUNTIFS($G6:$G127,2)&amp;" subcapas"</f>
        <v>4 subcapas</v>
      </c>
      <c r="D5" s="96"/>
      <c r="E5" s="96"/>
      <c r="F5" s="96"/>
      <c r="G5" s="95">
        <v>1</v>
      </c>
      <c r="H5" s="96" t="s">
        <v>2</v>
      </c>
      <c r="I5" s="95"/>
      <c r="J5" s="98">
        <f>SUMIFS(J6:J127,$G6:$G127,2)</f>
        <v>67</v>
      </c>
      <c r="K5" s="98">
        <f>SUMIFS(K6:K127,$G6:$G127,2)</f>
        <v>0</v>
      </c>
      <c r="L5" s="98">
        <f>SUMIFS(L6:L127,$G6:$G127,2)</f>
        <v>52</v>
      </c>
      <c r="M5" s="99" t="s">
        <v>21</v>
      </c>
      <c r="N5" s="96"/>
      <c r="O5" s="96"/>
      <c r="P5" s="96" t="s">
        <v>22</v>
      </c>
    </row>
    <row r="6" spans="1:16" ht="41.4" outlineLevel="1" x14ac:dyDescent="0.3">
      <c r="A6" s="100" t="s">
        <v>23</v>
      </c>
      <c r="B6" s="101"/>
      <c r="C6" s="102" t="s">
        <v>24</v>
      </c>
      <c r="D6" s="101"/>
      <c r="E6" s="101"/>
      <c r="F6" s="101"/>
      <c r="G6" s="100">
        <v>2</v>
      </c>
      <c r="H6" s="101" t="s">
        <v>25</v>
      </c>
      <c r="I6" s="100" t="s">
        <v>26</v>
      </c>
      <c r="J6" s="100">
        <v>26</v>
      </c>
      <c r="K6" s="100">
        <v>0</v>
      </c>
      <c r="L6" s="100">
        <v>26</v>
      </c>
      <c r="M6" s="103" t="s">
        <v>27</v>
      </c>
      <c r="N6" s="103" t="s">
        <v>28</v>
      </c>
      <c r="O6" s="104"/>
      <c r="P6" s="103" t="s">
        <v>29</v>
      </c>
    </row>
    <row r="7" spans="1:16" outlineLevel="2" x14ac:dyDescent="0.3">
      <c r="A7" s="105" t="s">
        <v>30</v>
      </c>
      <c r="B7" s="106"/>
      <c r="C7" s="106"/>
      <c r="D7" s="106"/>
      <c r="E7" s="106" t="s">
        <v>31</v>
      </c>
      <c r="F7" s="106" t="s">
        <v>32</v>
      </c>
      <c r="G7" s="105">
        <v>4</v>
      </c>
      <c r="H7" s="106" t="s">
        <v>7</v>
      </c>
      <c r="I7" s="105" t="s">
        <v>26</v>
      </c>
      <c r="J7" s="105"/>
      <c r="K7" s="105"/>
      <c r="L7" s="105"/>
      <c r="M7" s="106" t="s">
        <v>33</v>
      </c>
      <c r="N7" s="106" t="s">
        <v>34</v>
      </c>
      <c r="O7" s="107"/>
      <c r="P7" s="106" t="s">
        <v>35</v>
      </c>
    </row>
    <row r="8" spans="1:16" outlineLevel="2" x14ac:dyDescent="0.3">
      <c r="A8" s="105" t="s">
        <v>36</v>
      </c>
      <c r="B8" s="106"/>
      <c r="C8" s="106"/>
      <c r="D8" s="106"/>
      <c r="E8" s="106" t="s">
        <v>37</v>
      </c>
      <c r="F8" s="106" t="s">
        <v>38</v>
      </c>
      <c r="G8" s="105">
        <v>4</v>
      </c>
      <c r="H8" s="106" t="s">
        <v>7</v>
      </c>
      <c r="I8" s="105" t="s">
        <v>39</v>
      </c>
      <c r="J8" s="105"/>
      <c r="K8" s="105"/>
      <c r="L8" s="105"/>
      <c r="M8" s="106" t="s">
        <v>33</v>
      </c>
      <c r="N8" s="106" t="s">
        <v>40</v>
      </c>
      <c r="O8" s="107"/>
      <c r="P8" s="106" t="s">
        <v>41</v>
      </c>
    </row>
    <row r="9" spans="1:16" outlineLevel="2" x14ac:dyDescent="0.3">
      <c r="A9" s="105" t="s">
        <v>42</v>
      </c>
      <c r="B9" s="106"/>
      <c r="C9" s="106"/>
      <c r="D9" s="106"/>
      <c r="E9" s="106" t="s">
        <v>43</v>
      </c>
      <c r="F9" s="106" t="s">
        <v>44</v>
      </c>
      <c r="G9" s="105">
        <v>4</v>
      </c>
      <c r="H9" s="106" t="s">
        <v>7</v>
      </c>
      <c r="I9" s="105" t="s">
        <v>26</v>
      </c>
      <c r="J9" s="105"/>
      <c r="K9" s="105"/>
      <c r="L9" s="105"/>
      <c r="M9" s="106" t="s">
        <v>45</v>
      </c>
      <c r="N9" s="106" t="s">
        <v>34</v>
      </c>
      <c r="O9" s="107"/>
      <c r="P9" s="106" t="s">
        <v>46</v>
      </c>
    </row>
    <row r="10" spans="1:16" outlineLevel="2" x14ac:dyDescent="0.3">
      <c r="A10" s="105" t="s">
        <v>47</v>
      </c>
      <c r="B10" s="106"/>
      <c r="C10" s="106"/>
      <c r="D10" s="106"/>
      <c r="E10" s="106" t="s">
        <v>48</v>
      </c>
      <c r="F10" s="106" t="s">
        <v>49</v>
      </c>
      <c r="G10" s="105">
        <v>4</v>
      </c>
      <c r="H10" s="106" t="s">
        <v>7</v>
      </c>
      <c r="I10" s="105" t="s">
        <v>26</v>
      </c>
      <c r="J10" s="105"/>
      <c r="K10" s="105"/>
      <c r="L10" s="105"/>
      <c r="M10" s="106" t="s">
        <v>50</v>
      </c>
      <c r="N10" s="106" t="s">
        <v>34</v>
      </c>
      <c r="O10" s="107"/>
      <c r="P10" s="106" t="s">
        <v>51</v>
      </c>
    </row>
    <row r="11" spans="1:16" outlineLevel="2" x14ac:dyDescent="0.3">
      <c r="A11" s="105" t="s">
        <v>52</v>
      </c>
      <c r="B11" s="106"/>
      <c r="C11" s="106"/>
      <c r="D11" s="106"/>
      <c r="E11" s="106" t="s">
        <v>53</v>
      </c>
      <c r="F11" s="106" t="s">
        <v>54</v>
      </c>
      <c r="G11" s="105">
        <v>4</v>
      </c>
      <c r="H11" s="106" t="s">
        <v>7</v>
      </c>
      <c r="I11" s="105" t="s">
        <v>26</v>
      </c>
      <c r="J11" s="105"/>
      <c r="K11" s="105"/>
      <c r="L11" s="105"/>
      <c r="M11" s="106" t="s">
        <v>55</v>
      </c>
      <c r="N11" s="106" t="s">
        <v>34</v>
      </c>
      <c r="O11" s="107"/>
      <c r="P11" s="106" t="s">
        <v>56</v>
      </c>
    </row>
    <row r="12" spans="1:16" outlineLevel="2" x14ac:dyDescent="0.3">
      <c r="A12" s="105" t="s">
        <v>57</v>
      </c>
      <c r="B12" s="106"/>
      <c r="C12" s="106"/>
      <c r="D12" s="106"/>
      <c r="E12" s="106" t="s">
        <v>58</v>
      </c>
      <c r="F12" s="106" t="s">
        <v>59</v>
      </c>
      <c r="G12" s="105">
        <v>4</v>
      </c>
      <c r="H12" s="106" t="s">
        <v>7</v>
      </c>
      <c r="I12" s="105" t="s">
        <v>26</v>
      </c>
      <c r="J12" s="105"/>
      <c r="K12" s="105"/>
      <c r="L12" s="105"/>
      <c r="M12" s="106" t="s">
        <v>60</v>
      </c>
      <c r="N12" s="106" t="s">
        <v>34</v>
      </c>
      <c r="O12" s="107"/>
      <c r="P12" s="106" t="s">
        <v>61</v>
      </c>
    </row>
    <row r="13" spans="1:16" outlineLevel="2" x14ac:dyDescent="0.3">
      <c r="A13" s="105" t="s">
        <v>62</v>
      </c>
      <c r="B13" s="106"/>
      <c r="C13" s="106"/>
      <c r="D13" s="106"/>
      <c r="E13" s="106" t="s">
        <v>63</v>
      </c>
      <c r="F13" s="106" t="s">
        <v>64</v>
      </c>
      <c r="G13" s="105">
        <v>4</v>
      </c>
      <c r="H13" s="106" t="s">
        <v>7</v>
      </c>
      <c r="I13" s="105" t="s">
        <v>26</v>
      </c>
      <c r="J13" s="105"/>
      <c r="K13" s="105"/>
      <c r="L13" s="105"/>
      <c r="M13" s="106" t="s">
        <v>65</v>
      </c>
      <c r="N13" s="106" t="s">
        <v>34</v>
      </c>
      <c r="O13" s="107"/>
      <c r="P13" s="106" t="s">
        <v>66</v>
      </c>
    </row>
    <row r="14" spans="1:16" outlineLevel="2" x14ac:dyDescent="0.3">
      <c r="A14" s="105" t="s">
        <v>67</v>
      </c>
      <c r="B14" s="106"/>
      <c r="C14" s="106"/>
      <c r="D14" s="106"/>
      <c r="E14" s="106" t="s">
        <v>68</v>
      </c>
      <c r="F14" s="106" t="s">
        <v>69</v>
      </c>
      <c r="G14" s="105">
        <v>4</v>
      </c>
      <c r="H14" s="106" t="s">
        <v>7</v>
      </c>
      <c r="I14" s="105" t="s">
        <v>26</v>
      </c>
      <c r="J14" s="105"/>
      <c r="K14" s="105"/>
      <c r="L14" s="105"/>
      <c r="M14" s="106" t="s">
        <v>70</v>
      </c>
      <c r="N14" s="106" t="s">
        <v>34</v>
      </c>
      <c r="O14" s="107"/>
      <c r="P14" s="106" t="s">
        <v>71</v>
      </c>
    </row>
    <row r="15" spans="1:16" outlineLevel="2" x14ac:dyDescent="0.3">
      <c r="A15" s="105" t="s">
        <v>72</v>
      </c>
      <c r="B15" s="106"/>
      <c r="C15" s="106"/>
      <c r="D15" s="106"/>
      <c r="E15" s="106" t="s">
        <v>73</v>
      </c>
      <c r="F15" s="106" t="s">
        <v>74</v>
      </c>
      <c r="G15" s="105">
        <v>4</v>
      </c>
      <c r="H15" s="106" t="s">
        <v>7</v>
      </c>
      <c r="I15" s="105" t="s">
        <v>26</v>
      </c>
      <c r="J15" s="105"/>
      <c r="K15" s="105"/>
      <c r="L15" s="105"/>
      <c r="M15" s="106" t="s">
        <v>75</v>
      </c>
      <c r="N15" s="106" t="s">
        <v>34</v>
      </c>
      <c r="O15" s="107"/>
      <c r="P15" s="106" t="s">
        <v>76</v>
      </c>
    </row>
    <row r="16" spans="1:16" outlineLevel="2" x14ac:dyDescent="0.3">
      <c r="A16" s="105" t="s">
        <v>77</v>
      </c>
      <c r="B16" s="106"/>
      <c r="C16" s="106"/>
      <c r="D16" s="106"/>
      <c r="E16" s="106" t="s">
        <v>78</v>
      </c>
      <c r="F16" s="106" t="s">
        <v>79</v>
      </c>
      <c r="G16" s="105">
        <v>4</v>
      </c>
      <c r="H16" s="106" t="s">
        <v>7</v>
      </c>
      <c r="I16" s="105" t="s">
        <v>26</v>
      </c>
      <c r="J16" s="105"/>
      <c r="K16" s="105"/>
      <c r="L16" s="105"/>
      <c r="M16" s="106" t="s">
        <v>80</v>
      </c>
      <c r="N16" s="106" t="s">
        <v>34</v>
      </c>
      <c r="O16" s="107"/>
      <c r="P16" s="106" t="s">
        <v>81</v>
      </c>
    </row>
    <row r="17" spans="1:16" outlineLevel="2" x14ac:dyDescent="0.3">
      <c r="A17" s="105" t="s">
        <v>82</v>
      </c>
      <c r="B17" s="106"/>
      <c r="C17" s="106"/>
      <c r="D17" s="106"/>
      <c r="E17" s="106" t="s">
        <v>83</v>
      </c>
      <c r="F17" s="106" t="s">
        <v>84</v>
      </c>
      <c r="G17" s="105">
        <v>4</v>
      </c>
      <c r="H17" s="106" t="s">
        <v>7</v>
      </c>
      <c r="I17" s="105" t="s">
        <v>26</v>
      </c>
      <c r="J17" s="105"/>
      <c r="K17" s="105"/>
      <c r="L17" s="105"/>
      <c r="M17" s="106" t="s">
        <v>85</v>
      </c>
      <c r="N17" s="106" t="s">
        <v>34</v>
      </c>
      <c r="O17" s="107"/>
      <c r="P17" s="106" t="s">
        <v>86</v>
      </c>
    </row>
    <row r="18" spans="1:16" outlineLevel="2" x14ac:dyDescent="0.3">
      <c r="A18" s="105" t="s">
        <v>87</v>
      </c>
      <c r="B18" s="106"/>
      <c r="C18" s="106"/>
      <c r="D18" s="106"/>
      <c r="E18" s="106" t="s">
        <v>88</v>
      </c>
      <c r="F18" s="106" t="s">
        <v>89</v>
      </c>
      <c r="G18" s="105">
        <v>4</v>
      </c>
      <c r="H18" s="106" t="s">
        <v>7</v>
      </c>
      <c r="I18" s="105" t="s">
        <v>26</v>
      </c>
      <c r="J18" s="105"/>
      <c r="K18" s="105"/>
      <c r="L18" s="105"/>
      <c r="M18" s="106" t="s">
        <v>90</v>
      </c>
      <c r="N18" s="106" t="s">
        <v>34</v>
      </c>
      <c r="O18" s="107"/>
      <c r="P18" s="106" t="s">
        <v>91</v>
      </c>
    </row>
    <row r="19" spans="1:16" outlineLevel="2" x14ac:dyDescent="0.3">
      <c r="A19" s="105" t="s">
        <v>92</v>
      </c>
      <c r="B19" s="106"/>
      <c r="C19" s="106"/>
      <c r="D19" s="106"/>
      <c r="E19" s="106" t="s">
        <v>93</v>
      </c>
      <c r="F19" s="106" t="s">
        <v>94</v>
      </c>
      <c r="G19" s="105">
        <v>4</v>
      </c>
      <c r="H19" s="106" t="s">
        <v>7</v>
      </c>
      <c r="I19" s="105" t="s">
        <v>26</v>
      </c>
      <c r="J19" s="105"/>
      <c r="K19" s="105"/>
      <c r="L19" s="105"/>
      <c r="M19" s="106" t="s">
        <v>95</v>
      </c>
      <c r="N19" s="106" t="s">
        <v>34</v>
      </c>
      <c r="O19" s="107"/>
      <c r="P19" s="106" t="s">
        <v>96</v>
      </c>
    </row>
    <row r="20" spans="1:16" outlineLevel="2" x14ac:dyDescent="0.3">
      <c r="A20" s="105" t="s">
        <v>97</v>
      </c>
      <c r="B20" s="106"/>
      <c r="C20" s="106"/>
      <c r="D20" s="106"/>
      <c r="E20" s="106" t="s">
        <v>98</v>
      </c>
      <c r="F20" s="106" t="s">
        <v>99</v>
      </c>
      <c r="G20" s="105">
        <v>4</v>
      </c>
      <c r="H20" s="106" t="s">
        <v>7</v>
      </c>
      <c r="I20" s="105" t="s">
        <v>26</v>
      </c>
      <c r="J20" s="105"/>
      <c r="K20" s="105"/>
      <c r="L20" s="105"/>
      <c r="M20" s="106" t="s">
        <v>100</v>
      </c>
      <c r="N20" s="106" t="s">
        <v>34</v>
      </c>
      <c r="O20" s="107"/>
      <c r="P20" s="106" t="s">
        <v>101</v>
      </c>
    </row>
    <row r="21" spans="1:16" outlineLevel="2" x14ac:dyDescent="0.3">
      <c r="A21" s="105" t="s">
        <v>102</v>
      </c>
      <c r="B21" s="106"/>
      <c r="C21" s="106"/>
      <c r="D21" s="106"/>
      <c r="E21" s="106" t="s">
        <v>103</v>
      </c>
      <c r="F21" s="106" t="s">
        <v>104</v>
      </c>
      <c r="G21" s="105">
        <v>4</v>
      </c>
      <c r="H21" s="106" t="s">
        <v>7</v>
      </c>
      <c r="I21" s="105" t="s">
        <v>26</v>
      </c>
      <c r="J21" s="105"/>
      <c r="K21" s="105"/>
      <c r="L21" s="105"/>
      <c r="M21" s="106" t="s">
        <v>105</v>
      </c>
      <c r="N21" s="106" t="s">
        <v>34</v>
      </c>
      <c r="O21" s="107"/>
      <c r="P21" s="106" t="s">
        <v>106</v>
      </c>
    </row>
    <row r="22" spans="1:16" outlineLevel="2" x14ac:dyDescent="0.3">
      <c r="A22" s="105" t="s">
        <v>107</v>
      </c>
      <c r="B22" s="106"/>
      <c r="C22" s="106"/>
      <c r="D22" s="106"/>
      <c r="E22" s="106" t="s">
        <v>108</v>
      </c>
      <c r="F22" s="106" t="s">
        <v>109</v>
      </c>
      <c r="G22" s="105">
        <v>4</v>
      </c>
      <c r="H22" s="106" t="s">
        <v>7</v>
      </c>
      <c r="I22" s="105" t="s">
        <v>26</v>
      </c>
      <c r="J22" s="105"/>
      <c r="K22" s="105"/>
      <c r="L22" s="105"/>
      <c r="M22" s="106" t="s">
        <v>110</v>
      </c>
      <c r="N22" s="106" t="s">
        <v>34</v>
      </c>
      <c r="O22" s="107"/>
      <c r="P22" s="106" t="s">
        <v>111</v>
      </c>
    </row>
    <row r="23" spans="1:16" outlineLevel="2" x14ac:dyDescent="0.3">
      <c r="A23" s="105" t="s">
        <v>112</v>
      </c>
      <c r="B23" s="106"/>
      <c r="C23" s="106"/>
      <c r="D23" s="106"/>
      <c r="E23" s="106" t="s">
        <v>113</v>
      </c>
      <c r="F23" s="106" t="s">
        <v>114</v>
      </c>
      <c r="G23" s="105">
        <v>4</v>
      </c>
      <c r="H23" s="106" t="s">
        <v>7</v>
      </c>
      <c r="I23" s="105" t="s">
        <v>26</v>
      </c>
      <c r="J23" s="105"/>
      <c r="K23" s="105"/>
      <c r="L23" s="105"/>
      <c r="M23" s="106" t="s">
        <v>115</v>
      </c>
      <c r="N23" s="106" t="s">
        <v>34</v>
      </c>
      <c r="O23" s="107"/>
      <c r="P23" s="106" t="s">
        <v>116</v>
      </c>
    </row>
    <row r="24" spans="1:16" outlineLevel="2" x14ac:dyDescent="0.3">
      <c r="A24" s="105" t="s">
        <v>117</v>
      </c>
      <c r="B24" s="106"/>
      <c r="C24" s="106"/>
      <c r="D24" s="106"/>
      <c r="E24" s="106" t="s">
        <v>118</v>
      </c>
      <c r="F24" s="106" t="s">
        <v>119</v>
      </c>
      <c r="G24" s="105">
        <v>4</v>
      </c>
      <c r="H24" s="106" t="s">
        <v>7</v>
      </c>
      <c r="I24" s="105" t="s">
        <v>26</v>
      </c>
      <c r="J24" s="105"/>
      <c r="K24" s="105"/>
      <c r="L24" s="105"/>
      <c r="M24" s="106" t="s">
        <v>120</v>
      </c>
      <c r="N24" s="106" t="s">
        <v>34</v>
      </c>
      <c r="O24" s="107"/>
      <c r="P24" s="106" t="s">
        <v>121</v>
      </c>
    </row>
    <row r="25" spans="1:16" outlineLevel="2" x14ac:dyDescent="0.3">
      <c r="A25" s="105" t="s">
        <v>122</v>
      </c>
      <c r="B25" s="106"/>
      <c r="C25" s="106"/>
      <c r="D25" s="106"/>
      <c r="E25" s="106" t="s">
        <v>123</v>
      </c>
      <c r="F25" s="106" t="s">
        <v>124</v>
      </c>
      <c r="G25" s="105">
        <v>4</v>
      </c>
      <c r="H25" s="106" t="s">
        <v>7</v>
      </c>
      <c r="I25" s="105" t="s">
        <v>26</v>
      </c>
      <c r="J25" s="105"/>
      <c r="K25" s="105"/>
      <c r="L25" s="105"/>
      <c r="M25" s="106" t="s">
        <v>110</v>
      </c>
      <c r="N25" s="106" t="s">
        <v>34</v>
      </c>
      <c r="O25" s="107"/>
      <c r="P25" s="106" t="s">
        <v>125</v>
      </c>
    </row>
    <row r="26" spans="1:16" outlineLevel="2" x14ac:dyDescent="0.3">
      <c r="A26" s="105" t="s">
        <v>126</v>
      </c>
      <c r="B26" s="106"/>
      <c r="C26" s="106"/>
      <c r="D26" s="106"/>
      <c r="E26" s="106" t="s">
        <v>127</v>
      </c>
      <c r="F26" s="106" t="s">
        <v>128</v>
      </c>
      <c r="G26" s="105">
        <v>4</v>
      </c>
      <c r="H26" s="106" t="s">
        <v>7</v>
      </c>
      <c r="I26" s="105" t="s">
        <v>26</v>
      </c>
      <c r="J26" s="105"/>
      <c r="K26" s="105"/>
      <c r="L26" s="105"/>
      <c r="M26" s="106" t="s">
        <v>129</v>
      </c>
      <c r="N26" s="106" t="s">
        <v>34</v>
      </c>
      <c r="O26" s="107"/>
      <c r="P26" s="106" t="s">
        <v>130</v>
      </c>
    </row>
    <row r="27" spans="1:16" outlineLevel="2" x14ac:dyDescent="0.3">
      <c r="A27" s="105" t="s">
        <v>131</v>
      </c>
      <c r="B27" s="106"/>
      <c r="C27" s="106"/>
      <c r="D27" s="106"/>
      <c r="E27" s="106" t="s">
        <v>132</v>
      </c>
      <c r="F27" s="106" t="s">
        <v>133</v>
      </c>
      <c r="G27" s="105">
        <v>4</v>
      </c>
      <c r="H27" s="106" t="s">
        <v>7</v>
      </c>
      <c r="I27" s="105" t="s">
        <v>26</v>
      </c>
      <c r="J27" s="105"/>
      <c r="K27" s="105"/>
      <c r="L27" s="105"/>
      <c r="M27" s="106" t="s">
        <v>134</v>
      </c>
      <c r="N27" s="106" t="s">
        <v>34</v>
      </c>
      <c r="O27" s="107"/>
      <c r="P27" s="106" t="s">
        <v>135</v>
      </c>
    </row>
    <row r="28" spans="1:16" outlineLevel="2" x14ac:dyDescent="0.3">
      <c r="A28" s="105" t="s">
        <v>136</v>
      </c>
      <c r="B28" s="106"/>
      <c r="C28" s="106"/>
      <c r="D28" s="106"/>
      <c r="E28" s="106" t="s">
        <v>137</v>
      </c>
      <c r="F28" s="106" t="s">
        <v>138</v>
      </c>
      <c r="G28" s="105">
        <v>4</v>
      </c>
      <c r="H28" s="106" t="s">
        <v>7</v>
      </c>
      <c r="I28" s="105" t="s">
        <v>26</v>
      </c>
      <c r="J28" s="105"/>
      <c r="K28" s="105"/>
      <c r="L28" s="105"/>
      <c r="M28" s="106" t="s">
        <v>139</v>
      </c>
      <c r="N28" s="106" t="s">
        <v>34</v>
      </c>
      <c r="O28" s="107"/>
      <c r="P28" s="106" t="s">
        <v>140</v>
      </c>
    </row>
    <row r="29" spans="1:16" outlineLevel="2" x14ac:dyDescent="0.3">
      <c r="A29" s="105" t="s">
        <v>141</v>
      </c>
      <c r="B29" s="106"/>
      <c r="C29" s="106"/>
      <c r="D29" s="106"/>
      <c r="E29" s="106" t="s">
        <v>142</v>
      </c>
      <c r="F29" s="106" t="s">
        <v>143</v>
      </c>
      <c r="G29" s="105">
        <v>4</v>
      </c>
      <c r="H29" s="106" t="s">
        <v>7</v>
      </c>
      <c r="I29" s="105" t="s">
        <v>26</v>
      </c>
      <c r="J29" s="105"/>
      <c r="K29" s="105"/>
      <c r="L29" s="105"/>
      <c r="M29" s="106" t="s">
        <v>144</v>
      </c>
      <c r="N29" s="106" t="s">
        <v>34</v>
      </c>
      <c r="O29" s="107"/>
      <c r="P29" s="106" t="s">
        <v>145</v>
      </c>
    </row>
    <row r="30" spans="1:16" outlineLevel="2" x14ac:dyDescent="0.3">
      <c r="A30" s="105" t="s">
        <v>146</v>
      </c>
      <c r="B30" s="106"/>
      <c r="C30" s="106"/>
      <c r="D30" s="106"/>
      <c r="E30" s="106" t="s">
        <v>147</v>
      </c>
      <c r="F30" s="106" t="s">
        <v>148</v>
      </c>
      <c r="G30" s="105">
        <v>4</v>
      </c>
      <c r="H30" s="106" t="s">
        <v>7</v>
      </c>
      <c r="I30" s="105" t="s">
        <v>26</v>
      </c>
      <c r="J30" s="105"/>
      <c r="K30" s="105"/>
      <c r="L30" s="105"/>
      <c r="M30" s="106" t="s">
        <v>149</v>
      </c>
      <c r="N30" s="106" t="s">
        <v>34</v>
      </c>
      <c r="O30" s="107"/>
      <c r="P30" s="106" t="s">
        <v>150</v>
      </c>
    </row>
    <row r="31" spans="1:16" outlineLevel="2" x14ac:dyDescent="0.3">
      <c r="A31" s="105" t="s">
        <v>151</v>
      </c>
      <c r="B31" s="106"/>
      <c r="C31" s="106"/>
      <c r="D31" s="106"/>
      <c r="E31" s="106" t="s">
        <v>152</v>
      </c>
      <c r="F31" s="106" t="s">
        <v>153</v>
      </c>
      <c r="G31" s="105">
        <v>4</v>
      </c>
      <c r="H31" s="106" t="s">
        <v>7</v>
      </c>
      <c r="I31" s="105" t="s">
        <v>26</v>
      </c>
      <c r="J31" s="105"/>
      <c r="K31" s="105"/>
      <c r="L31" s="105"/>
      <c r="M31" s="106" t="s">
        <v>154</v>
      </c>
      <c r="N31" s="106" t="s">
        <v>34</v>
      </c>
      <c r="O31" s="107"/>
      <c r="P31" s="106" t="s">
        <v>155</v>
      </c>
    </row>
    <row r="32" spans="1:16" outlineLevel="2" x14ac:dyDescent="0.3">
      <c r="A32" s="105" t="s">
        <v>156</v>
      </c>
      <c r="B32" s="106"/>
      <c r="C32" s="106"/>
      <c r="D32" s="106"/>
      <c r="E32" s="106" t="s">
        <v>157</v>
      </c>
      <c r="F32" s="106" t="s">
        <v>158</v>
      </c>
      <c r="G32" s="105">
        <v>4</v>
      </c>
      <c r="H32" s="106" t="s">
        <v>7</v>
      </c>
      <c r="I32" s="105" t="s">
        <v>26</v>
      </c>
      <c r="J32" s="105"/>
      <c r="K32" s="105"/>
      <c r="L32" s="105"/>
      <c r="M32" s="106" t="s">
        <v>159</v>
      </c>
      <c r="N32" s="106" t="s">
        <v>34</v>
      </c>
      <c r="O32" s="107"/>
      <c r="P32" s="106" t="s">
        <v>160</v>
      </c>
    </row>
    <row r="33" spans="1:16" ht="27.6" outlineLevel="2" x14ac:dyDescent="0.3">
      <c r="A33" s="108" t="s">
        <v>161</v>
      </c>
      <c r="B33" s="109"/>
      <c r="C33" s="109"/>
      <c r="D33" s="109" t="s">
        <v>162</v>
      </c>
      <c r="E33" s="109"/>
      <c r="F33" s="109"/>
      <c r="G33" s="108">
        <v>3</v>
      </c>
      <c r="H33" s="109" t="s">
        <v>25</v>
      </c>
      <c r="I33" s="108" t="s">
        <v>26</v>
      </c>
      <c r="J33" s="108">
        <v>22</v>
      </c>
      <c r="K33" s="108">
        <v>0</v>
      </c>
      <c r="L33" s="108">
        <v>22</v>
      </c>
      <c r="M33" s="110" t="s">
        <v>163</v>
      </c>
      <c r="N33" s="110" t="s">
        <v>164</v>
      </c>
      <c r="O33" s="111"/>
      <c r="P33" s="110"/>
    </row>
    <row r="34" spans="1:16" outlineLevel="3" x14ac:dyDescent="0.3">
      <c r="A34" s="105" t="s">
        <v>165</v>
      </c>
      <c r="B34" s="106"/>
      <c r="C34" s="106"/>
      <c r="D34" s="106"/>
      <c r="E34" s="106" t="s">
        <v>31</v>
      </c>
      <c r="F34" s="106" t="s">
        <v>32</v>
      </c>
      <c r="G34" s="105">
        <v>4</v>
      </c>
      <c r="H34" s="106" t="s">
        <v>7</v>
      </c>
      <c r="I34" s="105" t="s">
        <v>26</v>
      </c>
      <c r="J34" s="105"/>
      <c r="K34" s="105"/>
      <c r="L34" s="105"/>
      <c r="M34" s="106" t="s">
        <v>33</v>
      </c>
      <c r="N34" s="106" t="s">
        <v>34</v>
      </c>
      <c r="O34" s="107"/>
      <c r="P34" s="106" t="s">
        <v>35</v>
      </c>
    </row>
    <row r="35" spans="1:16" outlineLevel="3" x14ac:dyDescent="0.3">
      <c r="A35" s="105" t="s">
        <v>166</v>
      </c>
      <c r="B35" s="106"/>
      <c r="C35" s="106"/>
      <c r="D35" s="106"/>
      <c r="E35" s="106" t="s">
        <v>37</v>
      </c>
      <c r="F35" s="106" t="s">
        <v>38</v>
      </c>
      <c r="G35" s="105">
        <v>4</v>
      </c>
      <c r="H35" s="106" t="s">
        <v>7</v>
      </c>
      <c r="I35" s="105" t="s">
        <v>39</v>
      </c>
      <c r="J35" s="105"/>
      <c r="K35" s="105"/>
      <c r="L35" s="105"/>
      <c r="M35" s="106" t="s">
        <v>33</v>
      </c>
      <c r="N35" s="106" t="s">
        <v>40</v>
      </c>
      <c r="O35" s="107"/>
      <c r="P35" s="106" t="s">
        <v>41</v>
      </c>
    </row>
    <row r="36" spans="1:16" outlineLevel="3" x14ac:dyDescent="0.3">
      <c r="A36" s="105" t="s">
        <v>167</v>
      </c>
      <c r="B36" s="106"/>
      <c r="C36" s="106"/>
      <c r="D36" s="106"/>
      <c r="E36" s="106" t="s">
        <v>43</v>
      </c>
      <c r="F36" s="106" t="s">
        <v>44</v>
      </c>
      <c r="G36" s="105">
        <v>4</v>
      </c>
      <c r="H36" s="106" t="s">
        <v>7</v>
      </c>
      <c r="I36" s="105" t="s">
        <v>26</v>
      </c>
      <c r="J36" s="105"/>
      <c r="K36" s="105"/>
      <c r="L36" s="105"/>
      <c r="M36" s="106" t="s">
        <v>45</v>
      </c>
      <c r="N36" s="106" t="s">
        <v>34</v>
      </c>
      <c r="O36" s="107"/>
      <c r="P36" s="106" t="s">
        <v>46</v>
      </c>
    </row>
    <row r="37" spans="1:16" outlineLevel="3" x14ac:dyDescent="0.3">
      <c r="A37" s="105" t="s">
        <v>168</v>
      </c>
      <c r="B37" s="106"/>
      <c r="C37" s="106"/>
      <c r="D37" s="106"/>
      <c r="E37" s="106" t="s">
        <v>53</v>
      </c>
      <c r="F37" s="106" t="s">
        <v>54</v>
      </c>
      <c r="G37" s="105">
        <v>4</v>
      </c>
      <c r="H37" s="106" t="s">
        <v>7</v>
      </c>
      <c r="I37" s="105" t="s">
        <v>26</v>
      </c>
      <c r="J37" s="105"/>
      <c r="K37" s="105"/>
      <c r="L37" s="105"/>
      <c r="M37" s="106" t="s">
        <v>55</v>
      </c>
      <c r="N37" s="106" t="s">
        <v>34</v>
      </c>
      <c r="O37" s="107"/>
      <c r="P37" s="106" t="s">
        <v>56</v>
      </c>
    </row>
    <row r="38" spans="1:16" outlineLevel="3" x14ac:dyDescent="0.3">
      <c r="A38" s="105" t="s">
        <v>169</v>
      </c>
      <c r="B38" s="106"/>
      <c r="C38" s="106"/>
      <c r="D38" s="106"/>
      <c r="E38" s="106" t="s">
        <v>63</v>
      </c>
      <c r="F38" s="106" t="s">
        <v>64</v>
      </c>
      <c r="G38" s="105">
        <v>4</v>
      </c>
      <c r="H38" s="106" t="s">
        <v>7</v>
      </c>
      <c r="I38" s="105" t="s">
        <v>26</v>
      </c>
      <c r="J38" s="105"/>
      <c r="K38" s="105"/>
      <c r="L38" s="105"/>
      <c r="M38" s="106" t="s">
        <v>65</v>
      </c>
      <c r="N38" s="106" t="s">
        <v>34</v>
      </c>
      <c r="O38" s="107"/>
      <c r="P38" s="106" t="s">
        <v>66</v>
      </c>
    </row>
    <row r="39" spans="1:16" outlineLevel="3" x14ac:dyDescent="0.3">
      <c r="A39" s="105" t="s">
        <v>170</v>
      </c>
      <c r="B39" s="106"/>
      <c r="C39" s="106"/>
      <c r="D39" s="106"/>
      <c r="E39" s="106" t="s">
        <v>68</v>
      </c>
      <c r="F39" s="106" t="s">
        <v>69</v>
      </c>
      <c r="G39" s="105">
        <v>4</v>
      </c>
      <c r="H39" s="106" t="s">
        <v>7</v>
      </c>
      <c r="I39" s="105" t="s">
        <v>26</v>
      </c>
      <c r="J39" s="105"/>
      <c r="K39" s="105"/>
      <c r="L39" s="105"/>
      <c r="M39" s="106" t="s">
        <v>70</v>
      </c>
      <c r="N39" s="106" t="s">
        <v>34</v>
      </c>
      <c r="O39" s="107"/>
      <c r="P39" s="106" t="s">
        <v>71</v>
      </c>
    </row>
    <row r="40" spans="1:16" outlineLevel="3" x14ac:dyDescent="0.3">
      <c r="A40" s="105" t="s">
        <v>171</v>
      </c>
      <c r="B40" s="106"/>
      <c r="C40" s="106"/>
      <c r="D40" s="106"/>
      <c r="E40" s="106" t="s">
        <v>78</v>
      </c>
      <c r="F40" s="106" t="s">
        <v>79</v>
      </c>
      <c r="G40" s="105">
        <v>4</v>
      </c>
      <c r="H40" s="106" t="s">
        <v>7</v>
      </c>
      <c r="I40" s="105" t="s">
        <v>26</v>
      </c>
      <c r="J40" s="105"/>
      <c r="K40" s="105"/>
      <c r="L40" s="105"/>
      <c r="M40" s="106" t="s">
        <v>80</v>
      </c>
      <c r="N40" s="106" t="s">
        <v>34</v>
      </c>
      <c r="O40" s="107"/>
      <c r="P40" s="106" t="s">
        <v>81</v>
      </c>
    </row>
    <row r="41" spans="1:16" outlineLevel="3" x14ac:dyDescent="0.3">
      <c r="A41" s="105" t="s">
        <v>172</v>
      </c>
      <c r="B41" s="106"/>
      <c r="C41" s="106"/>
      <c r="D41" s="106"/>
      <c r="E41" s="106" t="s">
        <v>83</v>
      </c>
      <c r="F41" s="106" t="s">
        <v>84</v>
      </c>
      <c r="G41" s="105">
        <v>4</v>
      </c>
      <c r="H41" s="106" t="s">
        <v>7</v>
      </c>
      <c r="I41" s="105" t="s">
        <v>26</v>
      </c>
      <c r="J41" s="105"/>
      <c r="K41" s="105"/>
      <c r="L41" s="105"/>
      <c r="M41" s="106" t="s">
        <v>85</v>
      </c>
      <c r="N41" s="106" t="s">
        <v>34</v>
      </c>
      <c r="O41" s="107"/>
      <c r="P41" s="106" t="s">
        <v>86</v>
      </c>
    </row>
    <row r="42" spans="1:16" outlineLevel="3" x14ac:dyDescent="0.3">
      <c r="A42" s="105" t="s">
        <v>173</v>
      </c>
      <c r="B42" s="106"/>
      <c r="C42" s="106"/>
      <c r="D42" s="106"/>
      <c r="E42" s="106" t="s">
        <v>88</v>
      </c>
      <c r="F42" s="106" t="s">
        <v>89</v>
      </c>
      <c r="G42" s="105">
        <v>4</v>
      </c>
      <c r="H42" s="106" t="s">
        <v>7</v>
      </c>
      <c r="I42" s="105" t="s">
        <v>26</v>
      </c>
      <c r="J42" s="105"/>
      <c r="K42" s="105"/>
      <c r="L42" s="105"/>
      <c r="M42" s="106" t="s">
        <v>90</v>
      </c>
      <c r="N42" s="106" t="s">
        <v>34</v>
      </c>
      <c r="O42" s="107"/>
      <c r="P42" s="106" t="s">
        <v>91</v>
      </c>
    </row>
    <row r="43" spans="1:16" outlineLevel="3" x14ac:dyDescent="0.3">
      <c r="A43" s="105" t="s">
        <v>174</v>
      </c>
      <c r="B43" s="106"/>
      <c r="C43" s="106"/>
      <c r="D43" s="106"/>
      <c r="E43" s="106" t="s">
        <v>93</v>
      </c>
      <c r="F43" s="106" t="s">
        <v>94</v>
      </c>
      <c r="G43" s="105">
        <v>4</v>
      </c>
      <c r="H43" s="106" t="s">
        <v>7</v>
      </c>
      <c r="I43" s="105" t="s">
        <v>26</v>
      </c>
      <c r="J43" s="105"/>
      <c r="K43" s="105"/>
      <c r="L43" s="105"/>
      <c r="M43" s="106" t="s">
        <v>95</v>
      </c>
      <c r="N43" s="106" t="s">
        <v>34</v>
      </c>
      <c r="O43" s="107"/>
      <c r="P43" s="106" t="s">
        <v>96</v>
      </c>
    </row>
    <row r="44" spans="1:16" outlineLevel="3" x14ac:dyDescent="0.3">
      <c r="A44" s="105" t="s">
        <v>175</v>
      </c>
      <c r="B44" s="106"/>
      <c r="C44" s="106"/>
      <c r="D44" s="106"/>
      <c r="E44" s="106" t="s">
        <v>98</v>
      </c>
      <c r="F44" s="106" t="s">
        <v>99</v>
      </c>
      <c r="G44" s="105">
        <v>4</v>
      </c>
      <c r="H44" s="106" t="s">
        <v>7</v>
      </c>
      <c r="I44" s="105" t="s">
        <v>26</v>
      </c>
      <c r="J44" s="105"/>
      <c r="K44" s="105"/>
      <c r="L44" s="105"/>
      <c r="M44" s="106" t="s">
        <v>100</v>
      </c>
      <c r="N44" s="106" t="s">
        <v>34</v>
      </c>
      <c r="O44" s="107"/>
      <c r="P44" s="106" t="s">
        <v>101</v>
      </c>
    </row>
    <row r="45" spans="1:16" outlineLevel="3" x14ac:dyDescent="0.3">
      <c r="A45" s="105" t="s">
        <v>176</v>
      </c>
      <c r="B45" s="106"/>
      <c r="C45" s="106"/>
      <c r="D45" s="106"/>
      <c r="E45" s="106" t="s">
        <v>103</v>
      </c>
      <c r="F45" s="106" t="s">
        <v>104</v>
      </c>
      <c r="G45" s="105">
        <v>4</v>
      </c>
      <c r="H45" s="106" t="s">
        <v>7</v>
      </c>
      <c r="I45" s="105" t="s">
        <v>26</v>
      </c>
      <c r="J45" s="105"/>
      <c r="K45" s="105"/>
      <c r="L45" s="105"/>
      <c r="M45" s="106" t="s">
        <v>105</v>
      </c>
      <c r="N45" s="106" t="s">
        <v>34</v>
      </c>
      <c r="O45" s="107"/>
      <c r="P45" s="106" t="s">
        <v>106</v>
      </c>
    </row>
    <row r="46" spans="1:16" outlineLevel="3" x14ac:dyDescent="0.3">
      <c r="A46" s="105" t="s">
        <v>177</v>
      </c>
      <c r="B46" s="106"/>
      <c r="C46" s="106"/>
      <c r="D46" s="106"/>
      <c r="E46" s="106" t="s">
        <v>108</v>
      </c>
      <c r="F46" s="106" t="s">
        <v>109</v>
      </c>
      <c r="G46" s="105">
        <v>4</v>
      </c>
      <c r="H46" s="106" t="s">
        <v>7</v>
      </c>
      <c r="I46" s="105" t="s">
        <v>26</v>
      </c>
      <c r="J46" s="105"/>
      <c r="K46" s="105"/>
      <c r="L46" s="105"/>
      <c r="M46" s="106" t="s">
        <v>110</v>
      </c>
      <c r="N46" s="106" t="s">
        <v>34</v>
      </c>
      <c r="O46" s="107"/>
      <c r="P46" s="106" t="s">
        <v>111</v>
      </c>
    </row>
    <row r="47" spans="1:16" outlineLevel="3" x14ac:dyDescent="0.3">
      <c r="A47" s="105" t="s">
        <v>178</v>
      </c>
      <c r="B47" s="106"/>
      <c r="C47" s="106"/>
      <c r="D47" s="106"/>
      <c r="E47" s="106" t="s">
        <v>113</v>
      </c>
      <c r="F47" s="106" t="s">
        <v>114</v>
      </c>
      <c r="G47" s="105">
        <v>4</v>
      </c>
      <c r="H47" s="106" t="s">
        <v>7</v>
      </c>
      <c r="I47" s="105" t="s">
        <v>26</v>
      </c>
      <c r="J47" s="105"/>
      <c r="K47" s="105"/>
      <c r="L47" s="105"/>
      <c r="M47" s="106" t="s">
        <v>115</v>
      </c>
      <c r="N47" s="106" t="s">
        <v>34</v>
      </c>
      <c r="O47" s="107"/>
      <c r="P47" s="106" t="s">
        <v>116</v>
      </c>
    </row>
    <row r="48" spans="1:16" outlineLevel="3" x14ac:dyDescent="0.3">
      <c r="A48" s="105" t="s">
        <v>179</v>
      </c>
      <c r="B48" s="106"/>
      <c r="C48" s="106"/>
      <c r="D48" s="106"/>
      <c r="E48" s="106" t="s">
        <v>118</v>
      </c>
      <c r="F48" s="106" t="s">
        <v>119</v>
      </c>
      <c r="G48" s="105">
        <v>4</v>
      </c>
      <c r="H48" s="106" t="s">
        <v>7</v>
      </c>
      <c r="I48" s="105" t="s">
        <v>26</v>
      </c>
      <c r="J48" s="105"/>
      <c r="K48" s="105"/>
      <c r="L48" s="105"/>
      <c r="M48" s="106" t="s">
        <v>120</v>
      </c>
      <c r="N48" s="106" t="s">
        <v>34</v>
      </c>
      <c r="O48" s="107"/>
      <c r="P48" s="106" t="s">
        <v>121</v>
      </c>
    </row>
    <row r="49" spans="1:16" outlineLevel="3" x14ac:dyDescent="0.3">
      <c r="A49" s="105" t="s">
        <v>180</v>
      </c>
      <c r="B49" s="106"/>
      <c r="C49" s="106"/>
      <c r="D49" s="106"/>
      <c r="E49" s="106" t="s">
        <v>123</v>
      </c>
      <c r="F49" s="106" t="s">
        <v>124</v>
      </c>
      <c r="G49" s="105">
        <v>4</v>
      </c>
      <c r="H49" s="106" t="s">
        <v>7</v>
      </c>
      <c r="I49" s="105" t="s">
        <v>26</v>
      </c>
      <c r="J49" s="105"/>
      <c r="K49" s="105"/>
      <c r="L49" s="105"/>
      <c r="M49" s="106" t="s">
        <v>110</v>
      </c>
      <c r="N49" s="106" t="s">
        <v>34</v>
      </c>
      <c r="O49" s="107"/>
      <c r="P49" s="106" t="s">
        <v>125</v>
      </c>
    </row>
    <row r="50" spans="1:16" outlineLevel="3" x14ac:dyDescent="0.3">
      <c r="A50" s="105" t="s">
        <v>181</v>
      </c>
      <c r="B50" s="106"/>
      <c r="C50" s="106"/>
      <c r="D50" s="106"/>
      <c r="E50" s="106" t="s">
        <v>127</v>
      </c>
      <c r="F50" s="106" t="s">
        <v>128</v>
      </c>
      <c r="G50" s="105">
        <v>4</v>
      </c>
      <c r="H50" s="106" t="s">
        <v>7</v>
      </c>
      <c r="I50" s="105" t="s">
        <v>26</v>
      </c>
      <c r="J50" s="105"/>
      <c r="K50" s="105"/>
      <c r="L50" s="105"/>
      <c r="M50" s="106" t="s">
        <v>129</v>
      </c>
      <c r="N50" s="106" t="s">
        <v>34</v>
      </c>
      <c r="O50" s="107"/>
      <c r="P50" s="106" t="s">
        <v>130</v>
      </c>
    </row>
    <row r="51" spans="1:16" outlineLevel="3" x14ac:dyDescent="0.3">
      <c r="A51" s="105" t="s">
        <v>182</v>
      </c>
      <c r="B51" s="106"/>
      <c r="C51" s="106"/>
      <c r="D51" s="106"/>
      <c r="E51" s="106" t="s">
        <v>132</v>
      </c>
      <c r="F51" s="106" t="s">
        <v>133</v>
      </c>
      <c r="G51" s="105">
        <v>4</v>
      </c>
      <c r="H51" s="106" t="s">
        <v>7</v>
      </c>
      <c r="I51" s="105" t="s">
        <v>26</v>
      </c>
      <c r="J51" s="105"/>
      <c r="K51" s="105"/>
      <c r="L51" s="105"/>
      <c r="M51" s="106" t="s">
        <v>134</v>
      </c>
      <c r="N51" s="106" t="s">
        <v>34</v>
      </c>
      <c r="O51" s="107"/>
      <c r="P51" s="106" t="s">
        <v>135</v>
      </c>
    </row>
    <row r="52" spans="1:16" outlineLevel="3" x14ac:dyDescent="0.3">
      <c r="A52" s="105" t="s">
        <v>183</v>
      </c>
      <c r="B52" s="106"/>
      <c r="C52" s="106"/>
      <c r="D52" s="106"/>
      <c r="E52" s="106" t="s">
        <v>137</v>
      </c>
      <c r="F52" s="106" t="s">
        <v>138</v>
      </c>
      <c r="G52" s="105">
        <v>4</v>
      </c>
      <c r="H52" s="106" t="s">
        <v>7</v>
      </c>
      <c r="I52" s="105" t="s">
        <v>26</v>
      </c>
      <c r="J52" s="105"/>
      <c r="K52" s="105"/>
      <c r="L52" s="105"/>
      <c r="M52" s="106" t="s">
        <v>139</v>
      </c>
      <c r="N52" s="106" t="s">
        <v>34</v>
      </c>
      <c r="O52" s="107"/>
      <c r="P52" s="106" t="s">
        <v>140</v>
      </c>
    </row>
    <row r="53" spans="1:16" outlineLevel="3" x14ac:dyDescent="0.3">
      <c r="A53" s="105" t="s">
        <v>184</v>
      </c>
      <c r="B53" s="106"/>
      <c r="C53" s="106"/>
      <c r="D53" s="106"/>
      <c r="E53" s="106" t="s">
        <v>142</v>
      </c>
      <c r="F53" s="106" t="s">
        <v>143</v>
      </c>
      <c r="G53" s="105">
        <v>4</v>
      </c>
      <c r="H53" s="106" t="s">
        <v>7</v>
      </c>
      <c r="I53" s="105" t="s">
        <v>26</v>
      </c>
      <c r="J53" s="105"/>
      <c r="K53" s="105"/>
      <c r="L53" s="105"/>
      <c r="M53" s="106" t="s">
        <v>144</v>
      </c>
      <c r="N53" s="106" t="s">
        <v>34</v>
      </c>
      <c r="O53" s="107"/>
      <c r="P53" s="106" t="s">
        <v>145</v>
      </c>
    </row>
    <row r="54" spans="1:16" outlineLevel="3" x14ac:dyDescent="0.3">
      <c r="A54" s="105" t="s">
        <v>185</v>
      </c>
      <c r="B54" s="106"/>
      <c r="C54" s="106"/>
      <c r="D54" s="106"/>
      <c r="E54" s="106" t="s">
        <v>147</v>
      </c>
      <c r="F54" s="106" t="s">
        <v>148</v>
      </c>
      <c r="G54" s="105">
        <v>4</v>
      </c>
      <c r="H54" s="106" t="s">
        <v>7</v>
      </c>
      <c r="I54" s="105" t="s">
        <v>26</v>
      </c>
      <c r="J54" s="105"/>
      <c r="K54" s="105"/>
      <c r="L54" s="105"/>
      <c r="M54" s="106" t="s">
        <v>149</v>
      </c>
      <c r="N54" s="106" t="s">
        <v>34</v>
      </c>
      <c r="O54" s="107"/>
      <c r="P54" s="106" t="s">
        <v>150</v>
      </c>
    </row>
    <row r="55" spans="1:16" outlineLevel="3" x14ac:dyDescent="0.3">
      <c r="A55" s="105" t="s">
        <v>186</v>
      </c>
      <c r="B55" s="106"/>
      <c r="C55" s="106"/>
      <c r="D55" s="106"/>
      <c r="E55" s="106" t="s">
        <v>152</v>
      </c>
      <c r="F55" s="106" t="s">
        <v>153</v>
      </c>
      <c r="G55" s="105">
        <v>4</v>
      </c>
      <c r="H55" s="106" t="s">
        <v>7</v>
      </c>
      <c r="I55" s="105" t="s">
        <v>26</v>
      </c>
      <c r="J55" s="105"/>
      <c r="K55" s="105"/>
      <c r="L55" s="105"/>
      <c r="M55" s="106" t="s">
        <v>154</v>
      </c>
      <c r="N55" s="106" t="s">
        <v>34</v>
      </c>
      <c r="O55" s="107"/>
      <c r="P55" s="106" t="s">
        <v>155</v>
      </c>
    </row>
    <row r="56" spans="1:16" ht="27.6" outlineLevel="2" x14ac:dyDescent="0.3">
      <c r="A56" s="108" t="s">
        <v>187</v>
      </c>
      <c r="B56" s="109"/>
      <c r="C56" s="109"/>
      <c r="D56" s="109" t="s">
        <v>188</v>
      </c>
      <c r="E56" s="109"/>
      <c r="F56" s="109"/>
      <c r="G56" s="108">
        <v>3</v>
      </c>
      <c r="H56" s="109" t="s">
        <v>25</v>
      </c>
      <c r="I56" s="108" t="s">
        <v>26</v>
      </c>
      <c r="J56" s="108">
        <v>22</v>
      </c>
      <c r="K56" s="108">
        <v>0</v>
      </c>
      <c r="L56" s="108">
        <v>22</v>
      </c>
      <c r="M56" s="110" t="s">
        <v>189</v>
      </c>
      <c r="N56" s="110" t="s">
        <v>164</v>
      </c>
      <c r="O56" s="111"/>
      <c r="P56" s="110"/>
    </row>
    <row r="57" spans="1:16" outlineLevel="3" x14ac:dyDescent="0.3">
      <c r="A57" s="105" t="s">
        <v>190</v>
      </c>
      <c r="B57" s="106"/>
      <c r="C57" s="106"/>
      <c r="D57" s="106"/>
      <c r="E57" s="106" t="s">
        <v>31</v>
      </c>
      <c r="F57" s="106" t="s">
        <v>32</v>
      </c>
      <c r="G57" s="105">
        <v>4</v>
      </c>
      <c r="H57" s="106" t="s">
        <v>7</v>
      </c>
      <c r="I57" s="105" t="s">
        <v>26</v>
      </c>
      <c r="J57" s="105"/>
      <c r="K57" s="105"/>
      <c r="L57" s="105"/>
      <c r="M57" s="106" t="s">
        <v>33</v>
      </c>
      <c r="N57" s="106" t="s">
        <v>34</v>
      </c>
      <c r="O57" s="107"/>
      <c r="P57" s="106" t="s">
        <v>35</v>
      </c>
    </row>
    <row r="58" spans="1:16" outlineLevel="3" x14ac:dyDescent="0.3">
      <c r="A58" s="105" t="s">
        <v>191</v>
      </c>
      <c r="B58" s="106"/>
      <c r="C58" s="106"/>
      <c r="D58" s="106"/>
      <c r="E58" s="106" t="s">
        <v>37</v>
      </c>
      <c r="F58" s="106" t="s">
        <v>38</v>
      </c>
      <c r="G58" s="105">
        <v>4</v>
      </c>
      <c r="H58" s="106" t="s">
        <v>7</v>
      </c>
      <c r="I58" s="105" t="s">
        <v>39</v>
      </c>
      <c r="J58" s="105"/>
      <c r="K58" s="105"/>
      <c r="L58" s="105"/>
      <c r="M58" s="106" t="s">
        <v>33</v>
      </c>
      <c r="N58" s="106" t="s">
        <v>40</v>
      </c>
      <c r="O58" s="107"/>
      <c r="P58" s="106" t="s">
        <v>41</v>
      </c>
    </row>
    <row r="59" spans="1:16" outlineLevel="3" x14ac:dyDescent="0.3">
      <c r="A59" s="105" t="s">
        <v>192</v>
      </c>
      <c r="B59" s="106"/>
      <c r="C59" s="106"/>
      <c r="D59" s="106"/>
      <c r="E59" s="106" t="s">
        <v>43</v>
      </c>
      <c r="F59" s="106" t="s">
        <v>44</v>
      </c>
      <c r="G59" s="105">
        <v>4</v>
      </c>
      <c r="H59" s="106" t="s">
        <v>7</v>
      </c>
      <c r="I59" s="105" t="s">
        <v>26</v>
      </c>
      <c r="J59" s="105"/>
      <c r="K59" s="105"/>
      <c r="L59" s="105"/>
      <c r="M59" s="106" t="s">
        <v>45</v>
      </c>
      <c r="N59" s="106" t="s">
        <v>34</v>
      </c>
      <c r="O59" s="107"/>
      <c r="P59" s="106" t="s">
        <v>46</v>
      </c>
    </row>
    <row r="60" spans="1:16" outlineLevel="3" x14ac:dyDescent="0.3">
      <c r="A60" s="105" t="s">
        <v>193</v>
      </c>
      <c r="B60" s="106"/>
      <c r="C60" s="106"/>
      <c r="D60" s="106"/>
      <c r="E60" s="106" t="s">
        <v>53</v>
      </c>
      <c r="F60" s="106" t="s">
        <v>54</v>
      </c>
      <c r="G60" s="105">
        <v>4</v>
      </c>
      <c r="H60" s="106" t="s">
        <v>7</v>
      </c>
      <c r="I60" s="105" t="s">
        <v>26</v>
      </c>
      <c r="J60" s="105"/>
      <c r="K60" s="105"/>
      <c r="L60" s="105"/>
      <c r="M60" s="106" t="s">
        <v>55</v>
      </c>
      <c r="N60" s="106" t="s">
        <v>34</v>
      </c>
      <c r="O60" s="107"/>
      <c r="P60" s="106" t="s">
        <v>56</v>
      </c>
    </row>
    <row r="61" spans="1:16" outlineLevel="3" x14ac:dyDescent="0.3">
      <c r="A61" s="105" t="s">
        <v>194</v>
      </c>
      <c r="B61" s="106"/>
      <c r="C61" s="106"/>
      <c r="D61" s="106"/>
      <c r="E61" s="106" t="s">
        <v>63</v>
      </c>
      <c r="F61" s="106" t="s">
        <v>64</v>
      </c>
      <c r="G61" s="105">
        <v>4</v>
      </c>
      <c r="H61" s="106" t="s">
        <v>7</v>
      </c>
      <c r="I61" s="105" t="s">
        <v>26</v>
      </c>
      <c r="J61" s="105"/>
      <c r="K61" s="105"/>
      <c r="L61" s="105"/>
      <c r="M61" s="106" t="s">
        <v>65</v>
      </c>
      <c r="N61" s="106" t="s">
        <v>34</v>
      </c>
      <c r="O61" s="107"/>
      <c r="P61" s="106" t="s">
        <v>66</v>
      </c>
    </row>
    <row r="62" spans="1:16" outlineLevel="3" x14ac:dyDescent="0.3">
      <c r="A62" s="105" t="s">
        <v>195</v>
      </c>
      <c r="B62" s="106"/>
      <c r="C62" s="106"/>
      <c r="D62" s="106"/>
      <c r="E62" s="106" t="s">
        <v>68</v>
      </c>
      <c r="F62" s="106" t="s">
        <v>69</v>
      </c>
      <c r="G62" s="105">
        <v>4</v>
      </c>
      <c r="H62" s="106" t="s">
        <v>7</v>
      </c>
      <c r="I62" s="105" t="s">
        <v>26</v>
      </c>
      <c r="J62" s="105"/>
      <c r="K62" s="105"/>
      <c r="L62" s="105"/>
      <c r="M62" s="106" t="s">
        <v>70</v>
      </c>
      <c r="N62" s="106" t="s">
        <v>34</v>
      </c>
      <c r="O62" s="107"/>
      <c r="P62" s="106" t="s">
        <v>71</v>
      </c>
    </row>
    <row r="63" spans="1:16" outlineLevel="3" x14ac:dyDescent="0.3">
      <c r="A63" s="105" t="s">
        <v>196</v>
      </c>
      <c r="B63" s="106"/>
      <c r="C63" s="106"/>
      <c r="D63" s="106"/>
      <c r="E63" s="106" t="s">
        <v>78</v>
      </c>
      <c r="F63" s="106" t="s">
        <v>79</v>
      </c>
      <c r="G63" s="105">
        <v>4</v>
      </c>
      <c r="H63" s="106" t="s">
        <v>7</v>
      </c>
      <c r="I63" s="105" t="s">
        <v>26</v>
      </c>
      <c r="J63" s="105"/>
      <c r="K63" s="105"/>
      <c r="L63" s="105"/>
      <c r="M63" s="106" t="s">
        <v>80</v>
      </c>
      <c r="N63" s="106" t="s">
        <v>34</v>
      </c>
      <c r="O63" s="107"/>
      <c r="P63" s="106" t="s">
        <v>81</v>
      </c>
    </row>
    <row r="64" spans="1:16" outlineLevel="3" x14ac:dyDescent="0.3">
      <c r="A64" s="105" t="s">
        <v>197</v>
      </c>
      <c r="B64" s="106"/>
      <c r="C64" s="106"/>
      <c r="D64" s="106"/>
      <c r="E64" s="106" t="s">
        <v>83</v>
      </c>
      <c r="F64" s="106" t="s">
        <v>84</v>
      </c>
      <c r="G64" s="105">
        <v>4</v>
      </c>
      <c r="H64" s="106" t="s">
        <v>7</v>
      </c>
      <c r="I64" s="105" t="s">
        <v>26</v>
      </c>
      <c r="J64" s="105"/>
      <c r="K64" s="105"/>
      <c r="L64" s="105"/>
      <c r="M64" s="106" t="s">
        <v>85</v>
      </c>
      <c r="N64" s="106" t="s">
        <v>34</v>
      </c>
      <c r="O64" s="107"/>
      <c r="P64" s="106" t="s">
        <v>86</v>
      </c>
    </row>
    <row r="65" spans="1:16" outlineLevel="3" x14ac:dyDescent="0.3">
      <c r="A65" s="105" t="s">
        <v>198</v>
      </c>
      <c r="B65" s="106"/>
      <c r="C65" s="106"/>
      <c r="D65" s="106"/>
      <c r="E65" s="106" t="s">
        <v>88</v>
      </c>
      <c r="F65" s="106" t="s">
        <v>89</v>
      </c>
      <c r="G65" s="105">
        <v>4</v>
      </c>
      <c r="H65" s="106" t="s">
        <v>7</v>
      </c>
      <c r="I65" s="105" t="s">
        <v>26</v>
      </c>
      <c r="J65" s="105"/>
      <c r="K65" s="105"/>
      <c r="L65" s="105"/>
      <c r="M65" s="106" t="s">
        <v>90</v>
      </c>
      <c r="N65" s="106" t="s">
        <v>34</v>
      </c>
      <c r="O65" s="107"/>
      <c r="P65" s="106" t="s">
        <v>91</v>
      </c>
    </row>
    <row r="66" spans="1:16" outlineLevel="3" x14ac:dyDescent="0.3">
      <c r="A66" s="105" t="s">
        <v>199</v>
      </c>
      <c r="B66" s="106"/>
      <c r="C66" s="106"/>
      <c r="D66" s="106"/>
      <c r="E66" s="106" t="s">
        <v>93</v>
      </c>
      <c r="F66" s="106" t="s">
        <v>94</v>
      </c>
      <c r="G66" s="105">
        <v>4</v>
      </c>
      <c r="H66" s="106" t="s">
        <v>7</v>
      </c>
      <c r="I66" s="105" t="s">
        <v>26</v>
      </c>
      <c r="J66" s="105"/>
      <c r="K66" s="105"/>
      <c r="L66" s="105"/>
      <c r="M66" s="106" t="s">
        <v>95</v>
      </c>
      <c r="N66" s="106" t="s">
        <v>34</v>
      </c>
      <c r="O66" s="107"/>
      <c r="P66" s="106" t="s">
        <v>96</v>
      </c>
    </row>
    <row r="67" spans="1:16" outlineLevel="3" x14ac:dyDescent="0.3">
      <c r="A67" s="105" t="s">
        <v>200</v>
      </c>
      <c r="B67" s="106"/>
      <c r="C67" s="106"/>
      <c r="D67" s="106"/>
      <c r="E67" s="106" t="s">
        <v>98</v>
      </c>
      <c r="F67" s="106" t="s">
        <v>99</v>
      </c>
      <c r="G67" s="105">
        <v>4</v>
      </c>
      <c r="H67" s="106" t="s">
        <v>7</v>
      </c>
      <c r="I67" s="105" t="s">
        <v>26</v>
      </c>
      <c r="J67" s="105"/>
      <c r="K67" s="105"/>
      <c r="L67" s="105"/>
      <c r="M67" s="106" t="s">
        <v>100</v>
      </c>
      <c r="N67" s="106" t="s">
        <v>34</v>
      </c>
      <c r="O67" s="107"/>
      <c r="P67" s="106" t="s">
        <v>101</v>
      </c>
    </row>
    <row r="68" spans="1:16" outlineLevel="3" x14ac:dyDescent="0.3">
      <c r="A68" s="105" t="s">
        <v>201</v>
      </c>
      <c r="B68" s="106"/>
      <c r="C68" s="106"/>
      <c r="D68" s="106"/>
      <c r="E68" s="106" t="s">
        <v>103</v>
      </c>
      <c r="F68" s="106" t="s">
        <v>104</v>
      </c>
      <c r="G68" s="105">
        <v>4</v>
      </c>
      <c r="H68" s="106" t="s">
        <v>7</v>
      </c>
      <c r="I68" s="105" t="s">
        <v>26</v>
      </c>
      <c r="J68" s="105"/>
      <c r="K68" s="105"/>
      <c r="L68" s="105"/>
      <c r="M68" s="106" t="s">
        <v>105</v>
      </c>
      <c r="N68" s="106" t="s">
        <v>34</v>
      </c>
      <c r="O68" s="107"/>
      <c r="P68" s="106" t="s">
        <v>106</v>
      </c>
    </row>
    <row r="69" spans="1:16" outlineLevel="3" x14ac:dyDescent="0.3">
      <c r="A69" s="105" t="s">
        <v>202</v>
      </c>
      <c r="B69" s="106"/>
      <c r="C69" s="106"/>
      <c r="D69" s="106"/>
      <c r="E69" s="106" t="s">
        <v>108</v>
      </c>
      <c r="F69" s="106" t="s">
        <v>109</v>
      </c>
      <c r="G69" s="105">
        <v>4</v>
      </c>
      <c r="H69" s="106" t="s">
        <v>7</v>
      </c>
      <c r="I69" s="105" t="s">
        <v>26</v>
      </c>
      <c r="J69" s="105"/>
      <c r="K69" s="105"/>
      <c r="L69" s="105"/>
      <c r="M69" s="106" t="s">
        <v>110</v>
      </c>
      <c r="N69" s="106" t="s">
        <v>34</v>
      </c>
      <c r="O69" s="107"/>
      <c r="P69" s="106" t="s">
        <v>111</v>
      </c>
    </row>
    <row r="70" spans="1:16" outlineLevel="3" x14ac:dyDescent="0.3">
      <c r="A70" s="105" t="s">
        <v>203</v>
      </c>
      <c r="B70" s="106"/>
      <c r="C70" s="106"/>
      <c r="D70" s="106"/>
      <c r="E70" s="106" t="s">
        <v>113</v>
      </c>
      <c r="F70" s="106" t="s">
        <v>114</v>
      </c>
      <c r="G70" s="105">
        <v>4</v>
      </c>
      <c r="H70" s="106" t="s">
        <v>7</v>
      </c>
      <c r="I70" s="105" t="s">
        <v>26</v>
      </c>
      <c r="J70" s="105"/>
      <c r="K70" s="105"/>
      <c r="L70" s="105"/>
      <c r="M70" s="106" t="s">
        <v>115</v>
      </c>
      <c r="N70" s="106" t="s">
        <v>34</v>
      </c>
      <c r="O70" s="107"/>
      <c r="P70" s="106" t="s">
        <v>116</v>
      </c>
    </row>
    <row r="71" spans="1:16" outlineLevel="3" x14ac:dyDescent="0.3">
      <c r="A71" s="105" t="s">
        <v>204</v>
      </c>
      <c r="B71" s="106"/>
      <c r="C71" s="106"/>
      <c r="D71" s="106"/>
      <c r="E71" s="106" t="s">
        <v>118</v>
      </c>
      <c r="F71" s="106" t="s">
        <v>119</v>
      </c>
      <c r="G71" s="105">
        <v>4</v>
      </c>
      <c r="H71" s="106" t="s">
        <v>7</v>
      </c>
      <c r="I71" s="105" t="s">
        <v>26</v>
      </c>
      <c r="J71" s="105"/>
      <c r="K71" s="105"/>
      <c r="L71" s="105"/>
      <c r="M71" s="106" t="s">
        <v>120</v>
      </c>
      <c r="N71" s="106" t="s">
        <v>34</v>
      </c>
      <c r="O71" s="107"/>
      <c r="P71" s="106" t="s">
        <v>121</v>
      </c>
    </row>
    <row r="72" spans="1:16" outlineLevel="3" x14ac:dyDescent="0.3">
      <c r="A72" s="105" t="s">
        <v>205</v>
      </c>
      <c r="B72" s="106"/>
      <c r="C72" s="106"/>
      <c r="D72" s="106"/>
      <c r="E72" s="106" t="s">
        <v>123</v>
      </c>
      <c r="F72" s="106" t="s">
        <v>124</v>
      </c>
      <c r="G72" s="105">
        <v>4</v>
      </c>
      <c r="H72" s="106" t="s">
        <v>7</v>
      </c>
      <c r="I72" s="105" t="s">
        <v>26</v>
      </c>
      <c r="J72" s="105"/>
      <c r="K72" s="105"/>
      <c r="L72" s="105"/>
      <c r="M72" s="106" t="s">
        <v>110</v>
      </c>
      <c r="N72" s="106" t="s">
        <v>34</v>
      </c>
      <c r="O72" s="107"/>
      <c r="P72" s="106" t="s">
        <v>125</v>
      </c>
    </row>
    <row r="73" spans="1:16" outlineLevel="3" x14ac:dyDescent="0.3">
      <c r="A73" s="105" t="s">
        <v>206</v>
      </c>
      <c r="B73" s="106"/>
      <c r="C73" s="106"/>
      <c r="D73" s="106"/>
      <c r="E73" s="106" t="s">
        <v>127</v>
      </c>
      <c r="F73" s="106" t="s">
        <v>128</v>
      </c>
      <c r="G73" s="105">
        <v>4</v>
      </c>
      <c r="H73" s="106" t="s">
        <v>7</v>
      </c>
      <c r="I73" s="105" t="s">
        <v>26</v>
      </c>
      <c r="J73" s="105"/>
      <c r="K73" s="105"/>
      <c r="L73" s="105"/>
      <c r="M73" s="106" t="s">
        <v>129</v>
      </c>
      <c r="N73" s="106" t="s">
        <v>34</v>
      </c>
      <c r="O73" s="107"/>
      <c r="P73" s="106" t="s">
        <v>130</v>
      </c>
    </row>
    <row r="74" spans="1:16" outlineLevel="3" x14ac:dyDescent="0.3">
      <c r="A74" s="105" t="s">
        <v>207</v>
      </c>
      <c r="B74" s="106"/>
      <c r="C74" s="106"/>
      <c r="D74" s="106"/>
      <c r="E74" s="106" t="s">
        <v>132</v>
      </c>
      <c r="F74" s="106" t="s">
        <v>133</v>
      </c>
      <c r="G74" s="105">
        <v>4</v>
      </c>
      <c r="H74" s="106" t="s">
        <v>7</v>
      </c>
      <c r="I74" s="105" t="s">
        <v>26</v>
      </c>
      <c r="J74" s="105"/>
      <c r="K74" s="105"/>
      <c r="L74" s="105"/>
      <c r="M74" s="106" t="s">
        <v>134</v>
      </c>
      <c r="N74" s="106" t="s">
        <v>34</v>
      </c>
      <c r="O74" s="107"/>
      <c r="P74" s="106" t="s">
        <v>135</v>
      </c>
    </row>
    <row r="75" spans="1:16" outlineLevel="3" x14ac:dyDescent="0.3">
      <c r="A75" s="105" t="s">
        <v>208</v>
      </c>
      <c r="B75" s="106"/>
      <c r="C75" s="106"/>
      <c r="D75" s="106"/>
      <c r="E75" s="106" t="s">
        <v>137</v>
      </c>
      <c r="F75" s="106" t="s">
        <v>138</v>
      </c>
      <c r="G75" s="105">
        <v>4</v>
      </c>
      <c r="H75" s="106" t="s">
        <v>7</v>
      </c>
      <c r="I75" s="105" t="s">
        <v>26</v>
      </c>
      <c r="J75" s="105"/>
      <c r="K75" s="105"/>
      <c r="L75" s="105"/>
      <c r="M75" s="106" t="s">
        <v>139</v>
      </c>
      <c r="N75" s="106" t="s">
        <v>34</v>
      </c>
      <c r="O75" s="107"/>
      <c r="P75" s="106" t="s">
        <v>140</v>
      </c>
    </row>
    <row r="76" spans="1:16" outlineLevel="3" x14ac:dyDescent="0.3">
      <c r="A76" s="105" t="s">
        <v>209</v>
      </c>
      <c r="B76" s="106"/>
      <c r="C76" s="106"/>
      <c r="D76" s="106"/>
      <c r="E76" s="106" t="s">
        <v>142</v>
      </c>
      <c r="F76" s="106" t="s">
        <v>143</v>
      </c>
      <c r="G76" s="105">
        <v>4</v>
      </c>
      <c r="H76" s="106" t="s">
        <v>7</v>
      </c>
      <c r="I76" s="105" t="s">
        <v>26</v>
      </c>
      <c r="J76" s="105"/>
      <c r="K76" s="105"/>
      <c r="L76" s="105"/>
      <c r="M76" s="106" t="s">
        <v>144</v>
      </c>
      <c r="N76" s="106" t="s">
        <v>34</v>
      </c>
      <c r="O76" s="107"/>
      <c r="P76" s="106" t="s">
        <v>145</v>
      </c>
    </row>
    <row r="77" spans="1:16" outlineLevel="3" x14ac:dyDescent="0.3">
      <c r="A77" s="105" t="s">
        <v>210</v>
      </c>
      <c r="B77" s="106"/>
      <c r="C77" s="106"/>
      <c r="D77" s="106"/>
      <c r="E77" s="106" t="s">
        <v>147</v>
      </c>
      <c r="F77" s="106" t="s">
        <v>148</v>
      </c>
      <c r="G77" s="105">
        <v>4</v>
      </c>
      <c r="H77" s="106" t="s">
        <v>7</v>
      </c>
      <c r="I77" s="105" t="s">
        <v>26</v>
      </c>
      <c r="J77" s="105"/>
      <c r="K77" s="105"/>
      <c r="L77" s="105"/>
      <c r="M77" s="106" t="s">
        <v>149</v>
      </c>
      <c r="N77" s="106" t="s">
        <v>34</v>
      </c>
      <c r="O77" s="107"/>
      <c r="P77" s="106" t="s">
        <v>150</v>
      </c>
    </row>
    <row r="78" spans="1:16" outlineLevel="3" x14ac:dyDescent="0.3">
      <c r="A78" s="105" t="s">
        <v>211</v>
      </c>
      <c r="B78" s="106"/>
      <c r="C78" s="106"/>
      <c r="D78" s="106"/>
      <c r="E78" s="106" t="s">
        <v>152</v>
      </c>
      <c r="F78" s="106" t="s">
        <v>153</v>
      </c>
      <c r="G78" s="105">
        <v>4</v>
      </c>
      <c r="H78" s="106" t="s">
        <v>7</v>
      </c>
      <c r="I78" s="105" t="s">
        <v>26</v>
      </c>
      <c r="J78" s="105"/>
      <c r="K78" s="105"/>
      <c r="L78" s="105"/>
      <c r="M78" s="106" t="s">
        <v>154</v>
      </c>
      <c r="N78" s="106" t="s">
        <v>34</v>
      </c>
      <c r="O78" s="107"/>
      <c r="P78" s="106" t="s">
        <v>155</v>
      </c>
    </row>
    <row r="79" spans="1:16" ht="27.6" outlineLevel="2" x14ac:dyDescent="0.3">
      <c r="A79" s="108" t="s">
        <v>212</v>
      </c>
      <c r="B79" s="109"/>
      <c r="C79" s="109"/>
      <c r="D79" s="109" t="s">
        <v>213</v>
      </c>
      <c r="E79" s="109"/>
      <c r="F79" s="109"/>
      <c r="G79" s="108">
        <v>3</v>
      </c>
      <c r="H79" s="109" t="s">
        <v>25</v>
      </c>
      <c r="I79" s="108" t="s">
        <v>26</v>
      </c>
      <c r="J79" s="108">
        <v>4</v>
      </c>
      <c r="K79" s="108">
        <v>0</v>
      </c>
      <c r="L79" s="108">
        <v>4</v>
      </c>
      <c r="M79" s="110" t="s">
        <v>214</v>
      </c>
      <c r="N79" s="110" t="s">
        <v>215</v>
      </c>
      <c r="O79" s="111"/>
      <c r="P79" s="110"/>
    </row>
    <row r="80" spans="1:16" outlineLevel="3" x14ac:dyDescent="0.3">
      <c r="A80" s="105" t="s">
        <v>216</v>
      </c>
      <c r="B80" s="106"/>
      <c r="C80" s="106"/>
      <c r="D80" s="106"/>
      <c r="E80" s="106" t="s">
        <v>68</v>
      </c>
      <c r="F80" s="106" t="s">
        <v>69</v>
      </c>
      <c r="G80" s="105">
        <v>4</v>
      </c>
      <c r="H80" s="106" t="s">
        <v>7</v>
      </c>
      <c r="I80" s="105" t="s">
        <v>26</v>
      </c>
      <c r="J80" s="105"/>
      <c r="K80" s="105"/>
      <c r="L80" s="105"/>
      <c r="M80" s="106" t="s">
        <v>70</v>
      </c>
      <c r="N80" s="106" t="s">
        <v>34</v>
      </c>
      <c r="O80" s="107"/>
      <c r="P80" s="106" t="s">
        <v>71</v>
      </c>
    </row>
    <row r="81" spans="1:16" outlineLevel="3" x14ac:dyDescent="0.3">
      <c r="A81" s="105" t="s">
        <v>217</v>
      </c>
      <c r="B81" s="106"/>
      <c r="C81" s="106"/>
      <c r="D81" s="106"/>
      <c r="E81" s="106" t="s">
        <v>88</v>
      </c>
      <c r="F81" s="106" t="s">
        <v>89</v>
      </c>
      <c r="G81" s="105">
        <v>4</v>
      </c>
      <c r="H81" s="106" t="s">
        <v>7</v>
      </c>
      <c r="I81" s="105" t="s">
        <v>26</v>
      </c>
      <c r="J81" s="105"/>
      <c r="K81" s="105"/>
      <c r="L81" s="105"/>
      <c r="M81" s="106" t="s">
        <v>90</v>
      </c>
      <c r="N81" s="106" t="s">
        <v>34</v>
      </c>
      <c r="O81" s="107"/>
      <c r="P81" s="106" t="s">
        <v>91</v>
      </c>
    </row>
    <row r="82" spans="1:16" outlineLevel="3" x14ac:dyDescent="0.3">
      <c r="A82" s="105" t="s">
        <v>218</v>
      </c>
      <c r="B82" s="106"/>
      <c r="C82" s="106"/>
      <c r="D82" s="106"/>
      <c r="E82" s="106" t="s">
        <v>98</v>
      </c>
      <c r="F82" s="106" t="s">
        <v>99</v>
      </c>
      <c r="G82" s="105">
        <v>4</v>
      </c>
      <c r="H82" s="106" t="s">
        <v>7</v>
      </c>
      <c r="I82" s="105" t="s">
        <v>26</v>
      </c>
      <c r="J82" s="105"/>
      <c r="K82" s="105"/>
      <c r="L82" s="105"/>
      <c r="M82" s="106" t="s">
        <v>100</v>
      </c>
      <c r="N82" s="106" t="s">
        <v>34</v>
      </c>
      <c r="O82" s="107"/>
      <c r="P82" s="106" t="s">
        <v>101</v>
      </c>
    </row>
    <row r="83" spans="1:16" outlineLevel="3" x14ac:dyDescent="0.3">
      <c r="A83" s="105" t="s">
        <v>219</v>
      </c>
      <c r="B83" s="106"/>
      <c r="C83" s="106"/>
      <c r="D83" s="106"/>
      <c r="E83" s="106" t="s">
        <v>142</v>
      </c>
      <c r="F83" s="106" t="s">
        <v>143</v>
      </c>
      <c r="G83" s="105">
        <v>4</v>
      </c>
      <c r="H83" s="106" t="s">
        <v>7</v>
      </c>
      <c r="I83" s="105" t="s">
        <v>26</v>
      </c>
      <c r="J83" s="105"/>
      <c r="K83" s="105"/>
      <c r="L83" s="105"/>
      <c r="M83" s="106" t="s">
        <v>144</v>
      </c>
      <c r="N83" s="106" t="s">
        <v>34</v>
      </c>
      <c r="O83" s="107"/>
      <c r="P83" s="106" t="s">
        <v>145</v>
      </c>
    </row>
    <row r="84" spans="1:16" ht="41.4" outlineLevel="1" x14ac:dyDescent="0.3">
      <c r="A84" s="100" t="s">
        <v>220</v>
      </c>
      <c r="B84" s="101"/>
      <c r="C84" s="102" t="s">
        <v>221</v>
      </c>
      <c r="D84" s="101"/>
      <c r="E84" s="101"/>
      <c r="F84" s="101"/>
      <c r="G84" s="100">
        <v>2</v>
      </c>
      <c r="H84" s="101" t="s">
        <v>25</v>
      </c>
      <c r="I84" s="100" t="s">
        <v>26</v>
      </c>
      <c r="J84" s="100">
        <v>4</v>
      </c>
      <c r="K84" s="100">
        <v>0</v>
      </c>
      <c r="L84" s="100">
        <v>4</v>
      </c>
      <c r="M84" s="103" t="s">
        <v>222</v>
      </c>
      <c r="N84" s="103" t="s">
        <v>223</v>
      </c>
      <c r="O84" s="104"/>
      <c r="P84" s="103" t="s">
        <v>224</v>
      </c>
    </row>
    <row r="85" spans="1:16" outlineLevel="2" x14ac:dyDescent="0.3">
      <c r="A85" s="105" t="s">
        <v>225</v>
      </c>
      <c r="B85" s="106"/>
      <c r="C85" s="106"/>
      <c r="D85" s="106"/>
      <c r="E85" s="106" t="s">
        <v>226</v>
      </c>
      <c r="F85" s="106" t="s">
        <v>227</v>
      </c>
      <c r="G85" s="105">
        <v>4</v>
      </c>
      <c r="H85" s="106" t="s">
        <v>7</v>
      </c>
      <c r="I85" s="105" t="s">
        <v>26</v>
      </c>
      <c r="J85" s="105"/>
      <c r="K85" s="105"/>
      <c r="L85" s="105"/>
      <c r="M85" s="106" t="s">
        <v>228</v>
      </c>
      <c r="N85" s="106" t="s">
        <v>223</v>
      </c>
      <c r="O85" s="107"/>
      <c r="P85" s="106" t="s">
        <v>229</v>
      </c>
    </row>
    <row r="86" spans="1:16" outlineLevel="2" x14ac:dyDescent="0.3">
      <c r="A86" s="105" t="s">
        <v>230</v>
      </c>
      <c r="B86" s="106"/>
      <c r="C86" s="106"/>
      <c r="D86" s="106"/>
      <c r="E86" s="106" t="s">
        <v>231</v>
      </c>
      <c r="F86" s="106" t="s">
        <v>232</v>
      </c>
      <c r="G86" s="105">
        <v>4</v>
      </c>
      <c r="H86" s="106" t="s">
        <v>7</v>
      </c>
      <c r="I86" s="105" t="s">
        <v>26</v>
      </c>
      <c r="J86" s="105"/>
      <c r="K86" s="105"/>
      <c r="L86" s="105"/>
      <c r="M86" s="106" t="s">
        <v>233</v>
      </c>
      <c r="N86" s="106" t="s">
        <v>223</v>
      </c>
      <c r="O86" s="107"/>
      <c r="P86" s="106" t="s">
        <v>234</v>
      </c>
    </row>
    <row r="87" spans="1:16" outlineLevel="2" x14ac:dyDescent="0.3">
      <c r="A87" s="105" t="s">
        <v>235</v>
      </c>
      <c r="B87" s="106"/>
      <c r="C87" s="106"/>
      <c r="D87" s="106"/>
      <c r="E87" s="106" t="s">
        <v>236</v>
      </c>
      <c r="F87" s="106" t="s">
        <v>237</v>
      </c>
      <c r="G87" s="105">
        <v>4</v>
      </c>
      <c r="H87" s="106" t="s">
        <v>7</v>
      </c>
      <c r="I87" s="105" t="s">
        <v>39</v>
      </c>
      <c r="J87" s="105"/>
      <c r="K87" s="105"/>
      <c r="L87" s="105"/>
      <c r="M87" s="106" t="s">
        <v>238</v>
      </c>
      <c r="N87" s="106" t="s">
        <v>223</v>
      </c>
      <c r="O87" s="107"/>
      <c r="P87" s="106" t="s">
        <v>239</v>
      </c>
    </row>
    <row r="88" spans="1:16" outlineLevel="2" x14ac:dyDescent="0.3">
      <c r="A88" s="105" t="s">
        <v>240</v>
      </c>
      <c r="B88" s="106"/>
      <c r="C88" s="106"/>
      <c r="D88" s="106"/>
      <c r="E88" s="106" t="s">
        <v>241</v>
      </c>
      <c r="F88" s="106" t="s">
        <v>242</v>
      </c>
      <c r="G88" s="105">
        <v>4</v>
      </c>
      <c r="H88" s="106" t="s">
        <v>7</v>
      </c>
      <c r="I88" s="105" t="s">
        <v>26</v>
      </c>
      <c r="J88" s="105"/>
      <c r="K88" s="105"/>
      <c r="L88" s="105"/>
      <c r="M88" s="106" t="s">
        <v>243</v>
      </c>
      <c r="N88" s="106" t="s">
        <v>223</v>
      </c>
      <c r="O88" s="107"/>
      <c r="P88" s="106" t="s">
        <v>244</v>
      </c>
    </row>
    <row r="89" spans="1:16" ht="27.6" outlineLevel="1" x14ac:dyDescent="0.3">
      <c r="A89" s="100" t="s">
        <v>245</v>
      </c>
      <c r="B89" s="101"/>
      <c r="C89" s="102" t="s">
        <v>246</v>
      </c>
      <c r="D89" s="101"/>
      <c r="E89" s="101"/>
      <c r="F89" s="101"/>
      <c r="G89" s="100">
        <v>2</v>
      </c>
      <c r="H89" s="101" t="s">
        <v>25</v>
      </c>
      <c r="I89" s="100" t="s">
        <v>39</v>
      </c>
      <c r="J89" s="100">
        <v>31</v>
      </c>
      <c r="K89" s="100">
        <v>0</v>
      </c>
      <c r="L89" s="100">
        <v>22</v>
      </c>
      <c r="M89" s="103" t="s">
        <v>247</v>
      </c>
      <c r="N89" s="103" t="s">
        <v>223</v>
      </c>
      <c r="O89" s="104"/>
      <c r="P89" s="103" t="s">
        <v>248</v>
      </c>
    </row>
    <row r="90" spans="1:16" outlineLevel="2" x14ac:dyDescent="0.3">
      <c r="A90" s="105" t="s">
        <v>249</v>
      </c>
      <c r="B90" s="106"/>
      <c r="C90" s="106"/>
      <c r="D90" s="106"/>
      <c r="E90" s="106" t="s">
        <v>250</v>
      </c>
      <c r="F90" s="106" t="s">
        <v>251</v>
      </c>
      <c r="G90" s="105">
        <v>4</v>
      </c>
      <c r="H90" s="106" t="s">
        <v>7</v>
      </c>
      <c r="I90" s="105" t="s">
        <v>39</v>
      </c>
      <c r="J90" s="105"/>
      <c r="K90" s="105"/>
      <c r="L90" s="105"/>
      <c r="M90" s="106" t="s">
        <v>252</v>
      </c>
      <c r="N90" s="106" t="s">
        <v>223</v>
      </c>
      <c r="O90" s="107"/>
      <c r="P90" s="106" t="s">
        <v>253</v>
      </c>
    </row>
    <row r="91" spans="1:16" outlineLevel="2" x14ac:dyDescent="0.3">
      <c r="A91" s="105" t="s">
        <v>254</v>
      </c>
      <c r="B91" s="106"/>
      <c r="C91" s="106"/>
      <c r="D91" s="106"/>
      <c r="E91" s="106" t="s">
        <v>255</v>
      </c>
      <c r="F91" s="106" t="s">
        <v>256</v>
      </c>
      <c r="G91" s="105">
        <v>4</v>
      </c>
      <c r="H91" s="106" t="s">
        <v>7</v>
      </c>
      <c r="I91" s="105" t="s">
        <v>39</v>
      </c>
      <c r="J91" s="105"/>
      <c r="K91" s="105"/>
      <c r="L91" s="105"/>
      <c r="M91" s="106" t="s">
        <v>257</v>
      </c>
      <c r="N91" s="106" t="s">
        <v>40</v>
      </c>
      <c r="O91" s="107"/>
      <c r="P91" s="106" t="s">
        <v>258</v>
      </c>
    </row>
    <row r="92" spans="1:16" outlineLevel="2" x14ac:dyDescent="0.3">
      <c r="A92" s="105" t="s">
        <v>259</v>
      </c>
      <c r="B92" s="106"/>
      <c r="C92" s="106"/>
      <c r="D92" s="106"/>
      <c r="E92" s="106" t="s">
        <v>260</v>
      </c>
      <c r="F92" s="106" t="s">
        <v>261</v>
      </c>
      <c r="G92" s="105">
        <v>4</v>
      </c>
      <c r="H92" s="106" t="s">
        <v>7</v>
      </c>
      <c r="I92" s="105" t="s">
        <v>39</v>
      </c>
      <c r="J92" s="105"/>
      <c r="K92" s="105"/>
      <c r="L92" s="105"/>
      <c r="M92" s="106" t="s">
        <v>262</v>
      </c>
      <c r="N92" s="106" t="s">
        <v>223</v>
      </c>
      <c r="O92" s="107"/>
      <c r="P92" s="106" t="s">
        <v>263</v>
      </c>
    </row>
    <row r="93" spans="1:16" outlineLevel="2" x14ac:dyDescent="0.3">
      <c r="A93" s="105" t="s">
        <v>264</v>
      </c>
      <c r="B93" s="106"/>
      <c r="C93" s="106"/>
      <c r="D93" s="106"/>
      <c r="E93" s="106" t="s">
        <v>265</v>
      </c>
      <c r="F93" s="106" t="s">
        <v>266</v>
      </c>
      <c r="G93" s="105">
        <v>4</v>
      </c>
      <c r="H93" s="106" t="s">
        <v>7</v>
      </c>
      <c r="I93" s="105" t="s">
        <v>39</v>
      </c>
      <c r="J93" s="105"/>
      <c r="K93" s="105"/>
      <c r="L93" s="105"/>
      <c r="M93" s="106" t="s">
        <v>267</v>
      </c>
      <c r="N93" s="106" t="s">
        <v>40</v>
      </c>
      <c r="O93" s="107"/>
      <c r="P93" s="106" t="s">
        <v>268</v>
      </c>
    </row>
    <row r="94" spans="1:16" outlineLevel="2" x14ac:dyDescent="0.3">
      <c r="A94" s="105" t="s">
        <v>269</v>
      </c>
      <c r="B94" s="106"/>
      <c r="C94" s="106"/>
      <c r="D94" s="106"/>
      <c r="E94" s="106" t="s">
        <v>270</v>
      </c>
      <c r="F94" s="106" t="s">
        <v>271</v>
      </c>
      <c r="G94" s="105">
        <v>4</v>
      </c>
      <c r="H94" s="106" t="s">
        <v>7</v>
      </c>
      <c r="I94" s="105" t="s">
        <v>39</v>
      </c>
      <c r="J94" s="105"/>
      <c r="K94" s="105"/>
      <c r="L94" s="105"/>
      <c r="M94" s="106" t="s">
        <v>272</v>
      </c>
      <c r="N94" s="106" t="s">
        <v>40</v>
      </c>
      <c r="O94" s="107"/>
      <c r="P94" s="106" t="s">
        <v>273</v>
      </c>
    </row>
    <row r="95" spans="1:16" outlineLevel="2" x14ac:dyDescent="0.3">
      <c r="A95" s="105" t="s">
        <v>274</v>
      </c>
      <c r="B95" s="106"/>
      <c r="C95" s="106"/>
      <c r="D95" s="106"/>
      <c r="E95" s="106" t="s">
        <v>275</v>
      </c>
      <c r="F95" s="106" t="s">
        <v>276</v>
      </c>
      <c r="G95" s="105">
        <v>4</v>
      </c>
      <c r="H95" s="106" t="s">
        <v>7</v>
      </c>
      <c r="I95" s="105" t="s">
        <v>39</v>
      </c>
      <c r="J95" s="105"/>
      <c r="K95" s="105"/>
      <c r="L95" s="105"/>
      <c r="M95" s="106" t="s">
        <v>277</v>
      </c>
      <c r="N95" s="106" t="s">
        <v>40</v>
      </c>
      <c r="O95" s="107"/>
      <c r="P95" s="106" t="s">
        <v>278</v>
      </c>
    </row>
    <row r="96" spans="1:16" outlineLevel="2" x14ac:dyDescent="0.3">
      <c r="A96" s="105" t="s">
        <v>279</v>
      </c>
      <c r="B96" s="106"/>
      <c r="C96" s="106"/>
      <c r="D96" s="106"/>
      <c r="E96" s="106" t="s">
        <v>280</v>
      </c>
      <c r="F96" s="106" t="s">
        <v>281</v>
      </c>
      <c r="G96" s="105">
        <v>4</v>
      </c>
      <c r="H96" s="106" t="s">
        <v>7</v>
      </c>
      <c r="I96" s="105" t="s">
        <v>39</v>
      </c>
      <c r="J96" s="105"/>
      <c r="K96" s="105"/>
      <c r="L96" s="105"/>
      <c r="M96" s="106" t="s">
        <v>282</v>
      </c>
      <c r="N96" s="106" t="s">
        <v>223</v>
      </c>
      <c r="O96" s="107"/>
      <c r="P96" s="106" t="s">
        <v>283</v>
      </c>
    </row>
    <row r="97" spans="1:16" outlineLevel="2" x14ac:dyDescent="0.3">
      <c r="A97" s="105" t="s">
        <v>284</v>
      </c>
      <c r="B97" s="106"/>
      <c r="C97" s="106"/>
      <c r="D97" s="106"/>
      <c r="E97" s="106" t="s">
        <v>285</v>
      </c>
      <c r="F97" s="106" t="s">
        <v>286</v>
      </c>
      <c r="G97" s="105">
        <v>4</v>
      </c>
      <c r="H97" s="106" t="s">
        <v>7</v>
      </c>
      <c r="I97" s="105" t="s">
        <v>39</v>
      </c>
      <c r="J97" s="105"/>
      <c r="K97" s="105"/>
      <c r="L97" s="105"/>
      <c r="M97" s="106"/>
      <c r="N97" s="106" t="s">
        <v>287</v>
      </c>
      <c r="O97" s="107"/>
      <c r="P97" s="106" t="s">
        <v>288</v>
      </c>
    </row>
    <row r="98" spans="1:16" outlineLevel="2" x14ac:dyDescent="0.3">
      <c r="A98" s="105" t="s">
        <v>289</v>
      </c>
      <c r="B98" s="106"/>
      <c r="C98" s="106"/>
      <c r="D98" s="106"/>
      <c r="E98" s="106" t="s">
        <v>290</v>
      </c>
      <c r="F98" s="106" t="s">
        <v>291</v>
      </c>
      <c r="G98" s="105">
        <v>4</v>
      </c>
      <c r="H98" s="106" t="s">
        <v>7</v>
      </c>
      <c r="I98" s="105" t="s">
        <v>39</v>
      </c>
      <c r="J98" s="105"/>
      <c r="K98" s="105"/>
      <c r="L98" s="105"/>
      <c r="M98" s="106" t="s">
        <v>292</v>
      </c>
      <c r="N98" s="106" t="s">
        <v>40</v>
      </c>
      <c r="O98" s="107"/>
      <c r="P98" s="106" t="s">
        <v>293</v>
      </c>
    </row>
    <row r="99" spans="1:16" outlineLevel="2" x14ac:dyDescent="0.3">
      <c r="A99" s="105" t="s">
        <v>294</v>
      </c>
      <c r="B99" s="106"/>
      <c r="C99" s="106"/>
      <c r="D99" s="106"/>
      <c r="E99" s="106" t="s">
        <v>295</v>
      </c>
      <c r="F99" s="106" t="s">
        <v>296</v>
      </c>
      <c r="G99" s="105">
        <v>4</v>
      </c>
      <c r="H99" s="106" t="s">
        <v>7</v>
      </c>
      <c r="I99" s="105" t="s">
        <v>39</v>
      </c>
      <c r="J99" s="105"/>
      <c r="K99" s="105"/>
      <c r="L99" s="105"/>
      <c r="M99" s="106"/>
      <c r="N99" s="106" t="s">
        <v>287</v>
      </c>
      <c r="O99" s="107"/>
      <c r="P99" s="106" t="s">
        <v>297</v>
      </c>
    </row>
    <row r="100" spans="1:16" outlineLevel="2" x14ac:dyDescent="0.3">
      <c r="A100" s="105" t="s">
        <v>298</v>
      </c>
      <c r="B100" s="106"/>
      <c r="C100" s="106"/>
      <c r="D100" s="106"/>
      <c r="E100" s="106" t="s">
        <v>299</v>
      </c>
      <c r="F100" s="106" t="s">
        <v>300</v>
      </c>
      <c r="G100" s="105">
        <v>4</v>
      </c>
      <c r="H100" s="106" t="s">
        <v>7</v>
      </c>
      <c r="I100" s="105" t="s">
        <v>39</v>
      </c>
      <c r="J100" s="105"/>
      <c r="K100" s="105"/>
      <c r="L100" s="105"/>
      <c r="M100" s="106" t="s">
        <v>301</v>
      </c>
      <c r="N100" s="106" t="s">
        <v>223</v>
      </c>
      <c r="O100" s="107"/>
      <c r="P100" s="106" t="s">
        <v>302</v>
      </c>
    </row>
    <row r="101" spans="1:16" outlineLevel="2" x14ac:dyDescent="0.3">
      <c r="A101" s="105" t="s">
        <v>303</v>
      </c>
      <c r="B101" s="106"/>
      <c r="C101" s="106"/>
      <c r="D101" s="106"/>
      <c r="E101" s="106" t="s">
        <v>304</v>
      </c>
      <c r="F101" s="106" t="s">
        <v>305</v>
      </c>
      <c r="G101" s="105">
        <v>4</v>
      </c>
      <c r="H101" s="106" t="s">
        <v>7</v>
      </c>
      <c r="I101" s="105" t="s">
        <v>39</v>
      </c>
      <c r="J101" s="105"/>
      <c r="K101" s="105"/>
      <c r="L101" s="105"/>
      <c r="M101" s="106" t="s">
        <v>306</v>
      </c>
      <c r="N101" s="106" t="s">
        <v>223</v>
      </c>
      <c r="O101" s="107"/>
      <c r="P101" s="106" t="s">
        <v>307</v>
      </c>
    </row>
    <row r="102" spans="1:16" outlineLevel="2" x14ac:dyDescent="0.3">
      <c r="A102" s="105" t="s">
        <v>308</v>
      </c>
      <c r="B102" s="106"/>
      <c r="C102" s="106"/>
      <c r="D102" s="106"/>
      <c r="E102" s="106" t="s">
        <v>309</v>
      </c>
      <c r="F102" s="106" t="s">
        <v>310</v>
      </c>
      <c r="G102" s="105">
        <v>4</v>
      </c>
      <c r="H102" s="106" t="s">
        <v>7</v>
      </c>
      <c r="I102" s="105" t="s">
        <v>39</v>
      </c>
      <c r="J102" s="105"/>
      <c r="K102" s="105"/>
      <c r="L102" s="105"/>
      <c r="M102" s="106" t="s">
        <v>311</v>
      </c>
      <c r="N102" s="106" t="s">
        <v>287</v>
      </c>
      <c r="O102" s="107"/>
      <c r="P102" s="106" t="s">
        <v>312</v>
      </c>
    </row>
    <row r="103" spans="1:16" outlineLevel="2" x14ac:dyDescent="0.3">
      <c r="A103" s="105" t="s">
        <v>313</v>
      </c>
      <c r="B103" s="106"/>
      <c r="C103" s="106"/>
      <c r="D103" s="106"/>
      <c r="E103" s="106" t="s">
        <v>314</v>
      </c>
      <c r="F103" s="106" t="s">
        <v>315</v>
      </c>
      <c r="G103" s="105">
        <v>4</v>
      </c>
      <c r="H103" s="106" t="s">
        <v>7</v>
      </c>
      <c r="I103" s="105" t="s">
        <v>39</v>
      </c>
      <c r="J103" s="105"/>
      <c r="K103" s="105"/>
      <c r="L103" s="105"/>
      <c r="M103" s="106" t="s">
        <v>316</v>
      </c>
      <c r="N103" s="106" t="s">
        <v>40</v>
      </c>
      <c r="O103" s="107"/>
      <c r="P103" s="106" t="s">
        <v>317</v>
      </c>
    </row>
    <row r="104" spans="1:16" outlineLevel="2" x14ac:dyDescent="0.3">
      <c r="A104" s="105" t="s">
        <v>318</v>
      </c>
      <c r="B104" s="106"/>
      <c r="C104" s="106"/>
      <c r="D104" s="106"/>
      <c r="E104" s="106" t="s">
        <v>319</v>
      </c>
      <c r="F104" s="106" t="s">
        <v>320</v>
      </c>
      <c r="G104" s="105">
        <v>4</v>
      </c>
      <c r="H104" s="106" t="s">
        <v>7</v>
      </c>
      <c r="I104" s="105" t="s">
        <v>39</v>
      </c>
      <c r="J104" s="105"/>
      <c r="K104" s="105"/>
      <c r="L104" s="105"/>
      <c r="M104" s="106" t="s">
        <v>321</v>
      </c>
      <c r="N104" s="106" t="s">
        <v>40</v>
      </c>
      <c r="O104" s="107"/>
      <c r="P104" s="106" t="s">
        <v>322</v>
      </c>
    </row>
    <row r="105" spans="1:16" outlineLevel="2" x14ac:dyDescent="0.3">
      <c r="A105" s="105" t="s">
        <v>323</v>
      </c>
      <c r="B105" s="106"/>
      <c r="C105" s="106"/>
      <c r="D105" s="106"/>
      <c r="E105" s="106" t="s">
        <v>324</v>
      </c>
      <c r="F105" s="106" t="s">
        <v>325</v>
      </c>
      <c r="G105" s="105">
        <v>4</v>
      </c>
      <c r="H105" s="106" t="s">
        <v>7</v>
      </c>
      <c r="I105" s="105" t="s">
        <v>39</v>
      </c>
      <c r="J105" s="105"/>
      <c r="K105" s="105"/>
      <c r="L105" s="105"/>
      <c r="M105" s="106" t="s">
        <v>326</v>
      </c>
      <c r="N105" s="106" t="s">
        <v>40</v>
      </c>
      <c r="O105" s="107"/>
      <c r="P105" s="106" t="s">
        <v>327</v>
      </c>
    </row>
    <row r="106" spans="1:16" outlineLevel="2" x14ac:dyDescent="0.3">
      <c r="A106" s="105" t="s">
        <v>328</v>
      </c>
      <c r="B106" s="106"/>
      <c r="C106" s="106"/>
      <c r="D106" s="106"/>
      <c r="E106" s="106" t="s">
        <v>329</v>
      </c>
      <c r="F106" s="106" t="s">
        <v>330</v>
      </c>
      <c r="G106" s="105">
        <v>4</v>
      </c>
      <c r="H106" s="106" t="s">
        <v>7</v>
      </c>
      <c r="I106" s="105" t="s">
        <v>39</v>
      </c>
      <c r="J106" s="105"/>
      <c r="K106" s="105"/>
      <c r="L106" s="105"/>
      <c r="M106" s="106" t="s">
        <v>331</v>
      </c>
      <c r="N106" s="106" t="s">
        <v>40</v>
      </c>
      <c r="O106" s="107" t="s">
        <v>332</v>
      </c>
      <c r="P106" s="106" t="s">
        <v>333</v>
      </c>
    </row>
    <row r="107" spans="1:16" outlineLevel="2" x14ac:dyDescent="0.3">
      <c r="A107" s="105" t="s">
        <v>334</v>
      </c>
      <c r="B107" s="106"/>
      <c r="C107" s="106"/>
      <c r="D107" s="106"/>
      <c r="E107" s="106" t="s">
        <v>335</v>
      </c>
      <c r="F107" s="106" t="s">
        <v>336</v>
      </c>
      <c r="G107" s="105">
        <v>4</v>
      </c>
      <c r="H107" s="106" t="s">
        <v>7</v>
      </c>
      <c r="I107" s="105" t="s">
        <v>39</v>
      </c>
      <c r="J107" s="105"/>
      <c r="K107" s="105"/>
      <c r="L107" s="105"/>
      <c r="M107" s="106"/>
      <c r="N107" s="106" t="s">
        <v>287</v>
      </c>
      <c r="O107" s="107"/>
      <c r="P107" s="106"/>
    </row>
    <row r="108" spans="1:16" outlineLevel="2" x14ac:dyDescent="0.3">
      <c r="A108" s="105" t="s">
        <v>337</v>
      </c>
      <c r="B108" s="106"/>
      <c r="C108" s="106"/>
      <c r="D108" s="106"/>
      <c r="E108" s="106" t="s">
        <v>338</v>
      </c>
      <c r="F108" s="106" t="s">
        <v>339</v>
      </c>
      <c r="G108" s="105">
        <v>4</v>
      </c>
      <c r="H108" s="106" t="s">
        <v>7</v>
      </c>
      <c r="I108" s="105" t="s">
        <v>39</v>
      </c>
      <c r="J108" s="105"/>
      <c r="K108" s="105"/>
      <c r="L108" s="105"/>
      <c r="M108" s="106" t="s">
        <v>340</v>
      </c>
      <c r="N108" s="106" t="s">
        <v>40</v>
      </c>
      <c r="O108" s="107"/>
      <c r="P108" s="106" t="s">
        <v>341</v>
      </c>
    </row>
    <row r="109" spans="1:16" outlineLevel="2" x14ac:dyDescent="0.3">
      <c r="A109" s="105" t="s">
        <v>342</v>
      </c>
      <c r="B109" s="106"/>
      <c r="C109" s="106"/>
      <c r="D109" s="106"/>
      <c r="E109" s="106" t="s">
        <v>343</v>
      </c>
      <c r="F109" s="106" t="s">
        <v>344</v>
      </c>
      <c r="G109" s="105">
        <v>4</v>
      </c>
      <c r="H109" s="106" t="s">
        <v>7</v>
      </c>
      <c r="I109" s="105" t="s">
        <v>39</v>
      </c>
      <c r="J109" s="105"/>
      <c r="K109" s="105"/>
      <c r="L109" s="105"/>
      <c r="M109" s="106"/>
      <c r="N109" s="106" t="s">
        <v>287</v>
      </c>
      <c r="O109" s="107"/>
      <c r="P109" s="106"/>
    </row>
    <row r="110" spans="1:16" outlineLevel="2" x14ac:dyDescent="0.3">
      <c r="A110" s="105" t="s">
        <v>345</v>
      </c>
      <c r="B110" s="106"/>
      <c r="C110" s="106"/>
      <c r="D110" s="106"/>
      <c r="E110" s="106" t="s">
        <v>346</v>
      </c>
      <c r="F110" s="106" t="s">
        <v>347</v>
      </c>
      <c r="G110" s="105">
        <v>4</v>
      </c>
      <c r="H110" s="106" t="s">
        <v>7</v>
      </c>
      <c r="I110" s="105" t="s">
        <v>39</v>
      </c>
      <c r="J110" s="105"/>
      <c r="K110" s="105"/>
      <c r="L110" s="105"/>
      <c r="M110" s="106" t="s">
        <v>348</v>
      </c>
      <c r="N110" s="106" t="s">
        <v>223</v>
      </c>
      <c r="O110" s="107"/>
      <c r="P110" s="106" t="s">
        <v>349</v>
      </c>
    </row>
    <row r="111" spans="1:16" outlineLevel="2" x14ac:dyDescent="0.3">
      <c r="A111" s="105" t="s">
        <v>350</v>
      </c>
      <c r="B111" s="106"/>
      <c r="C111" s="106"/>
      <c r="D111" s="106"/>
      <c r="E111" s="106" t="s">
        <v>351</v>
      </c>
      <c r="F111" s="106" t="s">
        <v>352</v>
      </c>
      <c r="G111" s="105">
        <v>4</v>
      </c>
      <c r="H111" s="106" t="s">
        <v>7</v>
      </c>
      <c r="I111" s="105" t="s">
        <v>39</v>
      </c>
      <c r="J111" s="105"/>
      <c r="K111" s="105"/>
      <c r="L111" s="105"/>
      <c r="M111" s="106" t="s">
        <v>353</v>
      </c>
      <c r="N111" s="106" t="s">
        <v>223</v>
      </c>
      <c r="O111" s="107"/>
      <c r="P111" s="106" t="s">
        <v>354</v>
      </c>
    </row>
    <row r="112" spans="1:16" outlineLevel="2" x14ac:dyDescent="0.3">
      <c r="A112" s="105" t="s">
        <v>355</v>
      </c>
      <c r="B112" s="106"/>
      <c r="C112" s="106"/>
      <c r="D112" s="106"/>
      <c r="E112" s="106" t="s">
        <v>356</v>
      </c>
      <c r="F112" s="106" t="s">
        <v>357</v>
      </c>
      <c r="G112" s="105">
        <v>4</v>
      </c>
      <c r="H112" s="106" t="s">
        <v>7</v>
      </c>
      <c r="I112" s="105" t="s">
        <v>39</v>
      </c>
      <c r="J112" s="105"/>
      <c r="K112" s="105"/>
      <c r="L112" s="105"/>
      <c r="M112" s="106" t="s">
        <v>358</v>
      </c>
      <c r="N112" s="106" t="s">
        <v>40</v>
      </c>
      <c r="O112" s="107"/>
      <c r="P112" s="106" t="s">
        <v>359</v>
      </c>
    </row>
    <row r="113" spans="1:16" outlineLevel="2" x14ac:dyDescent="0.3">
      <c r="A113" s="105" t="s">
        <v>360</v>
      </c>
      <c r="B113" s="106"/>
      <c r="C113" s="106"/>
      <c r="D113" s="106"/>
      <c r="E113" s="106" t="s">
        <v>361</v>
      </c>
      <c r="F113" s="106" t="s">
        <v>362</v>
      </c>
      <c r="G113" s="105">
        <v>4</v>
      </c>
      <c r="H113" s="106" t="s">
        <v>7</v>
      </c>
      <c r="I113" s="105" t="s">
        <v>39</v>
      </c>
      <c r="J113" s="105"/>
      <c r="K113" s="105"/>
      <c r="L113" s="105"/>
      <c r="M113" s="106" t="s">
        <v>363</v>
      </c>
      <c r="N113" s="106" t="s">
        <v>223</v>
      </c>
      <c r="O113" s="107"/>
      <c r="P113" s="106" t="s">
        <v>364</v>
      </c>
    </row>
    <row r="114" spans="1:16" outlineLevel="2" x14ac:dyDescent="0.3">
      <c r="A114" s="105" t="s">
        <v>365</v>
      </c>
      <c r="B114" s="106"/>
      <c r="C114" s="106"/>
      <c r="D114" s="106"/>
      <c r="E114" s="106" t="s">
        <v>366</v>
      </c>
      <c r="F114" s="106" t="s">
        <v>367</v>
      </c>
      <c r="G114" s="105">
        <v>4</v>
      </c>
      <c r="H114" s="106" t="s">
        <v>7</v>
      </c>
      <c r="I114" s="105" t="s">
        <v>39</v>
      </c>
      <c r="J114" s="105"/>
      <c r="K114" s="105"/>
      <c r="L114" s="105"/>
      <c r="M114" s="106"/>
      <c r="N114" s="106" t="s">
        <v>287</v>
      </c>
      <c r="O114" s="107"/>
      <c r="P114" s="106"/>
    </row>
    <row r="115" spans="1:16" outlineLevel="2" x14ac:dyDescent="0.3">
      <c r="A115" s="105" t="s">
        <v>368</v>
      </c>
      <c r="B115" s="106"/>
      <c r="C115" s="106"/>
      <c r="D115" s="106"/>
      <c r="E115" s="106" t="s">
        <v>369</v>
      </c>
      <c r="F115" s="106" t="s">
        <v>370</v>
      </c>
      <c r="G115" s="105">
        <v>4</v>
      </c>
      <c r="H115" s="106" t="s">
        <v>7</v>
      </c>
      <c r="I115" s="105" t="s">
        <v>39</v>
      </c>
      <c r="J115" s="105"/>
      <c r="K115" s="105"/>
      <c r="L115" s="105"/>
      <c r="M115" s="106" t="s">
        <v>371</v>
      </c>
      <c r="N115" s="106" t="s">
        <v>40</v>
      </c>
      <c r="O115" s="107"/>
      <c r="P115" s="106" t="s">
        <v>372</v>
      </c>
    </row>
    <row r="116" spans="1:16" outlineLevel="2" x14ac:dyDescent="0.3">
      <c r="A116" s="105" t="s">
        <v>373</v>
      </c>
      <c r="B116" s="106"/>
      <c r="C116" s="106"/>
      <c r="D116" s="106"/>
      <c r="E116" s="106" t="s">
        <v>374</v>
      </c>
      <c r="F116" s="106" t="s">
        <v>375</v>
      </c>
      <c r="G116" s="105">
        <v>4</v>
      </c>
      <c r="H116" s="106" t="s">
        <v>7</v>
      </c>
      <c r="I116" s="105" t="s">
        <v>39</v>
      </c>
      <c r="J116" s="105"/>
      <c r="K116" s="105"/>
      <c r="L116" s="105"/>
      <c r="M116" s="106" t="s">
        <v>376</v>
      </c>
      <c r="N116" s="106" t="s">
        <v>40</v>
      </c>
      <c r="O116" s="107"/>
      <c r="P116" s="106" t="s">
        <v>377</v>
      </c>
    </row>
    <row r="117" spans="1:16" outlineLevel="2" x14ac:dyDescent="0.3">
      <c r="A117" s="105" t="s">
        <v>378</v>
      </c>
      <c r="B117" s="106"/>
      <c r="C117" s="106"/>
      <c r="D117" s="106"/>
      <c r="E117" s="106" t="s">
        <v>379</v>
      </c>
      <c r="F117" s="106" t="s">
        <v>380</v>
      </c>
      <c r="G117" s="105">
        <v>4</v>
      </c>
      <c r="H117" s="106" t="s">
        <v>7</v>
      </c>
      <c r="I117" s="105" t="s">
        <v>39</v>
      </c>
      <c r="J117" s="105"/>
      <c r="K117" s="105"/>
      <c r="L117" s="105"/>
      <c r="M117" s="106"/>
      <c r="N117" s="106" t="s">
        <v>287</v>
      </c>
      <c r="O117" s="107"/>
      <c r="P117" s="106"/>
    </row>
    <row r="118" spans="1:16" outlineLevel="2" x14ac:dyDescent="0.3">
      <c r="A118" s="105" t="s">
        <v>381</v>
      </c>
      <c r="B118" s="106"/>
      <c r="C118" s="106"/>
      <c r="D118" s="106"/>
      <c r="E118" s="106" t="s">
        <v>382</v>
      </c>
      <c r="F118" s="106" t="s">
        <v>383</v>
      </c>
      <c r="G118" s="105">
        <v>4</v>
      </c>
      <c r="H118" s="106" t="s">
        <v>7</v>
      </c>
      <c r="I118" s="105" t="s">
        <v>39</v>
      </c>
      <c r="J118" s="105"/>
      <c r="K118" s="105"/>
      <c r="L118" s="105"/>
      <c r="M118" s="106" t="s">
        <v>384</v>
      </c>
      <c r="N118" s="106" t="s">
        <v>40</v>
      </c>
      <c r="O118" s="107"/>
      <c r="P118" s="106" t="s">
        <v>385</v>
      </c>
    </row>
    <row r="119" spans="1:16" outlineLevel="2" x14ac:dyDescent="0.3">
      <c r="A119" s="105" t="s">
        <v>386</v>
      </c>
      <c r="B119" s="106"/>
      <c r="C119" s="106"/>
      <c r="D119" s="106"/>
      <c r="E119" s="106" t="s">
        <v>387</v>
      </c>
      <c r="F119" s="106" t="s">
        <v>388</v>
      </c>
      <c r="G119" s="105">
        <v>4</v>
      </c>
      <c r="H119" s="106" t="s">
        <v>7</v>
      </c>
      <c r="I119" s="105" t="s">
        <v>39</v>
      </c>
      <c r="J119" s="105"/>
      <c r="K119" s="105"/>
      <c r="L119" s="105"/>
      <c r="M119" s="106"/>
      <c r="N119" s="106" t="s">
        <v>287</v>
      </c>
      <c r="O119" s="107"/>
      <c r="P119" s="106" t="s">
        <v>389</v>
      </c>
    </row>
    <row r="120" spans="1:16" outlineLevel="2" x14ac:dyDescent="0.3">
      <c r="A120" s="105" t="s">
        <v>390</v>
      </c>
      <c r="B120" s="106"/>
      <c r="C120" s="106"/>
      <c r="D120" s="106"/>
      <c r="E120" s="106" t="s">
        <v>391</v>
      </c>
      <c r="F120" s="106" t="s">
        <v>392</v>
      </c>
      <c r="G120" s="105">
        <v>4</v>
      </c>
      <c r="H120" s="106" t="s">
        <v>7</v>
      </c>
      <c r="I120" s="105" t="s">
        <v>39</v>
      </c>
      <c r="J120" s="105"/>
      <c r="K120" s="105"/>
      <c r="L120" s="105"/>
      <c r="M120" s="106"/>
      <c r="N120" s="106" t="s">
        <v>287</v>
      </c>
      <c r="O120" s="107"/>
      <c r="P120" s="106" t="s">
        <v>393</v>
      </c>
    </row>
    <row r="121" spans="1:16" ht="27.6" outlineLevel="1" x14ac:dyDescent="0.3">
      <c r="A121" s="100" t="s">
        <v>394</v>
      </c>
      <c r="B121" s="101"/>
      <c r="C121" s="112" t="s">
        <v>395</v>
      </c>
      <c r="D121" s="113"/>
      <c r="E121" s="101"/>
      <c r="F121" s="101"/>
      <c r="G121" s="100">
        <v>2</v>
      </c>
      <c r="H121" s="113" t="s">
        <v>396</v>
      </c>
      <c r="I121" s="100" t="s">
        <v>39</v>
      </c>
      <c r="J121" s="100">
        <v>6</v>
      </c>
      <c r="K121" s="100">
        <v>0</v>
      </c>
      <c r="L121" s="100">
        <v>0</v>
      </c>
      <c r="M121" s="103" t="s">
        <v>397</v>
      </c>
      <c r="N121" s="103" t="s">
        <v>287</v>
      </c>
      <c r="O121" s="104"/>
      <c r="P121" s="103"/>
    </row>
    <row r="122" spans="1:16" outlineLevel="2" x14ac:dyDescent="0.3">
      <c r="A122" s="105" t="s">
        <v>398</v>
      </c>
      <c r="B122" s="106"/>
      <c r="C122" s="106"/>
      <c r="D122" s="106"/>
      <c r="E122" s="106" t="s">
        <v>399</v>
      </c>
      <c r="F122" s="106" t="s">
        <v>400</v>
      </c>
      <c r="G122" s="105">
        <v>4</v>
      </c>
      <c r="H122" s="106" t="s">
        <v>7</v>
      </c>
      <c r="I122" s="105" t="s">
        <v>39</v>
      </c>
      <c r="J122" s="105"/>
      <c r="K122" s="105"/>
      <c r="L122" s="105"/>
      <c r="M122" s="106"/>
      <c r="N122" s="106" t="s">
        <v>287</v>
      </c>
      <c r="O122" s="107"/>
      <c r="P122" s="106"/>
    </row>
    <row r="123" spans="1:16" outlineLevel="2" x14ac:dyDescent="0.3">
      <c r="A123" s="105" t="s">
        <v>401</v>
      </c>
      <c r="B123" s="106"/>
      <c r="C123" s="106"/>
      <c r="D123" s="106"/>
      <c r="E123" s="106" t="s">
        <v>399</v>
      </c>
      <c r="F123" s="106" t="s">
        <v>402</v>
      </c>
      <c r="G123" s="105">
        <v>4</v>
      </c>
      <c r="H123" s="106" t="s">
        <v>7</v>
      </c>
      <c r="I123" s="105" t="s">
        <v>39</v>
      </c>
      <c r="J123" s="105"/>
      <c r="K123" s="105"/>
      <c r="L123" s="105"/>
      <c r="M123" s="106"/>
      <c r="N123" s="106" t="s">
        <v>287</v>
      </c>
      <c r="O123" s="107"/>
      <c r="P123" s="106"/>
    </row>
    <row r="124" spans="1:16" outlineLevel="2" x14ac:dyDescent="0.3">
      <c r="A124" s="105" t="s">
        <v>403</v>
      </c>
      <c r="B124" s="106"/>
      <c r="C124" s="106"/>
      <c r="D124" s="106"/>
      <c r="E124" s="106" t="s">
        <v>399</v>
      </c>
      <c r="F124" s="106" t="s">
        <v>404</v>
      </c>
      <c r="G124" s="105">
        <v>4</v>
      </c>
      <c r="H124" s="106" t="s">
        <v>7</v>
      </c>
      <c r="I124" s="105" t="s">
        <v>39</v>
      </c>
      <c r="J124" s="105"/>
      <c r="K124" s="105"/>
      <c r="L124" s="105"/>
      <c r="M124" s="106"/>
      <c r="N124" s="106" t="s">
        <v>287</v>
      </c>
      <c r="O124" s="107"/>
      <c r="P124" s="106"/>
    </row>
    <row r="125" spans="1:16" outlineLevel="2" x14ac:dyDescent="0.3">
      <c r="A125" s="105" t="s">
        <v>405</v>
      </c>
      <c r="B125" s="106"/>
      <c r="C125" s="106"/>
      <c r="D125" s="106"/>
      <c r="E125" s="106" t="s">
        <v>399</v>
      </c>
      <c r="F125" s="106" t="s">
        <v>406</v>
      </c>
      <c r="G125" s="105">
        <v>4</v>
      </c>
      <c r="H125" s="106" t="s">
        <v>7</v>
      </c>
      <c r="I125" s="105" t="s">
        <v>39</v>
      </c>
      <c r="J125" s="105"/>
      <c r="K125" s="105"/>
      <c r="L125" s="105"/>
      <c r="M125" s="106"/>
      <c r="N125" s="106" t="s">
        <v>287</v>
      </c>
      <c r="O125" s="107"/>
      <c r="P125" s="106"/>
    </row>
    <row r="126" spans="1:16" outlineLevel="2" x14ac:dyDescent="0.3">
      <c r="A126" s="105" t="s">
        <v>407</v>
      </c>
      <c r="B126" s="106"/>
      <c r="C126" s="106"/>
      <c r="D126" s="106"/>
      <c r="E126" s="106" t="s">
        <v>399</v>
      </c>
      <c r="F126" s="106" t="s">
        <v>408</v>
      </c>
      <c r="G126" s="105">
        <v>4</v>
      </c>
      <c r="H126" s="106" t="s">
        <v>7</v>
      </c>
      <c r="I126" s="105" t="s">
        <v>39</v>
      </c>
      <c r="J126" s="105"/>
      <c r="K126" s="105"/>
      <c r="L126" s="105"/>
      <c r="M126" s="106"/>
      <c r="N126" s="106" t="s">
        <v>287</v>
      </c>
      <c r="O126" s="107"/>
      <c r="P126" s="106"/>
    </row>
    <row r="127" spans="1:16" outlineLevel="2" x14ac:dyDescent="0.3">
      <c r="A127" s="105" t="s">
        <v>409</v>
      </c>
      <c r="B127" s="106"/>
      <c r="C127" s="106"/>
      <c r="D127" s="106"/>
      <c r="E127" s="106" t="s">
        <v>399</v>
      </c>
      <c r="F127" s="106" t="s">
        <v>410</v>
      </c>
      <c r="G127" s="105">
        <v>4</v>
      </c>
      <c r="H127" s="106" t="s">
        <v>7</v>
      </c>
      <c r="I127" s="105" t="s">
        <v>39</v>
      </c>
      <c r="J127" s="105"/>
      <c r="K127" s="105"/>
      <c r="L127" s="105"/>
      <c r="M127" s="106"/>
      <c r="N127" s="106" t="s">
        <v>287</v>
      </c>
      <c r="O127" s="107"/>
      <c r="P127" s="106"/>
    </row>
    <row r="128" spans="1:16" x14ac:dyDescent="0.3">
      <c r="A128" s="114" t="s">
        <v>411</v>
      </c>
      <c r="B128" s="115" t="s">
        <v>412</v>
      </c>
      <c r="C128" s="116" t="str">
        <f>COUNTIFS($G129:$G178,2)&amp;" subcapas"</f>
        <v>2 subcapas</v>
      </c>
      <c r="D128" s="115"/>
      <c r="E128" s="115"/>
      <c r="F128" s="115"/>
      <c r="G128" s="114">
        <v>1</v>
      </c>
      <c r="H128" s="115" t="s">
        <v>2</v>
      </c>
      <c r="I128" s="114"/>
      <c r="J128" s="117">
        <f>SUMIFS(J129:J178,$G129:$G178,2)</f>
        <v>46</v>
      </c>
      <c r="K128" s="117">
        <f>SUMIFS(K129:K178,$G129:$G178,2)</f>
        <v>2</v>
      </c>
      <c r="L128" s="117">
        <f>SUMIFS(L129:L178,$G129:$G178,2)</f>
        <v>24</v>
      </c>
      <c r="M128" s="118" t="s">
        <v>413</v>
      </c>
      <c r="N128" s="115"/>
      <c r="O128" s="115"/>
      <c r="P128" s="115" t="s">
        <v>22</v>
      </c>
    </row>
    <row r="129" spans="1:16" ht="41.4" outlineLevel="1" x14ac:dyDescent="0.3">
      <c r="A129" s="119" t="s">
        <v>414</v>
      </c>
      <c r="B129" s="120"/>
      <c r="C129" s="121" t="s">
        <v>415</v>
      </c>
      <c r="D129" s="120"/>
      <c r="E129" s="120"/>
      <c r="F129" s="120"/>
      <c r="G129" s="119">
        <v>2</v>
      </c>
      <c r="H129" s="120" t="s">
        <v>25</v>
      </c>
      <c r="I129" s="119" t="s">
        <v>39</v>
      </c>
      <c r="J129" s="119">
        <v>42</v>
      </c>
      <c r="K129" s="119">
        <v>1</v>
      </c>
      <c r="L129" s="119">
        <v>19</v>
      </c>
      <c r="M129" s="122" t="s">
        <v>416</v>
      </c>
      <c r="N129" s="122" t="s">
        <v>417</v>
      </c>
      <c r="O129" s="123"/>
      <c r="P129" s="122" t="s">
        <v>418</v>
      </c>
    </row>
    <row r="130" spans="1:16" outlineLevel="2" x14ac:dyDescent="0.3">
      <c r="A130" s="105" t="s">
        <v>419</v>
      </c>
      <c r="B130" s="106"/>
      <c r="C130" s="106"/>
      <c r="D130" s="106"/>
      <c r="E130" s="106" t="s">
        <v>420</v>
      </c>
      <c r="F130" s="106" t="s">
        <v>421</v>
      </c>
      <c r="G130" s="105">
        <v>4</v>
      </c>
      <c r="H130" s="106" t="s">
        <v>7</v>
      </c>
      <c r="I130" s="105" t="s">
        <v>39</v>
      </c>
      <c r="J130" s="105"/>
      <c r="K130" s="105"/>
      <c r="L130" s="105"/>
      <c r="M130" s="106" t="s">
        <v>422</v>
      </c>
      <c r="N130" s="106" t="s">
        <v>40</v>
      </c>
      <c r="O130" s="107"/>
      <c r="P130" s="106" t="s">
        <v>423</v>
      </c>
    </row>
    <row r="131" spans="1:16" outlineLevel="2" x14ac:dyDescent="0.3">
      <c r="A131" s="105" t="s">
        <v>424</v>
      </c>
      <c r="B131" s="106"/>
      <c r="C131" s="106"/>
      <c r="D131" s="106"/>
      <c r="E131" s="106" t="s">
        <v>425</v>
      </c>
      <c r="F131" s="106" t="s">
        <v>426</v>
      </c>
      <c r="G131" s="105">
        <v>4</v>
      </c>
      <c r="H131" s="106" t="s">
        <v>7</v>
      </c>
      <c r="I131" s="105" t="s">
        <v>39</v>
      </c>
      <c r="J131" s="105"/>
      <c r="K131" s="105"/>
      <c r="L131" s="105"/>
      <c r="M131" s="106" t="s">
        <v>427</v>
      </c>
      <c r="N131" s="106" t="s">
        <v>223</v>
      </c>
      <c r="O131" s="107"/>
      <c r="P131" s="106" t="s">
        <v>428</v>
      </c>
    </row>
    <row r="132" spans="1:16" outlineLevel="2" x14ac:dyDescent="0.3">
      <c r="A132" s="105" t="s">
        <v>429</v>
      </c>
      <c r="B132" s="106"/>
      <c r="C132" s="106"/>
      <c r="D132" s="106"/>
      <c r="E132" s="106" t="s">
        <v>430</v>
      </c>
      <c r="F132" s="106" t="s">
        <v>431</v>
      </c>
      <c r="G132" s="105">
        <v>4</v>
      </c>
      <c r="H132" s="106" t="s">
        <v>7</v>
      </c>
      <c r="I132" s="105" t="s">
        <v>39</v>
      </c>
      <c r="J132" s="105"/>
      <c r="K132" s="105"/>
      <c r="L132" s="105"/>
      <c r="M132" s="106" t="s">
        <v>432</v>
      </c>
      <c r="N132" s="106" t="s">
        <v>40</v>
      </c>
      <c r="O132" s="107"/>
      <c r="P132" s="106" t="s">
        <v>433</v>
      </c>
    </row>
    <row r="133" spans="1:16" outlineLevel="2" x14ac:dyDescent="0.3">
      <c r="A133" s="105" t="s">
        <v>434</v>
      </c>
      <c r="B133" s="106"/>
      <c r="C133" s="106"/>
      <c r="D133" s="106"/>
      <c r="E133" s="106" t="s">
        <v>435</v>
      </c>
      <c r="F133" s="106" t="s">
        <v>436</v>
      </c>
      <c r="G133" s="105">
        <v>4</v>
      </c>
      <c r="H133" s="106" t="s">
        <v>7</v>
      </c>
      <c r="I133" s="105" t="s">
        <v>39</v>
      </c>
      <c r="J133" s="105"/>
      <c r="K133" s="105"/>
      <c r="L133" s="105"/>
      <c r="M133" s="106" t="s">
        <v>437</v>
      </c>
      <c r="N133" s="106" t="s">
        <v>40</v>
      </c>
      <c r="O133" s="107"/>
      <c r="P133" s="106" t="s">
        <v>438</v>
      </c>
    </row>
    <row r="134" spans="1:16" outlineLevel="2" x14ac:dyDescent="0.3">
      <c r="A134" s="105" t="s">
        <v>439</v>
      </c>
      <c r="B134" s="106"/>
      <c r="C134" s="106"/>
      <c r="D134" s="106"/>
      <c r="E134" s="106" t="s">
        <v>440</v>
      </c>
      <c r="F134" s="106" t="s">
        <v>441</v>
      </c>
      <c r="G134" s="105">
        <v>4</v>
      </c>
      <c r="H134" s="106" t="s">
        <v>7</v>
      </c>
      <c r="I134" s="105" t="s">
        <v>39</v>
      </c>
      <c r="J134" s="105"/>
      <c r="K134" s="105"/>
      <c r="L134" s="105"/>
      <c r="M134" s="106" t="s">
        <v>442</v>
      </c>
      <c r="N134" s="106" t="s">
        <v>287</v>
      </c>
      <c r="O134" s="107"/>
      <c r="P134" s="106" t="s">
        <v>443</v>
      </c>
    </row>
    <row r="135" spans="1:16" outlineLevel="2" x14ac:dyDescent="0.3">
      <c r="A135" s="105" t="s">
        <v>444</v>
      </c>
      <c r="B135" s="106"/>
      <c r="C135" s="106"/>
      <c r="D135" s="106"/>
      <c r="E135" s="106" t="s">
        <v>445</v>
      </c>
      <c r="F135" s="106" t="s">
        <v>13</v>
      </c>
      <c r="G135" s="105">
        <v>4</v>
      </c>
      <c r="H135" s="106" t="s">
        <v>7</v>
      </c>
      <c r="I135" s="105"/>
      <c r="J135" s="105"/>
      <c r="K135" s="105"/>
      <c r="L135" s="105"/>
      <c r="M135" s="106" t="s">
        <v>446</v>
      </c>
      <c r="N135" s="106" t="s">
        <v>40</v>
      </c>
      <c r="O135" s="107" t="s">
        <v>447</v>
      </c>
      <c r="P135" s="106" t="s">
        <v>448</v>
      </c>
    </row>
    <row r="136" spans="1:16" outlineLevel="2" x14ac:dyDescent="0.3">
      <c r="A136" s="105" t="s">
        <v>449</v>
      </c>
      <c r="B136" s="106"/>
      <c r="C136" s="106"/>
      <c r="D136" s="106"/>
      <c r="E136" s="106" t="s">
        <v>450</v>
      </c>
      <c r="F136" s="106" t="s">
        <v>451</v>
      </c>
      <c r="G136" s="105">
        <v>4</v>
      </c>
      <c r="H136" s="106" t="s">
        <v>7</v>
      </c>
      <c r="I136" s="105" t="s">
        <v>39</v>
      </c>
      <c r="J136" s="105"/>
      <c r="K136" s="105"/>
      <c r="L136" s="105"/>
      <c r="M136" s="106" t="s">
        <v>452</v>
      </c>
      <c r="N136" s="106" t="s">
        <v>40</v>
      </c>
      <c r="O136" s="107"/>
      <c r="P136" s="106" t="s">
        <v>453</v>
      </c>
    </row>
    <row r="137" spans="1:16" outlineLevel="2" x14ac:dyDescent="0.3">
      <c r="A137" s="105" t="s">
        <v>454</v>
      </c>
      <c r="B137" s="106"/>
      <c r="C137" s="106"/>
      <c r="D137" s="106"/>
      <c r="E137" s="106" t="s">
        <v>455</v>
      </c>
      <c r="F137" s="106" t="s">
        <v>456</v>
      </c>
      <c r="G137" s="105">
        <v>4</v>
      </c>
      <c r="H137" s="106" t="s">
        <v>7</v>
      </c>
      <c r="I137" s="105" t="s">
        <v>39</v>
      </c>
      <c r="J137" s="105"/>
      <c r="K137" s="105"/>
      <c r="L137" s="105"/>
      <c r="M137" s="106" t="s">
        <v>457</v>
      </c>
      <c r="N137" s="106" t="s">
        <v>40</v>
      </c>
      <c r="O137" s="107" t="s">
        <v>332</v>
      </c>
      <c r="P137" s="106" t="s">
        <v>458</v>
      </c>
    </row>
    <row r="138" spans="1:16" outlineLevel="2" x14ac:dyDescent="0.3">
      <c r="A138" s="105" t="s">
        <v>459</v>
      </c>
      <c r="B138" s="106"/>
      <c r="C138" s="106"/>
      <c r="D138" s="106"/>
      <c r="E138" s="106" t="s">
        <v>460</v>
      </c>
      <c r="F138" s="106" t="s">
        <v>461</v>
      </c>
      <c r="G138" s="105">
        <v>4</v>
      </c>
      <c r="H138" s="106" t="s">
        <v>7</v>
      </c>
      <c r="I138" s="105" t="s">
        <v>39</v>
      </c>
      <c r="J138" s="105"/>
      <c r="K138" s="105"/>
      <c r="L138" s="105"/>
      <c r="M138" s="106" t="s">
        <v>462</v>
      </c>
      <c r="N138" s="106" t="s">
        <v>40</v>
      </c>
      <c r="O138" s="107"/>
      <c r="P138" s="106" t="s">
        <v>463</v>
      </c>
    </row>
    <row r="139" spans="1:16" outlineLevel="2" x14ac:dyDescent="0.3">
      <c r="A139" s="105" t="s">
        <v>464</v>
      </c>
      <c r="B139" s="106"/>
      <c r="C139" s="106"/>
      <c r="D139" s="106"/>
      <c r="E139" s="106" t="s">
        <v>465</v>
      </c>
      <c r="F139" s="106" t="s">
        <v>466</v>
      </c>
      <c r="G139" s="105">
        <v>4</v>
      </c>
      <c r="H139" s="106" t="s">
        <v>7</v>
      </c>
      <c r="I139" s="105" t="s">
        <v>39</v>
      </c>
      <c r="J139" s="105"/>
      <c r="K139" s="105"/>
      <c r="L139" s="105"/>
      <c r="M139" s="106" t="s">
        <v>467</v>
      </c>
      <c r="N139" s="106" t="s">
        <v>40</v>
      </c>
      <c r="O139" s="107"/>
      <c r="P139" s="106" t="s">
        <v>468</v>
      </c>
    </row>
    <row r="140" spans="1:16" outlineLevel="2" x14ac:dyDescent="0.3">
      <c r="A140" s="105" t="s">
        <v>469</v>
      </c>
      <c r="B140" s="106"/>
      <c r="C140" s="106"/>
      <c r="D140" s="106"/>
      <c r="E140" s="106" t="s">
        <v>470</v>
      </c>
      <c r="F140" s="106" t="s">
        <v>471</v>
      </c>
      <c r="G140" s="105">
        <v>4</v>
      </c>
      <c r="H140" s="106" t="s">
        <v>7</v>
      </c>
      <c r="I140" s="105" t="s">
        <v>39</v>
      </c>
      <c r="J140" s="105"/>
      <c r="K140" s="105"/>
      <c r="L140" s="105"/>
      <c r="M140" s="106" t="s">
        <v>472</v>
      </c>
      <c r="N140" s="106" t="s">
        <v>40</v>
      </c>
      <c r="O140" s="107"/>
      <c r="P140" s="106" t="s">
        <v>473</v>
      </c>
    </row>
    <row r="141" spans="1:16" outlineLevel="2" x14ac:dyDescent="0.3">
      <c r="A141" s="105" t="s">
        <v>474</v>
      </c>
      <c r="B141" s="106"/>
      <c r="C141" s="106"/>
      <c r="D141" s="106"/>
      <c r="E141" s="106" t="s">
        <v>475</v>
      </c>
      <c r="F141" s="106" t="s">
        <v>476</v>
      </c>
      <c r="G141" s="105">
        <v>4</v>
      </c>
      <c r="H141" s="106" t="s">
        <v>7</v>
      </c>
      <c r="I141" s="105" t="s">
        <v>39</v>
      </c>
      <c r="J141" s="105"/>
      <c r="K141" s="105"/>
      <c r="L141" s="105"/>
      <c r="M141" s="106" t="s">
        <v>477</v>
      </c>
      <c r="N141" s="106" t="s">
        <v>40</v>
      </c>
      <c r="O141" s="107"/>
      <c r="P141" s="106" t="s">
        <v>478</v>
      </c>
    </row>
    <row r="142" spans="1:16" outlineLevel="2" x14ac:dyDescent="0.3">
      <c r="A142" s="105" t="s">
        <v>479</v>
      </c>
      <c r="B142" s="106"/>
      <c r="C142" s="106"/>
      <c r="D142" s="106"/>
      <c r="E142" s="106" t="s">
        <v>480</v>
      </c>
      <c r="F142" s="106" t="s">
        <v>481</v>
      </c>
      <c r="G142" s="105">
        <v>4</v>
      </c>
      <c r="H142" s="106" t="s">
        <v>7</v>
      </c>
      <c r="I142" s="105" t="s">
        <v>39</v>
      </c>
      <c r="J142" s="105"/>
      <c r="K142" s="105"/>
      <c r="L142" s="105"/>
      <c r="M142" s="106"/>
      <c r="N142" s="106" t="s">
        <v>287</v>
      </c>
      <c r="O142" s="107"/>
      <c r="P142" s="106" t="s">
        <v>482</v>
      </c>
    </row>
    <row r="143" spans="1:16" outlineLevel="2" x14ac:dyDescent="0.3">
      <c r="A143" s="105" t="s">
        <v>483</v>
      </c>
      <c r="B143" s="106"/>
      <c r="C143" s="106"/>
      <c r="D143" s="106"/>
      <c r="E143" s="106" t="s">
        <v>484</v>
      </c>
      <c r="F143" s="106" t="s">
        <v>485</v>
      </c>
      <c r="G143" s="105">
        <v>4</v>
      </c>
      <c r="H143" s="106" t="s">
        <v>7</v>
      </c>
      <c r="I143" s="105" t="s">
        <v>39</v>
      </c>
      <c r="J143" s="105"/>
      <c r="K143" s="105"/>
      <c r="L143" s="105"/>
      <c r="M143" s="106" t="s">
        <v>486</v>
      </c>
      <c r="N143" s="106" t="s">
        <v>40</v>
      </c>
      <c r="O143" s="107"/>
      <c r="P143" s="106" t="s">
        <v>487</v>
      </c>
    </row>
    <row r="144" spans="1:16" outlineLevel="2" x14ac:dyDescent="0.3">
      <c r="A144" s="105" t="s">
        <v>488</v>
      </c>
      <c r="B144" s="106"/>
      <c r="C144" s="106"/>
      <c r="D144" s="106"/>
      <c r="E144" s="106" t="s">
        <v>489</v>
      </c>
      <c r="F144" s="106" t="s">
        <v>490</v>
      </c>
      <c r="G144" s="105">
        <v>4</v>
      </c>
      <c r="H144" s="106" t="s">
        <v>7</v>
      </c>
      <c r="I144" s="105" t="s">
        <v>39</v>
      </c>
      <c r="J144" s="105"/>
      <c r="K144" s="105"/>
      <c r="L144" s="105"/>
      <c r="M144" s="106" t="s">
        <v>491</v>
      </c>
      <c r="N144" s="106" t="s">
        <v>40</v>
      </c>
      <c r="O144" s="107"/>
      <c r="P144" s="106" t="s">
        <v>492</v>
      </c>
    </row>
    <row r="145" spans="1:16" outlineLevel="2" x14ac:dyDescent="0.3">
      <c r="A145" s="105" t="s">
        <v>493</v>
      </c>
      <c r="B145" s="106"/>
      <c r="C145" s="106"/>
      <c r="D145" s="106"/>
      <c r="E145" s="106" t="s">
        <v>494</v>
      </c>
      <c r="F145" s="106" t="s">
        <v>495</v>
      </c>
      <c r="G145" s="105">
        <v>4</v>
      </c>
      <c r="H145" s="106" t="s">
        <v>7</v>
      </c>
      <c r="I145" s="105" t="s">
        <v>39</v>
      </c>
      <c r="J145" s="105"/>
      <c r="K145" s="105"/>
      <c r="L145" s="105"/>
      <c r="M145" s="106"/>
      <c r="N145" s="106" t="s">
        <v>287</v>
      </c>
      <c r="O145" s="107"/>
      <c r="P145" s="106"/>
    </row>
    <row r="146" spans="1:16" outlineLevel="2" x14ac:dyDescent="0.3">
      <c r="A146" s="105" t="s">
        <v>496</v>
      </c>
      <c r="B146" s="106"/>
      <c r="C146" s="106"/>
      <c r="D146" s="106"/>
      <c r="E146" s="106" t="s">
        <v>497</v>
      </c>
      <c r="F146" s="106" t="s">
        <v>498</v>
      </c>
      <c r="G146" s="105">
        <v>4</v>
      </c>
      <c r="H146" s="106" t="s">
        <v>7</v>
      </c>
      <c r="I146" s="105" t="s">
        <v>39</v>
      </c>
      <c r="J146" s="105"/>
      <c r="K146" s="105"/>
      <c r="L146" s="105"/>
      <c r="M146" s="106" t="s">
        <v>499</v>
      </c>
      <c r="N146" s="106" t="s">
        <v>223</v>
      </c>
      <c r="O146" s="107"/>
      <c r="P146" s="106" t="s">
        <v>500</v>
      </c>
    </row>
    <row r="147" spans="1:16" outlineLevel="2" x14ac:dyDescent="0.3">
      <c r="A147" s="105" t="s">
        <v>501</v>
      </c>
      <c r="B147" s="106"/>
      <c r="C147" s="106"/>
      <c r="D147" s="106"/>
      <c r="E147" s="106" t="s">
        <v>502</v>
      </c>
      <c r="F147" s="106" t="s">
        <v>503</v>
      </c>
      <c r="G147" s="105">
        <v>4</v>
      </c>
      <c r="H147" s="106" t="s">
        <v>7</v>
      </c>
      <c r="I147" s="105" t="s">
        <v>39</v>
      </c>
      <c r="J147" s="105"/>
      <c r="K147" s="105"/>
      <c r="L147" s="105"/>
      <c r="M147" s="106" t="s">
        <v>504</v>
      </c>
      <c r="N147" s="106" t="s">
        <v>40</v>
      </c>
      <c r="O147" s="107"/>
      <c r="P147" s="106" t="s">
        <v>505</v>
      </c>
    </row>
    <row r="148" spans="1:16" outlineLevel="2" x14ac:dyDescent="0.3">
      <c r="A148" s="105" t="s">
        <v>506</v>
      </c>
      <c r="B148" s="106"/>
      <c r="C148" s="106"/>
      <c r="D148" s="106"/>
      <c r="E148" s="106" t="s">
        <v>507</v>
      </c>
      <c r="F148" s="106" t="s">
        <v>508</v>
      </c>
      <c r="G148" s="105">
        <v>4</v>
      </c>
      <c r="H148" s="106" t="s">
        <v>7</v>
      </c>
      <c r="I148" s="105" t="s">
        <v>39</v>
      </c>
      <c r="J148" s="105"/>
      <c r="K148" s="105"/>
      <c r="L148" s="105"/>
      <c r="M148" s="106"/>
      <c r="N148" s="106" t="s">
        <v>287</v>
      </c>
      <c r="O148" s="107"/>
      <c r="P148" s="106"/>
    </row>
    <row r="149" spans="1:16" outlineLevel="2" x14ac:dyDescent="0.3">
      <c r="A149" s="105" t="s">
        <v>509</v>
      </c>
      <c r="B149" s="106"/>
      <c r="C149" s="106"/>
      <c r="D149" s="106"/>
      <c r="E149" s="106" t="s">
        <v>510</v>
      </c>
      <c r="F149" s="106" t="s">
        <v>511</v>
      </c>
      <c r="G149" s="105">
        <v>4</v>
      </c>
      <c r="H149" s="106" t="s">
        <v>7</v>
      </c>
      <c r="I149" s="105" t="s">
        <v>39</v>
      </c>
      <c r="J149" s="105"/>
      <c r="K149" s="105"/>
      <c r="L149" s="105"/>
      <c r="M149" s="106" t="s">
        <v>512</v>
      </c>
      <c r="N149" s="106" t="s">
        <v>513</v>
      </c>
      <c r="O149" s="107" t="s">
        <v>332</v>
      </c>
      <c r="P149" s="106"/>
    </row>
    <row r="150" spans="1:16" outlineLevel="2" x14ac:dyDescent="0.3">
      <c r="A150" s="105" t="s">
        <v>514</v>
      </c>
      <c r="B150" s="106"/>
      <c r="C150" s="106"/>
      <c r="D150" s="106"/>
      <c r="E150" s="106" t="s">
        <v>510</v>
      </c>
      <c r="F150" s="106" t="s">
        <v>515</v>
      </c>
      <c r="G150" s="105">
        <v>4</v>
      </c>
      <c r="H150" s="106" t="s">
        <v>7</v>
      </c>
      <c r="I150" s="105" t="s">
        <v>39</v>
      </c>
      <c r="J150" s="105"/>
      <c r="K150" s="105"/>
      <c r="L150" s="105"/>
      <c r="M150" s="106" t="s">
        <v>516</v>
      </c>
      <c r="N150" s="106" t="s">
        <v>40</v>
      </c>
      <c r="O150" s="107"/>
      <c r="P150" s="106" t="s">
        <v>517</v>
      </c>
    </row>
    <row r="151" spans="1:16" outlineLevel="2" x14ac:dyDescent="0.3">
      <c r="A151" s="105" t="s">
        <v>518</v>
      </c>
      <c r="B151" s="106"/>
      <c r="C151" s="106"/>
      <c r="D151" s="106"/>
      <c r="E151" s="106" t="s">
        <v>519</v>
      </c>
      <c r="F151" s="106" t="s">
        <v>520</v>
      </c>
      <c r="G151" s="105">
        <v>4</v>
      </c>
      <c r="H151" s="106" t="s">
        <v>7</v>
      </c>
      <c r="I151" s="105" t="s">
        <v>39</v>
      </c>
      <c r="J151" s="105"/>
      <c r="K151" s="105"/>
      <c r="L151" s="105"/>
      <c r="M151" s="106"/>
      <c r="N151" s="106" t="s">
        <v>287</v>
      </c>
      <c r="O151" s="107"/>
      <c r="P151" s="106"/>
    </row>
    <row r="152" spans="1:16" outlineLevel="2" x14ac:dyDescent="0.3">
      <c r="A152" s="105" t="s">
        <v>521</v>
      </c>
      <c r="B152" s="106"/>
      <c r="C152" s="106"/>
      <c r="D152" s="106"/>
      <c r="E152" s="106" t="s">
        <v>522</v>
      </c>
      <c r="F152" s="106" t="s">
        <v>523</v>
      </c>
      <c r="G152" s="105">
        <v>4</v>
      </c>
      <c r="H152" s="106" t="s">
        <v>7</v>
      </c>
      <c r="I152" s="105" t="s">
        <v>39</v>
      </c>
      <c r="J152" s="105"/>
      <c r="K152" s="105"/>
      <c r="L152" s="105"/>
      <c r="M152" s="106" t="s">
        <v>524</v>
      </c>
      <c r="N152" s="106" t="s">
        <v>40</v>
      </c>
      <c r="O152" s="107"/>
      <c r="P152" s="106" t="s">
        <v>525</v>
      </c>
    </row>
    <row r="153" spans="1:16" outlineLevel="2" x14ac:dyDescent="0.3">
      <c r="A153" s="105" t="s">
        <v>526</v>
      </c>
      <c r="B153" s="106"/>
      <c r="C153" s="106"/>
      <c r="D153" s="106"/>
      <c r="E153" s="106" t="s">
        <v>527</v>
      </c>
      <c r="F153" s="106" t="s">
        <v>528</v>
      </c>
      <c r="G153" s="105">
        <v>4</v>
      </c>
      <c r="H153" s="106" t="s">
        <v>7</v>
      </c>
      <c r="I153" s="105" t="s">
        <v>39</v>
      </c>
      <c r="J153" s="105"/>
      <c r="K153" s="105"/>
      <c r="L153" s="105"/>
      <c r="M153" s="106"/>
      <c r="N153" s="106" t="s">
        <v>287</v>
      </c>
      <c r="O153" s="107"/>
      <c r="P153" s="106"/>
    </row>
    <row r="154" spans="1:16" outlineLevel="2" x14ac:dyDescent="0.3">
      <c r="A154" s="105" t="s">
        <v>529</v>
      </c>
      <c r="B154" s="106"/>
      <c r="C154" s="106"/>
      <c r="D154" s="106"/>
      <c r="E154" s="106" t="s">
        <v>530</v>
      </c>
      <c r="F154" s="106" t="s">
        <v>531</v>
      </c>
      <c r="G154" s="105">
        <v>4</v>
      </c>
      <c r="H154" s="106" t="s">
        <v>7</v>
      </c>
      <c r="I154" s="105" t="s">
        <v>39</v>
      </c>
      <c r="J154" s="105"/>
      <c r="K154" s="105"/>
      <c r="L154" s="105"/>
      <c r="M154" s="106"/>
      <c r="N154" s="106" t="s">
        <v>287</v>
      </c>
      <c r="O154" s="107"/>
      <c r="P154" s="106"/>
    </row>
    <row r="155" spans="1:16" outlineLevel="2" x14ac:dyDescent="0.3">
      <c r="A155" s="105" t="s">
        <v>532</v>
      </c>
      <c r="B155" s="106"/>
      <c r="C155" s="106"/>
      <c r="D155" s="106"/>
      <c r="E155" s="106" t="s">
        <v>533</v>
      </c>
      <c r="F155" s="106" t="s">
        <v>534</v>
      </c>
      <c r="G155" s="105">
        <v>4</v>
      </c>
      <c r="H155" s="106" t="s">
        <v>7</v>
      </c>
      <c r="I155" s="105" t="s">
        <v>39</v>
      </c>
      <c r="J155" s="105"/>
      <c r="K155" s="105"/>
      <c r="L155" s="105"/>
      <c r="M155" s="106"/>
      <c r="N155" s="106" t="s">
        <v>287</v>
      </c>
      <c r="O155" s="107"/>
      <c r="P155" s="106"/>
    </row>
    <row r="156" spans="1:16" outlineLevel="2" x14ac:dyDescent="0.3">
      <c r="A156" s="105" t="s">
        <v>535</v>
      </c>
      <c r="B156" s="106"/>
      <c r="C156" s="106"/>
      <c r="D156" s="106"/>
      <c r="E156" s="106" t="s">
        <v>536</v>
      </c>
      <c r="F156" s="106" t="s">
        <v>537</v>
      </c>
      <c r="G156" s="105">
        <v>4</v>
      </c>
      <c r="H156" s="106" t="s">
        <v>7</v>
      </c>
      <c r="I156" s="105" t="s">
        <v>39</v>
      </c>
      <c r="J156" s="105"/>
      <c r="K156" s="105"/>
      <c r="L156" s="105"/>
      <c r="M156" s="106"/>
      <c r="N156" s="106" t="s">
        <v>287</v>
      </c>
      <c r="O156" s="107"/>
      <c r="P156" s="106"/>
    </row>
    <row r="157" spans="1:16" outlineLevel="2" x14ac:dyDescent="0.3">
      <c r="A157" s="105" t="s">
        <v>538</v>
      </c>
      <c r="B157" s="106"/>
      <c r="C157" s="106"/>
      <c r="D157" s="106"/>
      <c r="E157" s="106" t="s">
        <v>539</v>
      </c>
      <c r="F157" s="106" t="s">
        <v>540</v>
      </c>
      <c r="G157" s="105">
        <v>4</v>
      </c>
      <c r="H157" s="106" t="s">
        <v>7</v>
      </c>
      <c r="I157" s="105" t="s">
        <v>39</v>
      </c>
      <c r="J157" s="105"/>
      <c r="K157" s="105"/>
      <c r="L157" s="105"/>
      <c r="M157" s="106" t="s">
        <v>541</v>
      </c>
      <c r="N157" s="106" t="s">
        <v>287</v>
      </c>
      <c r="O157" s="107"/>
      <c r="P157" s="106" t="s">
        <v>542</v>
      </c>
    </row>
    <row r="158" spans="1:16" outlineLevel="2" x14ac:dyDescent="0.3">
      <c r="A158" s="105" t="s">
        <v>543</v>
      </c>
      <c r="B158" s="106"/>
      <c r="C158" s="106"/>
      <c r="D158" s="106"/>
      <c r="E158" s="106" t="s">
        <v>544</v>
      </c>
      <c r="F158" s="106" t="s">
        <v>545</v>
      </c>
      <c r="G158" s="105">
        <v>4</v>
      </c>
      <c r="H158" s="106" t="s">
        <v>7</v>
      </c>
      <c r="I158" s="105" t="s">
        <v>39</v>
      </c>
      <c r="J158" s="105"/>
      <c r="K158" s="105"/>
      <c r="L158" s="105"/>
      <c r="M158" s="106"/>
      <c r="N158" s="106" t="s">
        <v>287</v>
      </c>
      <c r="O158" s="107"/>
      <c r="P158" s="106"/>
    </row>
    <row r="159" spans="1:16" outlineLevel="2" x14ac:dyDescent="0.3">
      <c r="A159" s="105" t="s">
        <v>546</v>
      </c>
      <c r="B159" s="106"/>
      <c r="C159" s="106"/>
      <c r="D159" s="106"/>
      <c r="E159" s="106" t="s">
        <v>544</v>
      </c>
      <c r="F159" s="106" t="s">
        <v>547</v>
      </c>
      <c r="G159" s="105">
        <v>4</v>
      </c>
      <c r="H159" s="106" t="s">
        <v>7</v>
      </c>
      <c r="I159" s="105" t="s">
        <v>39</v>
      </c>
      <c r="J159" s="105"/>
      <c r="K159" s="105"/>
      <c r="L159" s="105"/>
      <c r="M159" s="106"/>
      <c r="N159" s="106" t="s">
        <v>287</v>
      </c>
      <c r="O159" s="107"/>
      <c r="P159" s="106"/>
    </row>
    <row r="160" spans="1:16" outlineLevel="2" x14ac:dyDescent="0.3">
      <c r="A160" s="105" t="s">
        <v>548</v>
      </c>
      <c r="B160" s="106"/>
      <c r="C160" s="106"/>
      <c r="D160" s="106"/>
      <c r="E160" s="106" t="s">
        <v>544</v>
      </c>
      <c r="F160" s="106" t="s">
        <v>549</v>
      </c>
      <c r="G160" s="105">
        <v>4</v>
      </c>
      <c r="H160" s="106" t="s">
        <v>7</v>
      </c>
      <c r="I160" s="105" t="s">
        <v>39</v>
      </c>
      <c r="J160" s="105"/>
      <c r="K160" s="105"/>
      <c r="L160" s="105"/>
      <c r="M160" s="106"/>
      <c r="N160" s="106" t="s">
        <v>287</v>
      </c>
      <c r="O160" s="107"/>
      <c r="P160" s="106"/>
    </row>
    <row r="161" spans="1:16" outlineLevel="2" x14ac:dyDescent="0.3">
      <c r="A161" s="105" t="s">
        <v>550</v>
      </c>
      <c r="B161" s="106"/>
      <c r="C161" s="106"/>
      <c r="D161" s="106"/>
      <c r="E161" s="106" t="s">
        <v>544</v>
      </c>
      <c r="F161" s="106" t="s">
        <v>551</v>
      </c>
      <c r="G161" s="105">
        <v>4</v>
      </c>
      <c r="H161" s="106" t="s">
        <v>7</v>
      </c>
      <c r="I161" s="105" t="s">
        <v>39</v>
      </c>
      <c r="J161" s="105"/>
      <c r="K161" s="105"/>
      <c r="L161" s="105"/>
      <c r="M161" s="106"/>
      <c r="N161" s="106" t="s">
        <v>287</v>
      </c>
      <c r="O161" s="107"/>
      <c r="P161" s="106"/>
    </row>
    <row r="162" spans="1:16" outlineLevel="2" x14ac:dyDescent="0.3">
      <c r="A162" s="105" t="s">
        <v>552</v>
      </c>
      <c r="B162" s="106"/>
      <c r="C162" s="106"/>
      <c r="D162" s="106"/>
      <c r="E162" s="106" t="s">
        <v>544</v>
      </c>
      <c r="F162" s="106" t="s">
        <v>553</v>
      </c>
      <c r="G162" s="105">
        <v>4</v>
      </c>
      <c r="H162" s="106" t="s">
        <v>7</v>
      </c>
      <c r="I162" s="105" t="s">
        <v>39</v>
      </c>
      <c r="J162" s="105"/>
      <c r="K162" s="105"/>
      <c r="L162" s="105"/>
      <c r="M162" s="106"/>
      <c r="N162" s="106" t="s">
        <v>287</v>
      </c>
      <c r="O162" s="107"/>
      <c r="P162" s="106"/>
    </row>
    <row r="163" spans="1:16" outlineLevel="2" x14ac:dyDescent="0.3">
      <c r="A163" s="105" t="s">
        <v>554</v>
      </c>
      <c r="B163" s="106"/>
      <c r="C163" s="106"/>
      <c r="D163" s="106"/>
      <c r="E163" s="106" t="s">
        <v>544</v>
      </c>
      <c r="F163" s="106" t="s">
        <v>555</v>
      </c>
      <c r="G163" s="105">
        <v>4</v>
      </c>
      <c r="H163" s="106" t="s">
        <v>7</v>
      </c>
      <c r="I163" s="105" t="s">
        <v>39</v>
      </c>
      <c r="J163" s="105"/>
      <c r="K163" s="105"/>
      <c r="L163" s="105"/>
      <c r="M163" s="106"/>
      <c r="N163" s="106" t="s">
        <v>287</v>
      </c>
      <c r="O163" s="107"/>
      <c r="P163" s="106"/>
    </row>
    <row r="164" spans="1:16" outlineLevel="2" x14ac:dyDescent="0.3">
      <c r="A164" s="105" t="s">
        <v>556</v>
      </c>
      <c r="B164" s="106"/>
      <c r="C164" s="106"/>
      <c r="D164" s="106"/>
      <c r="E164" s="106" t="s">
        <v>557</v>
      </c>
      <c r="F164" s="106" t="s">
        <v>558</v>
      </c>
      <c r="G164" s="105">
        <v>4</v>
      </c>
      <c r="H164" s="106" t="s">
        <v>7</v>
      </c>
      <c r="I164" s="105" t="s">
        <v>39</v>
      </c>
      <c r="J164" s="105"/>
      <c r="K164" s="105"/>
      <c r="L164" s="105"/>
      <c r="M164" s="106" t="s">
        <v>559</v>
      </c>
      <c r="N164" s="106" t="s">
        <v>287</v>
      </c>
      <c r="O164" s="107"/>
      <c r="P164" s="106" t="s">
        <v>560</v>
      </c>
    </row>
    <row r="165" spans="1:16" outlineLevel="2" x14ac:dyDescent="0.3">
      <c r="A165" s="105" t="s">
        <v>561</v>
      </c>
      <c r="B165" s="106"/>
      <c r="C165" s="106"/>
      <c r="D165" s="106"/>
      <c r="E165" s="106" t="s">
        <v>557</v>
      </c>
      <c r="F165" s="106" t="s">
        <v>562</v>
      </c>
      <c r="G165" s="105">
        <v>4</v>
      </c>
      <c r="H165" s="106" t="s">
        <v>7</v>
      </c>
      <c r="I165" s="105" t="s">
        <v>39</v>
      </c>
      <c r="J165" s="105"/>
      <c r="K165" s="105"/>
      <c r="L165" s="105"/>
      <c r="M165" s="106" t="s">
        <v>563</v>
      </c>
      <c r="N165" s="106" t="s">
        <v>287</v>
      </c>
      <c r="O165" s="107"/>
      <c r="P165" s="106"/>
    </row>
    <row r="166" spans="1:16" outlineLevel="2" x14ac:dyDescent="0.3">
      <c r="A166" s="105" t="s">
        <v>564</v>
      </c>
      <c r="B166" s="106"/>
      <c r="C166" s="106"/>
      <c r="D166" s="106"/>
      <c r="E166" s="106" t="s">
        <v>565</v>
      </c>
      <c r="F166" s="106" t="s">
        <v>566</v>
      </c>
      <c r="G166" s="105">
        <v>4</v>
      </c>
      <c r="H166" s="106" t="s">
        <v>7</v>
      </c>
      <c r="I166" s="105" t="s">
        <v>39</v>
      </c>
      <c r="J166" s="105"/>
      <c r="K166" s="105"/>
      <c r="L166" s="105"/>
      <c r="M166" s="106"/>
      <c r="N166" s="106" t="s">
        <v>287</v>
      </c>
      <c r="O166" s="107"/>
      <c r="P166" s="106"/>
    </row>
    <row r="167" spans="1:16" outlineLevel="2" x14ac:dyDescent="0.3">
      <c r="A167" s="105" t="s">
        <v>567</v>
      </c>
      <c r="B167" s="106"/>
      <c r="C167" s="106"/>
      <c r="D167" s="106"/>
      <c r="E167" s="106" t="s">
        <v>568</v>
      </c>
      <c r="F167" s="106" t="s">
        <v>569</v>
      </c>
      <c r="G167" s="105">
        <v>4</v>
      </c>
      <c r="H167" s="106" t="s">
        <v>7</v>
      </c>
      <c r="I167" s="105" t="s">
        <v>39</v>
      </c>
      <c r="J167" s="105"/>
      <c r="K167" s="105"/>
      <c r="L167" s="105"/>
      <c r="M167" s="106"/>
      <c r="N167" s="106" t="s">
        <v>287</v>
      </c>
      <c r="O167" s="107"/>
      <c r="P167" s="106"/>
    </row>
    <row r="168" spans="1:16" outlineLevel="2" x14ac:dyDescent="0.3">
      <c r="A168" s="105" t="s">
        <v>570</v>
      </c>
      <c r="B168" s="106"/>
      <c r="C168" s="106"/>
      <c r="D168" s="106"/>
      <c r="E168" s="106" t="s">
        <v>571</v>
      </c>
      <c r="F168" s="106" t="s">
        <v>572</v>
      </c>
      <c r="G168" s="105">
        <v>4</v>
      </c>
      <c r="H168" s="106" t="s">
        <v>7</v>
      </c>
      <c r="I168" s="105" t="s">
        <v>39</v>
      </c>
      <c r="J168" s="105"/>
      <c r="K168" s="105"/>
      <c r="L168" s="105"/>
      <c r="M168" s="106"/>
      <c r="N168" s="106" t="s">
        <v>287</v>
      </c>
      <c r="O168" s="107"/>
      <c r="P168" s="106"/>
    </row>
    <row r="169" spans="1:16" outlineLevel="2" x14ac:dyDescent="0.3">
      <c r="A169" s="105" t="s">
        <v>573</v>
      </c>
      <c r="B169" s="106"/>
      <c r="C169" s="106"/>
      <c r="D169" s="106"/>
      <c r="E169" s="106" t="s">
        <v>574</v>
      </c>
      <c r="F169" s="106" t="s">
        <v>575</v>
      </c>
      <c r="G169" s="105">
        <v>4</v>
      </c>
      <c r="H169" s="106" t="s">
        <v>7</v>
      </c>
      <c r="I169" s="105" t="s">
        <v>39</v>
      </c>
      <c r="J169" s="105"/>
      <c r="K169" s="105"/>
      <c r="L169" s="105"/>
      <c r="M169" s="106"/>
      <c r="N169" s="106" t="s">
        <v>287</v>
      </c>
      <c r="O169" s="107"/>
      <c r="P169" s="106" t="s">
        <v>576</v>
      </c>
    </row>
    <row r="170" spans="1:16" outlineLevel="2" x14ac:dyDescent="0.3">
      <c r="A170" s="105" t="s">
        <v>577</v>
      </c>
      <c r="B170" s="106"/>
      <c r="C170" s="106"/>
      <c r="D170" s="106"/>
      <c r="E170" s="106" t="s">
        <v>574</v>
      </c>
      <c r="F170" s="106" t="s">
        <v>578</v>
      </c>
      <c r="G170" s="105">
        <v>4</v>
      </c>
      <c r="H170" s="106" t="s">
        <v>7</v>
      </c>
      <c r="I170" s="105" t="s">
        <v>39</v>
      </c>
      <c r="J170" s="105"/>
      <c r="K170" s="105"/>
      <c r="L170" s="105"/>
      <c r="M170" s="106"/>
      <c r="N170" s="106" t="s">
        <v>287</v>
      </c>
      <c r="O170" s="107"/>
      <c r="P170" s="106" t="s">
        <v>579</v>
      </c>
    </row>
    <row r="171" spans="1:16" outlineLevel="2" x14ac:dyDescent="0.3">
      <c r="A171" s="105" t="s">
        <v>580</v>
      </c>
      <c r="B171" s="106"/>
      <c r="C171" s="106"/>
      <c r="D171" s="106"/>
      <c r="E171" s="106" t="s">
        <v>581</v>
      </c>
      <c r="F171" s="106" t="s">
        <v>582</v>
      </c>
      <c r="G171" s="105">
        <v>4</v>
      </c>
      <c r="H171" s="106" t="s">
        <v>7</v>
      </c>
      <c r="I171" s="105" t="s">
        <v>39</v>
      </c>
      <c r="J171" s="105"/>
      <c r="K171" s="105"/>
      <c r="L171" s="105"/>
      <c r="M171" s="106" t="s">
        <v>384</v>
      </c>
      <c r="N171" s="106" t="s">
        <v>40</v>
      </c>
      <c r="O171" s="107"/>
      <c r="P171" s="106" t="s">
        <v>583</v>
      </c>
    </row>
    <row r="172" spans="1:16" outlineLevel="2" x14ac:dyDescent="0.3">
      <c r="A172" s="105" t="s">
        <v>584</v>
      </c>
      <c r="B172" s="106"/>
      <c r="C172" s="106"/>
      <c r="D172" s="106"/>
      <c r="E172" s="106" t="s">
        <v>585</v>
      </c>
      <c r="F172" s="106" t="s">
        <v>586</v>
      </c>
      <c r="G172" s="105">
        <v>4</v>
      </c>
      <c r="H172" s="106" t="s">
        <v>7</v>
      </c>
      <c r="I172" s="105" t="s">
        <v>39</v>
      </c>
      <c r="J172" s="105"/>
      <c r="K172" s="105"/>
      <c r="L172" s="105"/>
      <c r="M172" s="106" t="s">
        <v>587</v>
      </c>
      <c r="N172" s="106" t="s">
        <v>40</v>
      </c>
      <c r="O172" s="107"/>
      <c r="P172" s="106" t="s">
        <v>588</v>
      </c>
    </row>
    <row r="173" spans="1:16" ht="27.6" outlineLevel="1" x14ac:dyDescent="0.3">
      <c r="A173" s="119" t="s">
        <v>589</v>
      </c>
      <c r="B173" s="120"/>
      <c r="C173" s="121" t="s">
        <v>590</v>
      </c>
      <c r="D173" s="120"/>
      <c r="E173" s="120"/>
      <c r="F173" s="120"/>
      <c r="G173" s="119">
        <v>2</v>
      </c>
      <c r="H173" s="120" t="s">
        <v>25</v>
      </c>
      <c r="I173" s="119" t="s">
        <v>39</v>
      </c>
      <c r="J173" s="119">
        <v>4</v>
      </c>
      <c r="K173" s="119">
        <v>1</v>
      </c>
      <c r="L173" s="119">
        <v>5</v>
      </c>
      <c r="M173" s="122" t="s">
        <v>591</v>
      </c>
      <c r="N173" s="122" t="s">
        <v>40</v>
      </c>
      <c r="O173" s="123"/>
      <c r="P173" s="122" t="s">
        <v>592</v>
      </c>
    </row>
    <row r="174" spans="1:16" outlineLevel="2" x14ac:dyDescent="0.3">
      <c r="A174" s="105" t="s">
        <v>593</v>
      </c>
      <c r="B174" s="106"/>
      <c r="C174" s="106"/>
      <c r="D174" s="106"/>
      <c r="E174" s="106" t="s">
        <v>594</v>
      </c>
      <c r="F174" s="106" t="s">
        <v>595</v>
      </c>
      <c r="G174" s="105">
        <v>4</v>
      </c>
      <c r="H174" s="106" t="s">
        <v>7</v>
      </c>
      <c r="I174" s="105" t="s">
        <v>39</v>
      </c>
      <c r="J174" s="105"/>
      <c r="K174" s="105"/>
      <c r="L174" s="105"/>
      <c r="M174" s="106"/>
      <c r="N174" s="106" t="s">
        <v>40</v>
      </c>
      <c r="O174" s="107"/>
      <c r="P174" s="106" t="s">
        <v>596</v>
      </c>
    </row>
    <row r="175" spans="1:16" outlineLevel="2" x14ac:dyDescent="0.3">
      <c r="A175" s="105" t="s">
        <v>597</v>
      </c>
      <c r="B175" s="106"/>
      <c r="C175" s="106"/>
      <c r="D175" s="106"/>
      <c r="E175" s="106" t="s">
        <v>598</v>
      </c>
      <c r="F175" s="106" t="s">
        <v>599</v>
      </c>
      <c r="G175" s="105">
        <v>4</v>
      </c>
      <c r="H175" s="106" t="s">
        <v>7</v>
      </c>
      <c r="I175" s="105" t="s">
        <v>39</v>
      </c>
      <c r="J175" s="105"/>
      <c r="K175" s="105"/>
      <c r="L175" s="105"/>
      <c r="M175" s="106"/>
      <c r="N175" s="106" t="s">
        <v>40</v>
      </c>
      <c r="O175" s="107" t="s">
        <v>600</v>
      </c>
      <c r="P175" s="106" t="s">
        <v>601</v>
      </c>
    </row>
    <row r="176" spans="1:16" outlineLevel="2" x14ac:dyDescent="0.3">
      <c r="A176" s="105" t="s">
        <v>602</v>
      </c>
      <c r="B176" s="106"/>
      <c r="C176" s="106"/>
      <c r="D176" s="106"/>
      <c r="E176" s="106" t="s">
        <v>603</v>
      </c>
      <c r="F176" s="106" t="s">
        <v>604</v>
      </c>
      <c r="G176" s="105">
        <v>4</v>
      </c>
      <c r="H176" s="106" t="s">
        <v>7</v>
      </c>
      <c r="I176" s="105" t="s">
        <v>39</v>
      </c>
      <c r="J176" s="105"/>
      <c r="K176" s="105"/>
      <c r="L176" s="105"/>
      <c r="M176" s="106"/>
      <c r="N176" s="106" t="s">
        <v>40</v>
      </c>
      <c r="O176" s="107" t="s">
        <v>600</v>
      </c>
      <c r="P176" s="106" t="s">
        <v>605</v>
      </c>
    </row>
    <row r="177" spans="1:16" outlineLevel="2" x14ac:dyDescent="0.3">
      <c r="A177" s="105" t="s">
        <v>606</v>
      </c>
      <c r="B177" s="106"/>
      <c r="C177" s="106"/>
      <c r="D177" s="106"/>
      <c r="E177" s="106" t="s">
        <v>607</v>
      </c>
      <c r="F177" s="106" t="s">
        <v>608</v>
      </c>
      <c r="G177" s="105">
        <v>4</v>
      </c>
      <c r="H177" s="106" t="s">
        <v>7</v>
      </c>
      <c r="I177" s="105" t="s">
        <v>39</v>
      </c>
      <c r="J177" s="105"/>
      <c r="K177" s="105"/>
      <c r="L177" s="105"/>
      <c r="M177" s="106"/>
      <c r="N177" s="106" t="s">
        <v>40</v>
      </c>
      <c r="O177" s="107" t="s">
        <v>600</v>
      </c>
      <c r="P177" s="106" t="s">
        <v>609</v>
      </c>
    </row>
    <row r="178" spans="1:16" outlineLevel="2" x14ac:dyDescent="0.3">
      <c r="A178" s="105" t="s">
        <v>610</v>
      </c>
      <c r="B178" s="106"/>
      <c r="C178" s="106"/>
      <c r="D178" s="106"/>
      <c r="E178" s="106" t="s">
        <v>611</v>
      </c>
      <c r="F178" s="106" t="s">
        <v>13</v>
      </c>
      <c r="G178" s="105">
        <v>4</v>
      </c>
      <c r="H178" s="106" t="s">
        <v>7</v>
      </c>
      <c r="I178" s="105"/>
      <c r="J178" s="105"/>
      <c r="K178" s="105"/>
      <c r="L178" s="105"/>
      <c r="M178" s="106"/>
      <c r="N178" s="106" t="s">
        <v>40</v>
      </c>
      <c r="O178" s="107" t="s">
        <v>447</v>
      </c>
      <c r="P178" s="106" t="s">
        <v>612</v>
      </c>
    </row>
    <row r="179" spans="1:16" x14ac:dyDescent="0.3">
      <c r="A179" s="124" t="s">
        <v>613</v>
      </c>
      <c r="B179" s="125" t="s">
        <v>614</v>
      </c>
      <c r="C179" s="126" t="str">
        <f>COUNTIFS($G180:$G218,2)&amp;" subcapas"</f>
        <v>4 subcapas</v>
      </c>
      <c r="D179" s="125"/>
      <c r="E179" s="125"/>
      <c r="F179" s="125"/>
      <c r="G179" s="124">
        <v>1</v>
      </c>
      <c r="H179" s="125" t="s">
        <v>2</v>
      </c>
      <c r="I179" s="124"/>
      <c r="J179" s="127">
        <f>SUMIFS(J180:J218,$G180:$G218,2)</f>
        <v>35</v>
      </c>
      <c r="K179" s="127">
        <f>SUMIFS(K180:K218,$G180:$G218,2)</f>
        <v>0</v>
      </c>
      <c r="L179" s="127">
        <f>SUMIFS(L180:L218,$G180:$G218,2)</f>
        <v>31</v>
      </c>
      <c r="M179" s="128" t="s">
        <v>615</v>
      </c>
      <c r="N179" s="125"/>
      <c r="O179" s="125"/>
      <c r="P179" s="125" t="s">
        <v>616</v>
      </c>
    </row>
    <row r="180" spans="1:16" ht="358.8" outlineLevel="1" x14ac:dyDescent="0.3">
      <c r="A180" s="129" t="s">
        <v>617</v>
      </c>
      <c r="B180" s="130"/>
      <c r="C180" s="131" t="s">
        <v>618</v>
      </c>
      <c r="D180" s="130"/>
      <c r="E180" s="130"/>
      <c r="F180" s="130"/>
      <c r="G180" s="129">
        <v>2</v>
      </c>
      <c r="H180" s="130" t="s">
        <v>25</v>
      </c>
      <c r="I180" s="129" t="s">
        <v>26</v>
      </c>
      <c r="J180" s="129">
        <v>16</v>
      </c>
      <c r="K180" s="129">
        <v>0</v>
      </c>
      <c r="L180" s="129">
        <v>14</v>
      </c>
      <c r="M180" s="132" t="s">
        <v>619</v>
      </c>
      <c r="N180" s="132" t="s">
        <v>223</v>
      </c>
      <c r="O180" s="133"/>
      <c r="P180" s="132" t="s">
        <v>620</v>
      </c>
    </row>
    <row r="181" spans="1:16" outlineLevel="2" x14ac:dyDescent="0.3">
      <c r="A181" s="105" t="s">
        <v>621</v>
      </c>
      <c r="B181" s="106"/>
      <c r="C181" s="106"/>
      <c r="D181" s="106"/>
      <c r="E181" s="106" t="s">
        <v>622</v>
      </c>
      <c r="F181" s="106" t="s">
        <v>623</v>
      </c>
      <c r="G181" s="105">
        <v>4</v>
      </c>
      <c r="H181" s="106" t="s">
        <v>7</v>
      </c>
      <c r="I181" s="105" t="s">
        <v>26</v>
      </c>
      <c r="J181" s="105"/>
      <c r="K181" s="105"/>
      <c r="L181" s="105"/>
      <c r="M181" s="106" t="s">
        <v>624</v>
      </c>
      <c r="N181" s="106" t="s">
        <v>223</v>
      </c>
      <c r="O181" s="107"/>
      <c r="P181" s="106" t="s">
        <v>625</v>
      </c>
    </row>
    <row r="182" spans="1:16" outlineLevel="2" x14ac:dyDescent="0.3">
      <c r="A182" s="105" t="s">
        <v>626</v>
      </c>
      <c r="B182" s="106"/>
      <c r="C182" s="106"/>
      <c r="D182" s="106"/>
      <c r="E182" s="106" t="s">
        <v>627</v>
      </c>
      <c r="F182" s="106" t="s">
        <v>628</v>
      </c>
      <c r="G182" s="105">
        <v>4</v>
      </c>
      <c r="H182" s="106" t="s">
        <v>7</v>
      </c>
      <c r="I182" s="105" t="s">
        <v>39</v>
      </c>
      <c r="J182" s="105"/>
      <c r="K182" s="105"/>
      <c r="L182" s="105"/>
      <c r="M182" s="106"/>
      <c r="N182" s="106" t="s">
        <v>40</v>
      </c>
      <c r="O182" s="107"/>
      <c r="P182" s="106" t="s">
        <v>629</v>
      </c>
    </row>
    <row r="183" spans="1:16" outlineLevel="2" x14ac:dyDescent="0.3">
      <c r="A183" s="105" t="s">
        <v>630</v>
      </c>
      <c r="B183" s="106"/>
      <c r="C183" s="106"/>
      <c r="D183" s="106"/>
      <c r="E183" s="106" t="s">
        <v>631</v>
      </c>
      <c r="F183" s="106" t="s">
        <v>632</v>
      </c>
      <c r="G183" s="105">
        <v>4</v>
      </c>
      <c r="H183" s="106" t="s">
        <v>7</v>
      </c>
      <c r="I183" s="105" t="s">
        <v>26</v>
      </c>
      <c r="J183" s="105"/>
      <c r="K183" s="105"/>
      <c r="L183" s="105"/>
      <c r="M183" s="106" t="s">
        <v>633</v>
      </c>
      <c r="N183" s="106" t="s">
        <v>223</v>
      </c>
      <c r="O183" s="107"/>
      <c r="P183" s="106" t="s">
        <v>634</v>
      </c>
    </row>
    <row r="184" spans="1:16" outlineLevel="2" x14ac:dyDescent="0.3">
      <c r="A184" s="105" t="s">
        <v>635</v>
      </c>
      <c r="B184" s="106"/>
      <c r="C184" s="106"/>
      <c r="D184" s="106"/>
      <c r="E184" s="106" t="s">
        <v>636</v>
      </c>
      <c r="F184" s="106" t="s">
        <v>637</v>
      </c>
      <c r="G184" s="105">
        <v>4</v>
      </c>
      <c r="H184" s="106" t="s">
        <v>7</v>
      </c>
      <c r="I184" s="105" t="s">
        <v>26</v>
      </c>
      <c r="J184" s="105"/>
      <c r="K184" s="105"/>
      <c r="L184" s="105"/>
      <c r="M184" s="106" t="s">
        <v>638</v>
      </c>
      <c r="N184" s="106" t="s">
        <v>287</v>
      </c>
      <c r="O184" s="107"/>
      <c r="P184" s="106" t="s">
        <v>639</v>
      </c>
    </row>
    <row r="185" spans="1:16" outlineLevel="2" x14ac:dyDescent="0.3">
      <c r="A185" s="105" t="s">
        <v>640</v>
      </c>
      <c r="B185" s="106"/>
      <c r="C185" s="106"/>
      <c r="D185" s="106"/>
      <c r="E185" s="106" t="s">
        <v>641</v>
      </c>
      <c r="F185" s="106" t="s">
        <v>642</v>
      </c>
      <c r="G185" s="105">
        <v>4</v>
      </c>
      <c r="H185" s="106" t="s">
        <v>7</v>
      </c>
      <c r="I185" s="105" t="s">
        <v>26</v>
      </c>
      <c r="J185" s="105"/>
      <c r="K185" s="105"/>
      <c r="L185" s="105"/>
      <c r="M185" s="106" t="s">
        <v>643</v>
      </c>
      <c r="N185" s="106" t="s">
        <v>223</v>
      </c>
      <c r="O185" s="107"/>
      <c r="P185" s="106" t="s">
        <v>644</v>
      </c>
    </row>
    <row r="186" spans="1:16" outlineLevel="2" x14ac:dyDescent="0.3">
      <c r="A186" s="105" t="s">
        <v>645</v>
      </c>
      <c r="B186" s="106"/>
      <c r="C186" s="106"/>
      <c r="D186" s="106"/>
      <c r="E186" s="106" t="s">
        <v>646</v>
      </c>
      <c r="F186" s="106" t="s">
        <v>647</v>
      </c>
      <c r="G186" s="105">
        <v>4</v>
      </c>
      <c r="H186" s="106" t="s">
        <v>7</v>
      </c>
      <c r="I186" s="105" t="s">
        <v>39</v>
      </c>
      <c r="J186" s="105"/>
      <c r="K186" s="105"/>
      <c r="L186" s="105"/>
      <c r="M186" s="106"/>
      <c r="N186" s="106" t="s">
        <v>40</v>
      </c>
      <c r="O186" s="107"/>
      <c r="P186" s="106" t="s">
        <v>648</v>
      </c>
    </row>
    <row r="187" spans="1:16" outlineLevel="2" x14ac:dyDescent="0.3">
      <c r="A187" s="105" t="s">
        <v>649</v>
      </c>
      <c r="B187" s="106"/>
      <c r="C187" s="106"/>
      <c r="D187" s="106"/>
      <c r="E187" s="106" t="s">
        <v>650</v>
      </c>
      <c r="F187" s="106" t="s">
        <v>651</v>
      </c>
      <c r="G187" s="105">
        <v>4</v>
      </c>
      <c r="H187" s="106" t="s">
        <v>7</v>
      </c>
      <c r="I187" s="105" t="s">
        <v>26</v>
      </c>
      <c r="J187" s="105"/>
      <c r="K187" s="105"/>
      <c r="L187" s="105"/>
      <c r="M187" s="106" t="s">
        <v>652</v>
      </c>
      <c r="N187" s="106" t="s">
        <v>223</v>
      </c>
      <c r="O187" s="107"/>
      <c r="P187" s="106" t="s">
        <v>653</v>
      </c>
    </row>
    <row r="188" spans="1:16" outlineLevel="2" x14ac:dyDescent="0.3">
      <c r="A188" s="105" t="s">
        <v>654</v>
      </c>
      <c r="B188" s="106"/>
      <c r="C188" s="106"/>
      <c r="D188" s="106"/>
      <c r="E188" s="106" t="s">
        <v>655</v>
      </c>
      <c r="F188" s="106" t="s">
        <v>656</v>
      </c>
      <c r="G188" s="105">
        <v>4</v>
      </c>
      <c r="H188" s="106" t="s">
        <v>7</v>
      </c>
      <c r="I188" s="105" t="s">
        <v>26</v>
      </c>
      <c r="J188" s="105"/>
      <c r="K188" s="105"/>
      <c r="L188" s="105"/>
      <c r="M188" s="106" t="s">
        <v>657</v>
      </c>
      <c r="N188" s="106" t="s">
        <v>223</v>
      </c>
      <c r="O188" s="107"/>
      <c r="P188" s="106" t="s">
        <v>658</v>
      </c>
    </row>
    <row r="189" spans="1:16" outlineLevel="2" x14ac:dyDescent="0.3">
      <c r="A189" s="105" t="s">
        <v>659</v>
      </c>
      <c r="B189" s="106"/>
      <c r="C189" s="106"/>
      <c r="D189" s="106"/>
      <c r="E189" s="106" t="s">
        <v>660</v>
      </c>
      <c r="F189" s="106" t="s">
        <v>661</v>
      </c>
      <c r="G189" s="105">
        <v>4</v>
      </c>
      <c r="H189" s="106" t="s">
        <v>7</v>
      </c>
      <c r="I189" s="105" t="s">
        <v>26</v>
      </c>
      <c r="J189" s="105"/>
      <c r="K189" s="105"/>
      <c r="L189" s="105"/>
      <c r="M189" s="106" t="s">
        <v>662</v>
      </c>
      <c r="N189" s="106" t="s">
        <v>223</v>
      </c>
      <c r="O189" s="107"/>
      <c r="P189" s="106" t="s">
        <v>663</v>
      </c>
    </row>
    <row r="190" spans="1:16" outlineLevel="2" x14ac:dyDescent="0.3">
      <c r="A190" s="105" t="s">
        <v>664</v>
      </c>
      <c r="B190" s="106"/>
      <c r="C190" s="106"/>
      <c r="D190" s="106"/>
      <c r="E190" s="106" t="s">
        <v>665</v>
      </c>
      <c r="F190" s="106" t="s">
        <v>666</v>
      </c>
      <c r="G190" s="105">
        <v>4</v>
      </c>
      <c r="H190" s="106" t="s">
        <v>7</v>
      </c>
      <c r="I190" s="105" t="s">
        <v>26</v>
      </c>
      <c r="J190" s="105"/>
      <c r="K190" s="105"/>
      <c r="L190" s="105"/>
      <c r="M190" s="106" t="s">
        <v>667</v>
      </c>
      <c r="N190" s="106" t="s">
        <v>287</v>
      </c>
      <c r="O190" s="107"/>
      <c r="P190" s="106" t="s">
        <v>668</v>
      </c>
    </row>
    <row r="191" spans="1:16" outlineLevel="2" x14ac:dyDescent="0.3">
      <c r="A191" s="105" t="s">
        <v>669</v>
      </c>
      <c r="B191" s="106"/>
      <c r="C191" s="106"/>
      <c r="D191" s="106"/>
      <c r="E191" s="106" t="s">
        <v>670</v>
      </c>
      <c r="F191" s="106" t="s">
        <v>671</v>
      </c>
      <c r="G191" s="105">
        <v>4</v>
      </c>
      <c r="H191" s="106" t="s">
        <v>7</v>
      </c>
      <c r="I191" s="105" t="s">
        <v>39</v>
      </c>
      <c r="J191" s="105"/>
      <c r="K191" s="105"/>
      <c r="L191" s="105"/>
      <c r="M191" s="106"/>
      <c r="N191" s="106" t="s">
        <v>40</v>
      </c>
      <c r="O191" s="107"/>
      <c r="P191" s="106" t="s">
        <v>672</v>
      </c>
    </row>
    <row r="192" spans="1:16" outlineLevel="2" x14ac:dyDescent="0.3">
      <c r="A192" s="105" t="s">
        <v>673</v>
      </c>
      <c r="B192" s="106"/>
      <c r="C192" s="106"/>
      <c r="D192" s="106"/>
      <c r="E192" s="106" t="s">
        <v>674</v>
      </c>
      <c r="F192" s="106" t="s">
        <v>675</v>
      </c>
      <c r="G192" s="105">
        <v>4</v>
      </c>
      <c r="H192" s="106" t="s">
        <v>7</v>
      </c>
      <c r="I192" s="105" t="s">
        <v>26</v>
      </c>
      <c r="J192" s="105"/>
      <c r="K192" s="105"/>
      <c r="L192" s="105"/>
      <c r="M192" s="106" t="s">
        <v>676</v>
      </c>
      <c r="N192" s="106" t="s">
        <v>223</v>
      </c>
      <c r="O192" s="107"/>
      <c r="P192" s="106" t="s">
        <v>677</v>
      </c>
    </row>
    <row r="193" spans="1:16" outlineLevel="2" x14ac:dyDescent="0.3">
      <c r="A193" s="105" t="s">
        <v>678</v>
      </c>
      <c r="B193" s="106"/>
      <c r="C193" s="106"/>
      <c r="D193" s="106"/>
      <c r="E193" s="106" t="s">
        <v>679</v>
      </c>
      <c r="F193" s="106" t="s">
        <v>680</v>
      </c>
      <c r="G193" s="105">
        <v>4</v>
      </c>
      <c r="H193" s="106" t="s">
        <v>7</v>
      </c>
      <c r="I193" s="105" t="s">
        <v>26</v>
      </c>
      <c r="J193" s="105"/>
      <c r="K193" s="105"/>
      <c r="L193" s="105"/>
      <c r="M193" s="106" t="s">
        <v>681</v>
      </c>
      <c r="N193" s="106" t="s">
        <v>223</v>
      </c>
      <c r="O193" s="107"/>
      <c r="P193" s="106" t="s">
        <v>682</v>
      </c>
    </row>
    <row r="194" spans="1:16" outlineLevel="2" x14ac:dyDescent="0.3">
      <c r="A194" s="105" t="s">
        <v>683</v>
      </c>
      <c r="B194" s="106"/>
      <c r="C194" s="106"/>
      <c r="D194" s="106"/>
      <c r="E194" s="106" t="s">
        <v>684</v>
      </c>
      <c r="F194" s="106" t="s">
        <v>685</v>
      </c>
      <c r="G194" s="105">
        <v>4</v>
      </c>
      <c r="H194" s="106" t="s">
        <v>7</v>
      </c>
      <c r="I194" s="105" t="s">
        <v>26</v>
      </c>
      <c r="J194" s="105"/>
      <c r="K194" s="105"/>
      <c r="L194" s="105"/>
      <c r="M194" s="106" t="s">
        <v>686</v>
      </c>
      <c r="N194" s="106" t="s">
        <v>223</v>
      </c>
      <c r="O194" s="107"/>
      <c r="P194" s="106" t="s">
        <v>687</v>
      </c>
    </row>
    <row r="195" spans="1:16" outlineLevel="2" x14ac:dyDescent="0.3">
      <c r="A195" s="105" t="s">
        <v>688</v>
      </c>
      <c r="B195" s="106"/>
      <c r="C195" s="106"/>
      <c r="D195" s="106"/>
      <c r="E195" s="106" t="s">
        <v>689</v>
      </c>
      <c r="F195" s="106" t="s">
        <v>690</v>
      </c>
      <c r="G195" s="105">
        <v>4</v>
      </c>
      <c r="H195" s="106" t="s">
        <v>7</v>
      </c>
      <c r="I195" s="105" t="s">
        <v>26</v>
      </c>
      <c r="J195" s="105"/>
      <c r="K195" s="105"/>
      <c r="L195" s="105"/>
      <c r="M195" s="106" t="s">
        <v>691</v>
      </c>
      <c r="N195" s="106" t="s">
        <v>223</v>
      </c>
      <c r="O195" s="107"/>
      <c r="P195" s="106" t="s">
        <v>692</v>
      </c>
    </row>
    <row r="196" spans="1:16" outlineLevel="2" x14ac:dyDescent="0.3">
      <c r="A196" s="105" t="s">
        <v>693</v>
      </c>
      <c r="B196" s="106"/>
      <c r="C196" s="106"/>
      <c r="D196" s="106"/>
      <c r="E196" s="106" t="s">
        <v>694</v>
      </c>
      <c r="F196" s="106" t="s">
        <v>695</v>
      </c>
      <c r="G196" s="105">
        <v>4</v>
      </c>
      <c r="H196" s="106" t="s">
        <v>7</v>
      </c>
      <c r="I196" s="105" t="s">
        <v>26</v>
      </c>
      <c r="J196" s="105"/>
      <c r="K196" s="105"/>
      <c r="L196" s="105"/>
      <c r="M196" s="106" t="s">
        <v>691</v>
      </c>
      <c r="N196" s="106" t="s">
        <v>223</v>
      </c>
      <c r="O196" s="107"/>
      <c r="P196" s="106" t="s">
        <v>696</v>
      </c>
    </row>
    <row r="197" spans="1:16" ht="27.6" outlineLevel="1" x14ac:dyDescent="0.3">
      <c r="A197" s="129" t="s">
        <v>697</v>
      </c>
      <c r="B197" s="130"/>
      <c r="C197" s="131" t="s">
        <v>698</v>
      </c>
      <c r="D197" s="130"/>
      <c r="E197" s="130"/>
      <c r="F197" s="130"/>
      <c r="G197" s="129">
        <v>2</v>
      </c>
      <c r="H197" s="130" t="s">
        <v>25</v>
      </c>
      <c r="I197" s="129" t="s">
        <v>39</v>
      </c>
      <c r="J197" s="129">
        <v>15</v>
      </c>
      <c r="K197" s="129">
        <v>0</v>
      </c>
      <c r="L197" s="129">
        <v>13</v>
      </c>
      <c r="M197" s="132" t="s">
        <v>699</v>
      </c>
      <c r="N197" s="132" t="s">
        <v>223</v>
      </c>
      <c r="O197" s="133"/>
      <c r="P197" s="132" t="s">
        <v>700</v>
      </c>
    </row>
    <row r="198" spans="1:16" outlineLevel="2" x14ac:dyDescent="0.3">
      <c r="A198" s="105" t="s">
        <v>701</v>
      </c>
      <c r="B198" s="106"/>
      <c r="C198" s="106"/>
      <c r="D198" s="106"/>
      <c r="E198" s="106" t="s">
        <v>702</v>
      </c>
      <c r="F198" s="106" t="s">
        <v>703</v>
      </c>
      <c r="G198" s="105">
        <v>4</v>
      </c>
      <c r="H198" s="106" t="s">
        <v>7</v>
      </c>
      <c r="I198" s="105" t="s">
        <v>39</v>
      </c>
      <c r="J198" s="105"/>
      <c r="K198" s="105"/>
      <c r="L198" s="105"/>
      <c r="M198" s="106" t="s">
        <v>704</v>
      </c>
      <c r="N198" s="106" t="s">
        <v>40</v>
      </c>
      <c r="O198" s="107"/>
      <c r="P198" s="106" t="s">
        <v>705</v>
      </c>
    </row>
    <row r="199" spans="1:16" outlineLevel="2" x14ac:dyDescent="0.3">
      <c r="A199" s="105" t="s">
        <v>706</v>
      </c>
      <c r="B199" s="106"/>
      <c r="C199" s="106"/>
      <c r="D199" s="106"/>
      <c r="E199" s="106" t="s">
        <v>707</v>
      </c>
      <c r="F199" s="106" t="s">
        <v>708</v>
      </c>
      <c r="G199" s="105">
        <v>4</v>
      </c>
      <c r="H199" s="106" t="s">
        <v>7</v>
      </c>
      <c r="I199" s="105" t="s">
        <v>39</v>
      </c>
      <c r="J199" s="105"/>
      <c r="K199" s="105"/>
      <c r="L199" s="105"/>
      <c r="M199" s="106" t="s">
        <v>709</v>
      </c>
      <c r="N199" s="106" t="s">
        <v>40</v>
      </c>
      <c r="O199" s="107"/>
      <c r="P199" s="106" t="s">
        <v>710</v>
      </c>
    </row>
    <row r="200" spans="1:16" outlineLevel="2" x14ac:dyDescent="0.3">
      <c r="A200" s="105" t="s">
        <v>711</v>
      </c>
      <c r="B200" s="106"/>
      <c r="C200" s="106"/>
      <c r="D200" s="106"/>
      <c r="E200" s="106" t="s">
        <v>712</v>
      </c>
      <c r="F200" s="106" t="s">
        <v>656</v>
      </c>
      <c r="G200" s="105">
        <v>4</v>
      </c>
      <c r="H200" s="106" t="s">
        <v>7</v>
      </c>
      <c r="I200" s="105" t="s">
        <v>26</v>
      </c>
      <c r="J200" s="105"/>
      <c r="K200" s="105"/>
      <c r="L200" s="105"/>
      <c r="M200" s="106" t="s">
        <v>657</v>
      </c>
      <c r="N200" s="106" t="s">
        <v>713</v>
      </c>
      <c r="O200" s="107"/>
      <c r="P200" s="106" t="s">
        <v>714</v>
      </c>
    </row>
    <row r="201" spans="1:16" outlineLevel="2" x14ac:dyDescent="0.3">
      <c r="A201" s="105" t="s">
        <v>715</v>
      </c>
      <c r="B201" s="106"/>
      <c r="C201" s="106"/>
      <c r="D201" s="106"/>
      <c r="E201" s="106" t="s">
        <v>716</v>
      </c>
      <c r="F201" s="106" t="s">
        <v>717</v>
      </c>
      <c r="G201" s="105">
        <v>4</v>
      </c>
      <c r="H201" s="106" t="s">
        <v>7</v>
      </c>
      <c r="I201" s="105" t="s">
        <v>39</v>
      </c>
      <c r="J201" s="105"/>
      <c r="K201" s="105"/>
      <c r="L201" s="105"/>
      <c r="M201" s="106" t="s">
        <v>718</v>
      </c>
      <c r="N201" s="106" t="s">
        <v>40</v>
      </c>
      <c r="O201" s="107"/>
      <c r="P201" s="106" t="s">
        <v>719</v>
      </c>
    </row>
    <row r="202" spans="1:16" outlineLevel="2" x14ac:dyDescent="0.3">
      <c r="A202" s="105" t="s">
        <v>720</v>
      </c>
      <c r="B202" s="106"/>
      <c r="C202" s="106"/>
      <c r="D202" s="106"/>
      <c r="E202" s="106" t="s">
        <v>721</v>
      </c>
      <c r="F202" s="106" t="s">
        <v>722</v>
      </c>
      <c r="G202" s="105">
        <v>4</v>
      </c>
      <c r="H202" s="106" t="s">
        <v>7</v>
      </c>
      <c r="I202" s="105" t="s">
        <v>39</v>
      </c>
      <c r="J202" s="105"/>
      <c r="K202" s="105"/>
      <c r="L202" s="105"/>
      <c r="M202" s="106"/>
      <c r="N202" s="106" t="s">
        <v>287</v>
      </c>
      <c r="O202" s="107"/>
      <c r="P202" s="106"/>
    </row>
    <row r="203" spans="1:16" outlineLevel="2" x14ac:dyDescent="0.3">
      <c r="A203" s="105" t="s">
        <v>723</v>
      </c>
      <c r="B203" s="106"/>
      <c r="C203" s="106"/>
      <c r="D203" s="106"/>
      <c r="E203" s="106" t="s">
        <v>724</v>
      </c>
      <c r="F203" s="106" t="s">
        <v>725</v>
      </c>
      <c r="G203" s="105">
        <v>4</v>
      </c>
      <c r="H203" s="106" t="s">
        <v>7</v>
      </c>
      <c r="I203" s="105" t="s">
        <v>39</v>
      </c>
      <c r="J203" s="105"/>
      <c r="K203" s="105"/>
      <c r="L203" s="105"/>
      <c r="M203" s="106" t="s">
        <v>726</v>
      </c>
      <c r="N203" s="106" t="s">
        <v>40</v>
      </c>
      <c r="O203" s="107"/>
      <c r="P203" s="106" t="s">
        <v>727</v>
      </c>
    </row>
    <row r="204" spans="1:16" outlineLevel="2" x14ac:dyDescent="0.3">
      <c r="A204" s="105" t="s">
        <v>728</v>
      </c>
      <c r="B204" s="106"/>
      <c r="C204" s="106"/>
      <c r="D204" s="106"/>
      <c r="E204" s="106" t="s">
        <v>729</v>
      </c>
      <c r="F204" s="106" t="s">
        <v>730</v>
      </c>
      <c r="G204" s="105">
        <v>4</v>
      </c>
      <c r="H204" s="106" t="s">
        <v>7</v>
      </c>
      <c r="I204" s="105" t="s">
        <v>39</v>
      </c>
      <c r="J204" s="105"/>
      <c r="K204" s="105"/>
      <c r="L204" s="105"/>
      <c r="M204" s="106" t="s">
        <v>731</v>
      </c>
      <c r="N204" s="106" t="s">
        <v>40</v>
      </c>
      <c r="O204" s="107"/>
      <c r="P204" s="106" t="s">
        <v>732</v>
      </c>
    </row>
    <row r="205" spans="1:16" outlineLevel="2" x14ac:dyDescent="0.3">
      <c r="A205" s="105" t="s">
        <v>733</v>
      </c>
      <c r="B205" s="106"/>
      <c r="C205" s="106"/>
      <c r="D205" s="106"/>
      <c r="E205" s="106" t="s">
        <v>734</v>
      </c>
      <c r="F205" s="106" t="s">
        <v>735</v>
      </c>
      <c r="G205" s="105">
        <v>4</v>
      </c>
      <c r="H205" s="106" t="s">
        <v>7</v>
      </c>
      <c r="I205" s="105" t="s">
        <v>39</v>
      </c>
      <c r="J205" s="105"/>
      <c r="K205" s="105"/>
      <c r="L205" s="105"/>
      <c r="M205" s="106" t="s">
        <v>736</v>
      </c>
      <c r="N205" s="106" t="s">
        <v>40</v>
      </c>
      <c r="O205" s="107"/>
      <c r="P205" s="106" t="s">
        <v>737</v>
      </c>
    </row>
    <row r="206" spans="1:16" outlineLevel="2" x14ac:dyDescent="0.3">
      <c r="A206" s="105" t="s">
        <v>738</v>
      </c>
      <c r="B206" s="106"/>
      <c r="C206" s="106"/>
      <c r="D206" s="106"/>
      <c r="E206" s="106" t="s">
        <v>739</v>
      </c>
      <c r="F206" s="106" t="s">
        <v>740</v>
      </c>
      <c r="G206" s="105">
        <v>4</v>
      </c>
      <c r="H206" s="106" t="s">
        <v>7</v>
      </c>
      <c r="I206" s="105" t="s">
        <v>39</v>
      </c>
      <c r="J206" s="105"/>
      <c r="K206" s="105"/>
      <c r="L206" s="105"/>
      <c r="M206" s="106" t="s">
        <v>741</v>
      </c>
      <c r="N206" s="106" t="s">
        <v>40</v>
      </c>
      <c r="O206" s="107" t="s">
        <v>600</v>
      </c>
      <c r="P206" s="106" t="s">
        <v>742</v>
      </c>
    </row>
    <row r="207" spans="1:16" outlineLevel="2" x14ac:dyDescent="0.3">
      <c r="A207" s="105" t="s">
        <v>743</v>
      </c>
      <c r="B207" s="106"/>
      <c r="C207" s="106"/>
      <c r="D207" s="106"/>
      <c r="E207" s="106" t="s">
        <v>744</v>
      </c>
      <c r="F207" s="106" t="s">
        <v>745</v>
      </c>
      <c r="G207" s="105">
        <v>4</v>
      </c>
      <c r="H207" s="106" t="s">
        <v>7</v>
      </c>
      <c r="I207" s="105" t="s">
        <v>39</v>
      </c>
      <c r="J207" s="105"/>
      <c r="K207" s="105"/>
      <c r="L207" s="105"/>
      <c r="M207" s="106" t="s">
        <v>746</v>
      </c>
      <c r="N207" s="106" t="s">
        <v>40</v>
      </c>
      <c r="O207" s="107"/>
      <c r="P207" s="106" t="s">
        <v>747</v>
      </c>
    </row>
    <row r="208" spans="1:16" outlineLevel="2" x14ac:dyDescent="0.3">
      <c r="A208" s="105" t="s">
        <v>748</v>
      </c>
      <c r="B208" s="106"/>
      <c r="C208" s="106"/>
      <c r="D208" s="106"/>
      <c r="E208" s="106" t="s">
        <v>749</v>
      </c>
      <c r="F208" s="106" t="s">
        <v>750</v>
      </c>
      <c r="G208" s="105">
        <v>4</v>
      </c>
      <c r="H208" s="106" t="s">
        <v>7</v>
      </c>
      <c r="I208" s="105" t="s">
        <v>39</v>
      </c>
      <c r="J208" s="105"/>
      <c r="K208" s="105"/>
      <c r="L208" s="105"/>
      <c r="M208" s="106" t="s">
        <v>751</v>
      </c>
      <c r="N208" s="106" t="s">
        <v>40</v>
      </c>
      <c r="O208" s="107"/>
      <c r="P208" s="106" t="s">
        <v>752</v>
      </c>
    </row>
    <row r="209" spans="1:16" outlineLevel="2" x14ac:dyDescent="0.3">
      <c r="A209" s="105" t="s">
        <v>753</v>
      </c>
      <c r="B209" s="106"/>
      <c r="C209" s="106"/>
      <c r="D209" s="106"/>
      <c r="E209" s="106" t="s">
        <v>754</v>
      </c>
      <c r="F209" s="106" t="s">
        <v>642</v>
      </c>
      <c r="G209" s="105">
        <v>4</v>
      </c>
      <c r="H209" s="106" t="s">
        <v>7</v>
      </c>
      <c r="I209" s="105" t="s">
        <v>26</v>
      </c>
      <c r="J209" s="105"/>
      <c r="K209" s="105"/>
      <c r="L209" s="105"/>
      <c r="M209" s="106" t="s">
        <v>643</v>
      </c>
      <c r="N209" s="106" t="s">
        <v>713</v>
      </c>
      <c r="O209" s="107"/>
      <c r="P209" s="106" t="s">
        <v>755</v>
      </c>
    </row>
    <row r="210" spans="1:16" outlineLevel="2" x14ac:dyDescent="0.3">
      <c r="A210" s="105" t="s">
        <v>756</v>
      </c>
      <c r="B210" s="106"/>
      <c r="C210" s="106"/>
      <c r="D210" s="106"/>
      <c r="E210" s="106" t="s">
        <v>757</v>
      </c>
      <c r="F210" s="106" t="s">
        <v>758</v>
      </c>
      <c r="G210" s="105">
        <v>4</v>
      </c>
      <c r="H210" s="106" t="s">
        <v>7</v>
      </c>
      <c r="I210" s="105" t="s">
        <v>39</v>
      </c>
      <c r="J210" s="105"/>
      <c r="K210" s="105"/>
      <c r="L210" s="105"/>
      <c r="M210" s="106"/>
      <c r="N210" s="106" t="s">
        <v>287</v>
      </c>
      <c r="O210" s="107"/>
      <c r="P210" s="106"/>
    </row>
    <row r="211" spans="1:16" outlineLevel="2" x14ac:dyDescent="0.3">
      <c r="A211" s="105" t="s">
        <v>759</v>
      </c>
      <c r="B211" s="106"/>
      <c r="C211" s="106"/>
      <c r="D211" s="106"/>
      <c r="E211" s="106" t="s">
        <v>760</v>
      </c>
      <c r="F211" s="106" t="s">
        <v>761</v>
      </c>
      <c r="G211" s="105">
        <v>4</v>
      </c>
      <c r="H211" s="106" t="s">
        <v>7</v>
      </c>
      <c r="I211" s="105" t="s">
        <v>39</v>
      </c>
      <c r="J211" s="105"/>
      <c r="K211" s="105"/>
      <c r="L211" s="105"/>
      <c r="M211" s="106" t="s">
        <v>762</v>
      </c>
      <c r="N211" s="106" t="s">
        <v>40</v>
      </c>
      <c r="O211" s="107"/>
      <c r="P211" s="106" t="s">
        <v>763</v>
      </c>
    </row>
    <row r="212" spans="1:16" outlineLevel="2" x14ac:dyDescent="0.3">
      <c r="A212" s="105" t="s">
        <v>764</v>
      </c>
      <c r="B212" s="106"/>
      <c r="C212" s="106"/>
      <c r="D212" s="106"/>
      <c r="E212" s="106" t="s">
        <v>765</v>
      </c>
      <c r="F212" s="106" t="s">
        <v>766</v>
      </c>
      <c r="G212" s="105">
        <v>4</v>
      </c>
      <c r="H212" s="106" t="s">
        <v>7</v>
      </c>
      <c r="I212" s="105" t="s">
        <v>39</v>
      </c>
      <c r="J212" s="105"/>
      <c r="K212" s="105"/>
      <c r="L212" s="105"/>
      <c r="M212" s="106" t="s">
        <v>767</v>
      </c>
      <c r="N212" s="106" t="s">
        <v>223</v>
      </c>
      <c r="O212" s="107"/>
      <c r="P212" s="106" t="s">
        <v>768</v>
      </c>
    </row>
    <row r="213" spans="1:16" ht="27.6" outlineLevel="1" x14ac:dyDescent="0.3">
      <c r="A213" s="129" t="s">
        <v>769</v>
      </c>
      <c r="B213" s="130"/>
      <c r="C213" s="131" t="s">
        <v>770</v>
      </c>
      <c r="D213" s="130"/>
      <c r="E213" s="130"/>
      <c r="F213" s="130"/>
      <c r="G213" s="129">
        <v>2</v>
      </c>
      <c r="H213" s="130" t="s">
        <v>25</v>
      </c>
      <c r="I213" s="129" t="s">
        <v>39</v>
      </c>
      <c r="J213" s="129">
        <v>2</v>
      </c>
      <c r="K213" s="129">
        <v>0</v>
      </c>
      <c r="L213" s="129">
        <v>2</v>
      </c>
      <c r="M213" s="132" t="s">
        <v>771</v>
      </c>
      <c r="N213" s="132" t="s">
        <v>223</v>
      </c>
      <c r="O213" s="133"/>
      <c r="P213" s="132" t="s">
        <v>772</v>
      </c>
    </row>
    <row r="214" spans="1:16" outlineLevel="2" x14ac:dyDescent="0.3">
      <c r="A214" s="105" t="s">
        <v>773</v>
      </c>
      <c r="B214" s="106"/>
      <c r="C214" s="106"/>
      <c r="D214" s="106"/>
      <c r="E214" s="106" t="s">
        <v>774</v>
      </c>
      <c r="F214" s="106" t="s">
        <v>775</v>
      </c>
      <c r="G214" s="105">
        <v>4</v>
      </c>
      <c r="H214" s="106" t="s">
        <v>7</v>
      </c>
      <c r="I214" s="105" t="s">
        <v>39</v>
      </c>
      <c r="J214" s="105"/>
      <c r="K214" s="105"/>
      <c r="L214" s="105"/>
      <c r="M214" s="106" t="s">
        <v>776</v>
      </c>
      <c r="N214" s="106" t="s">
        <v>40</v>
      </c>
      <c r="O214" s="107"/>
      <c r="P214" s="106" t="s">
        <v>777</v>
      </c>
    </row>
    <row r="215" spans="1:16" outlineLevel="2" x14ac:dyDescent="0.3">
      <c r="A215" s="105" t="s">
        <v>778</v>
      </c>
      <c r="B215" s="106"/>
      <c r="C215" s="106"/>
      <c r="D215" s="106"/>
      <c r="E215" s="106" t="s">
        <v>779</v>
      </c>
      <c r="F215" s="106" t="s">
        <v>780</v>
      </c>
      <c r="G215" s="105">
        <v>4</v>
      </c>
      <c r="H215" s="106" t="s">
        <v>7</v>
      </c>
      <c r="I215" s="105" t="s">
        <v>39</v>
      </c>
      <c r="J215" s="105"/>
      <c r="K215" s="105"/>
      <c r="L215" s="105"/>
      <c r="M215" s="106" t="s">
        <v>781</v>
      </c>
      <c r="N215" s="106" t="s">
        <v>40</v>
      </c>
      <c r="O215" s="107"/>
      <c r="P215" s="106" t="s">
        <v>782</v>
      </c>
    </row>
    <row r="216" spans="1:16" ht="27.6" outlineLevel="1" x14ac:dyDescent="0.3">
      <c r="A216" s="129" t="s">
        <v>783</v>
      </c>
      <c r="B216" s="130"/>
      <c r="C216" s="131" t="s">
        <v>784</v>
      </c>
      <c r="D216" s="130"/>
      <c r="E216" s="130"/>
      <c r="F216" s="130"/>
      <c r="G216" s="129">
        <v>2</v>
      </c>
      <c r="H216" s="130" t="s">
        <v>25</v>
      </c>
      <c r="I216" s="129" t="s">
        <v>39</v>
      </c>
      <c r="J216" s="129">
        <v>2</v>
      </c>
      <c r="K216" s="129">
        <v>0</v>
      </c>
      <c r="L216" s="129">
        <v>2</v>
      </c>
      <c r="M216" s="132" t="s">
        <v>785</v>
      </c>
      <c r="N216" s="132" t="s">
        <v>40</v>
      </c>
      <c r="O216" s="133"/>
      <c r="P216" s="132" t="s">
        <v>786</v>
      </c>
    </row>
    <row r="217" spans="1:16" outlineLevel="2" x14ac:dyDescent="0.3">
      <c r="A217" s="105" t="s">
        <v>787</v>
      </c>
      <c r="B217" s="106"/>
      <c r="C217" s="106"/>
      <c r="D217" s="106"/>
      <c r="E217" s="106" t="s">
        <v>788</v>
      </c>
      <c r="F217" s="106" t="s">
        <v>789</v>
      </c>
      <c r="G217" s="105">
        <v>4</v>
      </c>
      <c r="H217" s="106" t="s">
        <v>7</v>
      </c>
      <c r="I217" s="105" t="s">
        <v>39</v>
      </c>
      <c r="J217" s="105"/>
      <c r="K217" s="105"/>
      <c r="L217" s="105"/>
      <c r="M217" s="106"/>
      <c r="N217" s="106" t="s">
        <v>40</v>
      </c>
      <c r="O217" s="107"/>
      <c r="P217" s="106" t="s">
        <v>790</v>
      </c>
    </row>
    <row r="218" spans="1:16" outlineLevel="2" x14ac:dyDescent="0.3">
      <c r="A218" s="105" t="s">
        <v>791</v>
      </c>
      <c r="B218" s="106"/>
      <c r="C218" s="106"/>
      <c r="D218" s="106"/>
      <c r="E218" s="106" t="s">
        <v>792</v>
      </c>
      <c r="F218" s="106" t="s">
        <v>793</v>
      </c>
      <c r="G218" s="105">
        <v>4</v>
      </c>
      <c r="H218" s="106" t="s">
        <v>7</v>
      </c>
      <c r="I218" s="105" t="s">
        <v>39</v>
      </c>
      <c r="J218" s="105"/>
      <c r="K218" s="105"/>
      <c r="L218" s="105"/>
      <c r="M218" s="106"/>
      <c r="N218" s="106" t="s">
        <v>40</v>
      </c>
      <c r="O218" s="107"/>
      <c r="P218" s="106" t="s">
        <v>794</v>
      </c>
    </row>
    <row r="219" spans="1:16" x14ac:dyDescent="0.3">
      <c r="A219" s="134" t="s">
        <v>795</v>
      </c>
      <c r="B219" s="135" t="s">
        <v>796</v>
      </c>
      <c r="C219" s="136" t="str">
        <f>COUNTIFS($G220:$G526,2)&amp;" subcapas"</f>
        <v>8 subcapas</v>
      </c>
      <c r="D219" s="135"/>
      <c r="E219" s="135"/>
      <c r="F219" s="135"/>
      <c r="G219" s="134">
        <v>1</v>
      </c>
      <c r="H219" s="135" t="s">
        <v>2</v>
      </c>
      <c r="I219" s="134"/>
      <c r="J219" s="137">
        <f>SUMIFS(J220:J526,$G220:$G526,2)</f>
        <v>299</v>
      </c>
      <c r="K219" s="137">
        <f>SUMIFS(K220:K526,$G220:$G526,2)</f>
        <v>0</v>
      </c>
      <c r="L219" s="137">
        <f>SUMIFS(L220:L526,$G220:$G526,2)</f>
        <v>257</v>
      </c>
      <c r="M219" s="138" t="s">
        <v>797</v>
      </c>
      <c r="N219" s="135"/>
      <c r="O219" s="135"/>
      <c r="P219" s="135" t="s">
        <v>798</v>
      </c>
    </row>
    <row r="220" spans="1:16" ht="27.6" outlineLevel="1" x14ac:dyDescent="0.3">
      <c r="A220" s="139" t="s">
        <v>799</v>
      </c>
      <c r="B220" s="140"/>
      <c r="C220" s="141" t="s">
        <v>800</v>
      </c>
      <c r="D220" s="140"/>
      <c r="E220" s="140"/>
      <c r="F220" s="140"/>
      <c r="G220" s="139">
        <v>2</v>
      </c>
      <c r="H220" s="140" t="s">
        <v>25</v>
      </c>
      <c r="I220" s="139" t="s">
        <v>39</v>
      </c>
      <c r="J220" s="139">
        <v>4</v>
      </c>
      <c r="K220" s="139">
        <v>0</v>
      </c>
      <c r="L220" s="139">
        <v>4</v>
      </c>
      <c r="M220" s="142" t="s">
        <v>801</v>
      </c>
      <c r="N220" s="142" t="s">
        <v>802</v>
      </c>
      <c r="O220" s="143"/>
      <c r="P220" s="142" t="s">
        <v>803</v>
      </c>
    </row>
    <row r="221" spans="1:16" outlineLevel="2" x14ac:dyDescent="0.3">
      <c r="A221" s="105" t="s">
        <v>804</v>
      </c>
      <c r="B221" s="106"/>
      <c r="C221" s="106"/>
      <c r="D221" s="106"/>
      <c r="E221" s="106" t="s">
        <v>805</v>
      </c>
      <c r="F221" s="106" t="s">
        <v>806</v>
      </c>
      <c r="G221" s="105">
        <v>4</v>
      </c>
      <c r="H221" s="106" t="s">
        <v>7</v>
      </c>
      <c r="I221" s="105" t="s">
        <v>39</v>
      </c>
      <c r="J221" s="105"/>
      <c r="K221" s="105"/>
      <c r="L221" s="105"/>
      <c r="M221" s="106" t="s">
        <v>807</v>
      </c>
      <c r="N221" s="106" t="s">
        <v>808</v>
      </c>
      <c r="O221" s="107"/>
      <c r="P221" s="106" t="s">
        <v>809</v>
      </c>
    </row>
    <row r="222" spans="1:16" outlineLevel="2" x14ac:dyDescent="0.3">
      <c r="A222" s="105" t="s">
        <v>810</v>
      </c>
      <c r="B222" s="106"/>
      <c r="C222" s="106"/>
      <c r="D222" s="106"/>
      <c r="E222" s="106" t="s">
        <v>811</v>
      </c>
      <c r="F222" s="106" t="s">
        <v>812</v>
      </c>
      <c r="G222" s="105">
        <v>4</v>
      </c>
      <c r="H222" s="106" t="s">
        <v>7</v>
      </c>
      <c r="I222" s="105" t="s">
        <v>39</v>
      </c>
      <c r="J222" s="105"/>
      <c r="K222" s="105"/>
      <c r="L222" s="105"/>
      <c r="M222" s="106" t="s">
        <v>813</v>
      </c>
      <c r="N222" s="106" t="s">
        <v>808</v>
      </c>
      <c r="O222" s="107"/>
      <c r="P222" s="106" t="s">
        <v>814</v>
      </c>
    </row>
    <row r="223" spans="1:16" outlineLevel="2" x14ac:dyDescent="0.3">
      <c r="A223" s="105" t="s">
        <v>815</v>
      </c>
      <c r="B223" s="106"/>
      <c r="C223" s="106"/>
      <c r="D223" s="106"/>
      <c r="E223" s="106" t="s">
        <v>816</v>
      </c>
      <c r="F223" s="106" t="s">
        <v>817</v>
      </c>
      <c r="G223" s="105">
        <v>4</v>
      </c>
      <c r="H223" s="106" t="s">
        <v>7</v>
      </c>
      <c r="I223" s="105" t="s">
        <v>39</v>
      </c>
      <c r="J223" s="105"/>
      <c r="K223" s="105"/>
      <c r="L223" s="105"/>
      <c r="M223" s="106" t="s">
        <v>818</v>
      </c>
      <c r="N223" s="106" t="s">
        <v>808</v>
      </c>
      <c r="O223" s="107"/>
      <c r="P223" s="106" t="s">
        <v>819</v>
      </c>
    </row>
    <row r="224" spans="1:16" outlineLevel="2" x14ac:dyDescent="0.3">
      <c r="A224" s="105" t="s">
        <v>820</v>
      </c>
      <c r="B224" s="106"/>
      <c r="C224" s="106"/>
      <c r="D224" s="106"/>
      <c r="E224" s="106" t="s">
        <v>821</v>
      </c>
      <c r="F224" s="106" t="s">
        <v>822</v>
      </c>
      <c r="G224" s="105">
        <v>4</v>
      </c>
      <c r="H224" s="106" t="s">
        <v>7</v>
      </c>
      <c r="I224" s="105" t="s">
        <v>39</v>
      </c>
      <c r="J224" s="105"/>
      <c r="K224" s="105"/>
      <c r="L224" s="105"/>
      <c r="M224" s="106" t="s">
        <v>823</v>
      </c>
      <c r="N224" s="106" t="s">
        <v>808</v>
      </c>
      <c r="O224" s="107"/>
      <c r="P224" s="106" t="s">
        <v>824</v>
      </c>
    </row>
    <row r="225" spans="1:16" ht="27.6" outlineLevel="1" x14ac:dyDescent="0.3">
      <c r="A225" s="139" t="s">
        <v>825</v>
      </c>
      <c r="B225" s="140"/>
      <c r="C225" s="141" t="s">
        <v>826</v>
      </c>
      <c r="D225" s="140"/>
      <c r="E225" s="140"/>
      <c r="F225" s="140"/>
      <c r="G225" s="139">
        <v>2</v>
      </c>
      <c r="H225" s="140" t="s">
        <v>25</v>
      </c>
      <c r="I225" s="139" t="s">
        <v>39</v>
      </c>
      <c r="J225" s="139">
        <v>10</v>
      </c>
      <c r="K225" s="139">
        <v>0</v>
      </c>
      <c r="L225" s="139">
        <v>8</v>
      </c>
      <c r="M225" s="142" t="s">
        <v>827</v>
      </c>
      <c r="N225" s="142" t="s">
        <v>828</v>
      </c>
      <c r="O225" s="143"/>
      <c r="P225" s="142" t="s">
        <v>829</v>
      </c>
    </row>
    <row r="226" spans="1:16" outlineLevel="2" x14ac:dyDescent="0.3">
      <c r="A226" s="105" t="s">
        <v>830</v>
      </c>
      <c r="B226" s="106"/>
      <c r="C226" s="106"/>
      <c r="D226" s="106"/>
      <c r="E226" s="106" t="s">
        <v>831</v>
      </c>
      <c r="F226" s="106" t="s">
        <v>832</v>
      </c>
      <c r="G226" s="105">
        <v>4</v>
      </c>
      <c r="H226" s="106" t="s">
        <v>7</v>
      </c>
      <c r="I226" s="105" t="s">
        <v>39</v>
      </c>
      <c r="J226" s="105"/>
      <c r="K226" s="105"/>
      <c r="L226" s="105"/>
      <c r="M226" s="106" t="s">
        <v>833</v>
      </c>
      <c r="N226" s="106" t="s">
        <v>834</v>
      </c>
      <c r="O226" s="107"/>
      <c r="P226" s="106" t="s">
        <v>835</v>
      </c>
    </row>
    <row r="227" spans="1:16" outlineLevel="2" x14ac:dyDescent="0.3">
      <c r="A227" s="105" t="s">
        <v>836</v>
      </c>
      <c r="B227" s="106"/>
      <c r="C227" s="106"/>
      <c r="D227" s="106"/>
      <c r="E227" s="106" t="s">
        <v>805</v>
      </c>
      <c r="F227" s="106" t="s">
        <v>806</v>
      </c>
      <c r="G227" s="105">
        <v>4</v>
      </c>
      <c r="H227" s="106" t="s">
        <v>7</v>
      </c>
      <c r="I227" s="105" t="s">
        <v>39</v>
      </c>
      <c r="J227" s="105"/>
      <c r="K227" s="105"/>
      <c r="L227" s="105"/>
      <c r="M227" s="106" t="s">
        <v>807</v>
      </c>
      <c r="N227" s="106" t="s">
        <v>837</v>
      </c>
      <c r="O227" s="107"/>
      <c r="P227" s="106"/>
    </row>
    <row r="228" spans="1:16" outlineLevel="2" x14ac:dyDescent="0.3">
      <c r="A228" s="105" t="s">
        <v>838</v>
      </c>
      <c r="B228" s="106"/>
      <c r="C228" s="106"/>
      <c r="D228" s="106"/>
      <c r="E228" s="106" t="s">
        <v>839</v>
      </c>
      <c r="F228" s="106" t="s">
        <v>840</v>
      </c>
      <c r="G228" s="105">
        <v>4</v>
      </c>
      <c r="H228" s="106" t="s">
        <v>7</v>
      </c>
      <c r="I228" s="105" t="s">
        <v>39</v>
      </c>
      <c r="J228" s="105"/>
      <c r="K228" s="105"/>
      <c r="L228" s="105"/>
      <c r="M228" s="106" t="s">
        <v>841</v>
      </c>
      <c r="N228" s="106" t="s">
        <v>834</v>
      </c>
      <c r="O228" s="107"/>
      <c r="P228" s="106" t="s">
        <v>842</v>
      </c>
    </row>
    <row r="229" spans="1:16" outlineLevel="2" x14ac:dyDescent="0.3">
      <c r="A229" s="105" t="s">
        <v>843</v>
      </c>
      <c r="B229" s="106"/>
      <c r="C229" s="106"/>
      <c r="D229" s="106"/>
      <c r="E229" s="106" t="s">
        <v>844</v>
      </c>
      <c r="F229" s="106" t="s">
        <v>845</v>
      </c>
      <c r="G229" s="105">
        <v>4</v>
      </c>
      <c r="H229" s="106" t="s">
        <v>7</v>
      </c>
      <c r="I229" s="105" t="s">
        <v>39</v>
      </c>
      <c r="J229" s="105"/>
      <c r="K229" s="105"/>
      <c r="L229" s="105"/>
      <c r="M229" s="106" t="s">
        <v>846</v>
      </c>
      <c r="N229" s="106" t="s">
        <v>834</v>
      </c>
      <c r="O229" s="107"/>
      <c r="P229" s="106" t="s">
        <v>847</v>
      </c>
    </row>
    <row r="230" spans="1:16" outlineLevel="2" x14ac:dyDescent="0.3">
      <c r="A230" s="105" t="s">
        <v>848</v>
      </c>
      <c r="B230" s="106"/>
      <c r="C230" s="106"/>
      <c r="D230" s="106"/>
      <c r="E230" s="106" t="s">
        <v>849</v>
      </c>
      <c r="F230" s="106" t="s">
        <v>850</v>
      </c>
      <c r="G230" s="105">
        <v>4</v>
      </c>
      <c r="H230" s="106" t="s">
        <v>7</v>
      </c>
      <c r="I230" s="105" t="s">
        <v>39</v>
      </c>
      <c r="J230" s="105"/>
      <c r="K230" s="105"/>
      <c r="L230" s="105"/>
      <c r="M230" s="106" t="s">
        <v>851</v>
      </c>
      <c r="N230" s="106" t="s">
        <v>834</v>
      </c>
      <c r="O230" s="107" t="s">
        <v>852</v>
      </c>
      <c r="P230" s="106" t="s">
        <v>853</v>
      </c>
    </row>
    <row r="231" spans="1:16" outlineLevel="2" x14ac:dyDescent="0.3">
      <c r="A231" s="105" t="s">
        <v>854</v>
      </c>
      <c r="B231" s="106"/>
      <c r="C231" s="106"/>
      <c r="D231" s="106"/>
      <c r="E231" s="106" t="s">
        <v>855</v>
      </c>
      <c r="F231" s="106" t="s">
        <v>856</v>
      </c>
      <c r="G231" s="105">
        <v>4</v>
      </c>
      <c r="H231" s="106" t="s">
        <v>7</v>
      </c>
      <c r="I231" s="105" t="s">
        <v>39</v>
      </c>
      <c r="J231" s="105"/>
      <c r="K231" s="105"/>
      <c r="L231" s="105"/>
      <c r="M231" s="106" t="s">
        <v>857</v>
      </c>
      <c r="N231" s="106" t="s">
        <v>834</v>
      </c>
      <c r="O231" s="107"/>
      <c r="P231" s="106" t="s">
        <v>858</v>
      </c>
    </row>
    <row r="232" spans="1:16" outlineLevel="2" x14ac:dyDescent="0.3">
      <c r="A232" s="105" t="s">
        <v>859</v>
      </c>
      <c r="B232" s="106"/>
      <c r="C232" s="106"/>
      <c r="D232" s="106"/>
      <c r="E232" s="106" t="s">
        <v>860</v>
      </c>
      <c r="F232" s="106" t="s">
        <v>861</v>
      </c>
      <c r="G232" s="105">
        <v>4</v>
      </c>
      <c r="H232" s="106" t="s">
        <v>7</v>
      </c>
      <c r="I232" s="105" t="s">
        <v>39</v>
      </c>
      <c r="J232" s="105"/>
      <c r="K232" s="105"/>
      <c r="L232" s="105"/>
      <c r="M232" s="106" t="s">
        <v>862</v>
      </c>
      <c r="N232" s="106" t="s">
        <v>837</v>
      </c>
      <c r="O232" s="107" t="s">
        <v>863</v>
      </c>
      <c r="P232" s="106"/>
    </row>
    <row r="233" spans="1:16" outlineLevel="2" x14ac:dyDescent="0.3">
      <c r="A233" s="105" t="s">
        <v>864</v>
      </c>
      <c r="B233" s="106"/>
      <c r="C233" s="106"/>
      <c r="D233" s="106"/>
      <c r="E233" s="106" t="s">
        <v>860</v>
      </c>
      <c r="F233" s="106" t="s">
        <v>865</v>
      </c>
      <c r="G233" s="105">
        <v>4</v>
      </c>
      <c r="H233" s="106" t="s">
        <v>7</v>
      </c>
      <c r="I233" s="105" t="s">
        <v>39</v>
      </c>
      <c r="J233" s="105"/>
      <c r="K233" s="105"/>
      <c r="L233" s="105"/>
      <c r="M233" s="106" t="s">
        <v>866</v>
      </c>
      <c r="N233" s="106" t="s">
        <v>40</v>
      </c>
      <c r="O233" s="107"/>
      <c r="P233" s="106" t="s">
        <v>867</v>
      </c>
    </row>
    <row r="234" spans="1:16" outlineLevel="2" x14ac:dyDescent="0.3">
      <c r="A234" s="105" t="s">
        <v>868</v>
      </c>
      <c r="B234" s="106"/>
      <c r="C234" s="106"/>
      <c r="D234" s="106"/>
      <c r="E234" s="106" t="s">
        <v>811</v>
      </c>
      <c r="F234" s="106" t="s">
        <v>812</v>
      </c>
      <c r="G234" s="105">
        <v>4</v>
      </c>
      <c r="H234" s="106" t="s">
        <v>7</v>
      </c>
      <c r="I234" s="105" t="s">
        <v>39</v>
      </c>
      <c r="J234" s="105"/>
      <c r="K234" s="105"/>
      <c r="L234" s="105"/>
      <c r="M234" s="106" t="s">
        <v>813</v>
      </c>
      <c r="N234" s="106" t="s">
        <v>834</v>
      </c>
      <c r="O234" s="107"/>
      <c r="P234" s="106" t="s">
        <v>814</v>
      </c>
    </row>
    <row r="235" spans="1:16" outlineLevel="2" x14ac:dyDescent="0.3">
      <c r="A235" s="105" t="s">
        <v>869</v>
      </c>
      <c r="B235" s="106"/>
      <c r="C235" s="106"/>
      <c r="D235" s="106"/>
      <c r="E235" s="106" t="s">
        <v>870</v>
      </c>
      <c r="F235" s="106" t="s">
        <v>871</v>
      </c>
      <c r="G235" s="105">
        <v>4</v>
      </c>
      <c r="H235" s="106" t="s">
        <v>7</v>
      </c>
      <c r="I235" s="105" t="s">
        <v>39</v>
      </c>
      <c r="J235" s="105"/>
      <c r="K235" s="105"/>
      <c r="L235" s="105"/>
      <c r="M235" s="106" t="s">
        <v>872</v>
      </c>
      <c r="N235" s="106" t="s">
        <v>834</v>
      </c>
      <c r="O235" s="107"/>
      <c r="P235" s="106" t="s">
        <v>873</v>
      </c>
    </row>
    <row r="236" spans="1:16" ht="27.6" outlineLevel="1" x14ac:dyDescent="0.3">
      <c r="A236" s="139" t="s">
        <v>874</v>
      </c>
      <c r="B236" s="140"/>
      <c r="C236" s="141" t="s">
        <v>875</v>
      </c>
      <c r="D236" s="140"/>
      <c r="E236" s="140"/>
      <c r="F236" s="140"/>
      <c r="G236" s="139">
        <v>2</v>
      </c>
      <c r="H236" s="140" t="s">
        <v>25</v>
      </c>
      <c r="I236" s="139" t="s">
        <v>39</v>
      </c>
      <c r="J236" s="139">
        <v>11</v>
      </c>
      <c r="K236" s="139">
        <v>0</v>
      </c>
      <c r="L236" s="139">
        <v>11</v>
      </c>
      <c r="M236" s="142" t="s">
        <v>876</v>
      </c>
      <c r="N236" s="142" t="s">
        <v>40</v>
      </c>
      <c r="O236" s="143"/>
      <c r="P236" s="142" t="s">
        <v>877</v>
      </c>
    </row>
    <row r="237" spans="1:16" outlineLevel="2" x14ac:dyDescent="0.3">
      <c r="A237" s="105" t="s">
        <v>878</v>
      </c>
      <c r="B237" s="106"/>
      <c r="C237" s="106"/>
      <c r="D237" s="106"/>
      <c r="E237" s="106" t="s">
        <v>879</v>
      </c>
      <c r="F237" s="106" t="s">
        <v>880</v>
      </c>
      <c r="G237" s="105">
        <v>4</v>
      </c>
      <c r="H237" s="106" t="s">
        <v>7</v>
      </c>
      <c r="I237" s="105" t="s">
        <v>39</v>
      </c>
      <c r="J237" s="105"/>
      <c r="K237" s="105"/>
      <c r="L237" s="105"/>
      <c r="M237" s="106" t="s">
        <v>881</v>
      </c>
      <c r="N237" s="106" t="s">
        <v>40</v>
      </c>
      <c r="O237" s="107"/>
      <c r="P237" s="106" t="s">
        <v>882</v>
      </c>
    </row>
    <row r="238" spans="1:16" outlineLevel="2" x14ac:dyDescent="0.3">
      <c r="A238" s="105" t="s">
        <v>883</v>
      </c>
      <c r="B238" s="106"/>
      <c r="C238" s="106"/>
      <c r="D238" s="106"/>
      <c r="E238" s="106" t="s">
        <v>884</v>
      </c>
      <c r="F238" s="106" t="s">
        <v>885</v>
      </c>
      <c r="G238" s="105">
        <v>4</v>
      </c>
      <c r="H238" s="106" t="s">
        <v>7</v>
      </c>
      <c r="I238" s="105" t="s">
        <v>39</v>
      </c>
      <c r="J238" s="105"/>
      <c r="K238" s="105"/>
      <c r="L238" s="105"/>
      <c r="M238" s="106" t="s">
        <v>886</v>
      </c>
      <c r="N238" s="106" t="s">
        <v>223</v>
      </c>
      <c r="O238" s="107"/>
      <c r="P238" s="106" t="s">
        <v>887</v>
      </c>
    </row>
    <row r="239" spans="1:16" outlineLevel="2" x14ac:dyDescent="0.3">
      <c r="A239" s="105" t="s">
        <v>888</v>
      </c>
      <c r="B239" s="106"/>
      <c r="C239" s="106"/>
      <c r="D239" s="106"/>
      <c r="E239" s="106" t="s">
        <v>889</v>
      </c>
      <c r="F239" s="106" t="s">
        <v>890</v>
      </c>
      <c r="G239" s="105">
        <v>4</v>
      </c>
      <c r="H239" s="106" t="s">
        <v>7</v>
      </c>
      <c r="I239" s="105" t="s">
        <v>39</v>
      </c>
      <c r="J239" s="105"/>
      <c r="K239" s="105"/>
      <c r="L239" s="105"/>
      <c r="M239" s="106" t="s">
        <v>891</v>
      </c>
      <c r="N239" s="106" t="s">
        <v>40</v>
      </c>
      <c r="O239" s="107"/>
      <c r="P239" s="106" t="s">
        <v>892</v>
      </c>
    </row>
    <row r="240" spans="1:16" outlineLevel="2" x14ac:dyDescent="0.3">
      <c r="A240" s="105" t="s">
        <v>893</v>
      </c>
      <c r="B240" s="106"/>
      <c r="C240" s="106"/>
      <c r="D240" s="106"/>
      <c r="E240" s="106" t="s">
        <v>894</v>
      </c>
      <c r="F240" s="106" t="s">
        <v>895</v>
      </c>
      <c r="G240" s="105">
        <v>4</v>
      </c>
      <c r="H240" s="106" t="s">
        <v>7</v>
      </c>
      <c r="I240" s="105" t="s">
        <v>39</v>
      </c>
      <c r="J240" s="105"/>
      <c r="K240" s="105"/>
      <c r="L240" s="105"/>
      <c r="M240" s="106" t="s">
        <v>896</v>
      </c>
      <c r="N240" s="106" t="s">
        <v>40</v>
      </c>
      <c r="O240" s="107"/>
      <c r="P240" s="106" t="s">
        <v>897</v>
      </c>
    </row>
    <row r="241" spans="1:16" outlineLevel="2" x14ac:dyDescent="0.3">
      <c r="A241" s="105" t="s">
        <v>898</v>
      </c>
      <c r="B241" s="106"/>
      <c r="C241" s="106"/>
      <c r="D241" s="106"/>
      <c r="E241" s="106" t="s">
        <v>899</v>
      </c>
      <c r="F241" s="106" t="s">
        <v>900</v>
      </c>
      <c r="G241" s="105">
        <v>4</v>
      </c>
      <c r="H241" s="106" t="s">
        <v>7</v>
      </c>
      <c r="I241" s="105" t="s">
        <v>39</v>
      </c>
      <c r="J241" s="105"/>
      <c r="K241" s="105"/>
      <c r="L241" s="105"/>
      <c r="M241" s="106" t="s">
        <v>901</v>
      </c>
      <c r="N241" s="106" t="s">
        <v>40</v>
      </c>
      <c r="O241" s="107"/>
      <c r="P241" s="106" t="s">
        <v>902</v>
      </c>
    </row>
    <row r="242" spans="1:16" outlineLevel="2" x14ac:dyDescent="0.3">
      <c r="A242" s="105" t="s">
        <v>903</v>
      </c>
      <c r="B242" s="106"/>
      <c r="C242" s="106"/>
      <c r="D242" s="106"/>
      <c r="E242" s="106" t="s">
        <v>904</v>
      </c>
      <c r="F242" s="106" t="s">
        <v>905</v>
      </c>
      <c r="G242" s="105">
        <v>4</v>
      </c>
      <c r="H242" s="106" t="s">
        <v>7</v>
      </c>
      <c r="I242" s="105" t="s">
        <v>39</v>
      </c>
      <c r="J242" s="105"/>
      <c r="K242" s="105"/>
      <c r="L242" s="105"/>
      <c r="M242" s="106" t="s">
        <v>906</v>
      </c>
      <c r="N242" s="106" t="s">
        <v>40</v>
      </c>
      <c r="O242" s="107"/>
      <c r="P242" s="106" t="s">
        <v>907</v>
      </c>
    </row>
    <row r="243" spans="1:16" outlineLevel="2" x14ac:dyDescent="0.3">
      <c r="A243" s="105" t="s">
        <v>908</v>
      </c>
      <c r="B243" s="106"/>
      <c r="C243" s="106"/>
      <c r="D243" s="106"/>
      <c r="E243" s="106" t="s">
        <v>909</v>
      </c>
      <c r="F243" s="106" t="s">
        <v>910</v>
      </c>
      <c r="G243" s="105">
        <v>4</v>
      </c>
      <c r="H243" s="106" t="s">
        <v>7</v>
      </c>
      <c r="I243" s="105" t="s">
        <v>39</v>
      </c>
      <c r="J243" s="105"/>
      <c r="K243" s="105"/>
      <c r="L243" s="105"/>
      <c r="M243" s="106" t="s">
        <v>911</v>
      </c>
      <c r="N243" s="106" t="s">
        <v>40</v>
      </c>
      <c r="O243" s="107"/>
      <c r="P243" s="106" t="s">
        <v>912</v>
      </c>
    </row>
    <row r="244" spans="1:16" outlineLevel="2" x14ac:dyDescent="0.3">
      <c r="A244" s="105" t="s">
        <v>913</v>
      </c>
      <c r="B244" s="106"/>
      <c r="C244" s="106"/>
      <c r="D244" s="106"/>
      <c r="E244" s="106" t="s">
        <v>914</v>
      </c>
      <c r="F244" s="106" t="s">
        <v>915</v>
      </c>
      <c r="G244" s="105">
        <v>4</v>
      </c>
      <c r="H244" s="106" t="s">
        <v>7</v>
      </c>
      <c r="I244" s="105" t="s">
        <v>39</v>
      </c>
      <c r="J244" s="105"/>
      <c r="K244" s="105"/>
      <c r="L244" s="105"/>
      <c r="M244" s="106" t="s">
        <v>916</v>
      </c>
      <c r="N244" s="106" t="s">
        <v>40</v>
      </c>
      <c r="O244" s="107"/>
      <c r="P244" s="106" t="s">
        <v>917</v>
      </c>
    </row>
    <row r="245" spans="1:16" outlineLevel="2" x14ac:dyDescent="0.3">
      <c r="A245" s="105" t="s">
        <v>918</v>
      </c>
      <c r="B245" s="106"/>
      <c r="C245" s="106"/>
      <c r="D245" s="106"/>
      <c r="E245" s="106" t="s">
        <v>919</v>
      </c>
      <c r="F245" s="106" t="s">
        <v>920</v>
      </c>
      <c r="G245" s="105">
        <v>4</v>
      </c>
      <c r="H245" s="106" t="s">
        <v>7</v>
      </c>
      <c r="I245" s="105" t="s">
        <v>39</v>
      </c>
      <c r="J245" s="105"/>
      <c r="K245" s="105"/>
      <c r="L245" s="105"/>
      <c r="M245" s="106" t="s">
        <v>921</v>
      </c>
      <c r="N245" s="106" t="s">
        <v>40</v>
      </c>
      <c r="O245" s="107"/>
      <c r="P245" s="106" t="s">
        <v>922</v>
      </c>
    </row>
    <row r="246" spans="1:16" outlineLevel="2" x14ac:dyDescent="0.3">
      <c r="A246" s="105" t="s">
        <v>923</v>
      </c>
      <c r="B246" s="106"/>
      <c r="C246" s="106"/>
      <c r="D246" s="106"/>
      <c r="E246" s="106" t="s">
        <v>924</v>
      </c>
      <c r="F246" s="106" t="s">
        <v>925</v>
      </c>
      <c r="G246" s="105">
        <v>4</v>
      </c>
      <c r="H246" s="106" t="s">
        <v>7</v>
      </c>
      <c r="I246" s="105" t="s">
        <v>39</v>
      </c>
      <c r="J246" s="105"/>
      <c r="K246" s="105"/>
      <c r="L246" s="105"/>
      <c r="M246" s="106" t="s">
        <v>926</v>
      </c>
      <c r="N246" s="106" t="s">
        <v>40</v>
      </c>
      <c r="O246" s="107"/>
      <c r="P246" s="106" t="s">
        <v>927</v>
      </c>
    </row>
    <row r="247" spans="1:16" outlineLevel="2" x14ac:dyDescent="0.3">
      <c r="A247" s="105" t="s">
        <v>928</v>
      </c>
      <c r="B247" s="106"/>
      <c r="C247" s="106"/>
      <c r="D247" s="106"/>
      <c r="E247" s="106" t="s">
        <v>929</v>
      </c>
      <c r="F247" s="106" t="s">
        <v>930</v>
      </c>
      <c r="G247" s="105">
        <v>4</v>
      </c>
      <c r="H247" s="106" t="s">
        <v>7</v>
      </c>
      <c r="I247" s="105" t="s">
        <v>39</v>
      </c>
      <c r="J247" s="105"/>
      <c r="K247" s="105"/>
      <c r="L247" s="105"/>
      <c r="M247" s="106" t="s">
        <v>931</v>
      </c>
      <c r="N247" s="106" t="s">
        <v>40</v>
      </c>
      <c r="O247" s="107"/>
      <c r="P247" s="106" t="s">
        <v>932</v>
      </c>
    </row>
    <row r="248" spans="1:16" ht="27.6" outlineLevel="1" x14ac:dyDescent="0.3">
      <c r="A248" s="139" t="s">
        <v>933</v>
      </c>
      <c r="B248" s="140"/>
      <c r="C248" s="141" t="s">
        <v>934</v>
      </c>
      <c r="D248" s="140"/>
      <c r="E248" s="140"/>
      <c r="F248" s="140"/>
      <c r="G248" s="139">
        <v>2</v>
      </c>
      <c r="H248" s="140" t="s">
        <v>25</v>
      </c>
      <c r="I248" s="139" t="s">
        <v>39</v>
      </c>
      <c r="J248" s="139">
        <v>112</v>
      </c>
      <c r="K248" s="139">
        <v>0</v>
      </c>
      <c r="L248" s="139">
        <v>112</v>
      </c>
      <c r="M248" s="142" t="s">
        <v>935</v>
      </c>
      <c r="N248" s="142" t="s">
        <v>223</v>
      </c>
      <c r="O248" s="143"/>
      <c r="P248" s="142" t="s">
        <v>936</v>
      </c>
    </row>
    <row r="249" spans="1:16" outlineLevel="2" x14ac:dyDescent="0.3">
      <c r="A249" s="105" t="s">
        <v>937</v>
      </c>
      <c r="B249" s="106"/>
      <c r="C249" s="106"/>
      <c r="D249" s="106"/>
      <c r="E249" s="106" t="s">
        <v>938</v>
      </c>
      <c r="F249" s="106" t="s">
        <v>939</v>
      </c>
      <c r="G249" s="105">
        <v>4</v>
      </c>
      <c r="H249" s="106" t="s">
        <v>7</v>
      </c>
      <c r="I249" s="105" t="s">
        <v>39</v>
      </c>
      <c r="J249" s="105"/>
      <c r="K249" s="105"/>
      <c r="L249" s="105"/>
      <c r="M249" s="106" t="s">
        <v>940</v>
      </c>
      <c r="N249" s="106" t="s">
        <v>40</v>
      </c>
      <c r="O249" s="107"/>
      <c r="P249" s="106" t="s">
        <v>941</v>
      </c>
    </row>
    <row r="250" spans="1:16" outlineLevel="2" x14ac:dyDescent="0.3">
      <c r="A250" s="105" t="s">
        <v>942</v>
      </c>
      <c r="B250" s="106"/>
      <c r="C250" s="106"/>
      <c r="D250" s="106"/>
      <c r="E250" s="106" t="s">
        <v>943</v>
      </c>
      <c r="F250" s="106" t="s">
        <v>944</v>
      </c>
      <c r="G250" s="105">
        <v>4</v>
      </c>
      <c r="H250" s="106" t="s">
        <v>7</v>
      </c>
      <c r="I250" s="105" t="s">
        <v>39</v>
      </c>
      <c r="J250" s="105"/>
      <c r="K250" s="105"/>
      <c r="L250" s="105"/>
      <c r="M250" s="106" t="s">
        <v>945</v>
      </c>
      <c r="N250" s="106" t="s">
        <v>40</v>
      </c>
      <c r="O250" s="107"/>
      <c r="P250" s="106" t="s">
        <v>946</v>
      </c>
    </row>
    <row r="251" spans="1:16" outlineLevel="2" x14ac:dyDescent="0.3">
      <c r="A251" s="105" t="s">
        <v>947</v>
      </c>
      <c r="B251" s="106"/>
      <c r="C251" s="106"/>
      <c r="D251" s="106"/>
      <c r="E251" s="106" t="s">
        <v>948</v>
      </c>
      <c r="F251" s="106" t="s">
        <v>949</v>
      </c>
      <c r="G251" s="105">
        <v>4</v>
      </c>
      <c r="H251" s="106" t="s">
        <v>7</v>
      </c>
      <c r="I251" s="105" t="s">
        <v>39</v>
      </c>
      <c r="J251" s="105"/>
      <c r="K251" s="105"/>
      <c r="L251" s="105"/>
      <c r="M251" s="106" t="s">
        <v>950</v>
      </c>
      <c r="N251" s="106" t="s">
        <v>40</v>
      </c>
      <c r="O251" s="107"/>
      <c r="P251" s="106" t="s">
        <v>951</v>
      </c>
    </row>
    <row r="252" spans="1:16" outlineLevel="2" x14ac:dyDescent="0.3">
      <c r="A252" s="105" t="s">
        <v>952</v>
      </c>
      <c r="B252" s="106"/>
      <c r="C252" s="106"/>
      <c r="D252" s="106"/>
      <c r="E252" s="106" t="s">
        <v>831</v>
      </c>
      <c r="F252" s="106" t="s">
        <v>953</v>
      </c>
      <c r="G252" s="105">
        <v>4</v>
      </c>
      <c r="H252" s="106" t="s">
        <v>7</v>
      </c>
      <c r="I252" s="105" t="s">
        <v>39</v>
      </c>
      <c r="J252" s="105"/>
      <c r="K252" s="105"/>
      <c r="L252" s="105"/>
      <c r="M252" s="106" t="s">
        <v>954</v>
      </c>
      <c r="N252" s="106" t="s">
        <v>40</v>
      </c>
      <c r="O252" s="107"/>
      <c r="P252" s="106" t="s">
        <v>835</v>
      </c>
    </row>
    <row r="253" spans="1:16" outlineLevel="2" x14ac:dyDescent="0.3">
      <c r="A253" s="105" t="s">
        <v>955</v>
      </c>
      <c r="B253" s="106"/>
      <c r="C253" s="106"/>
      <c r="D253" s="106"/>
      <c r="E253" s="106" t="s">
        <v>956</v>
      </c>
      <c r="F253" s="106" t="s">
        <v>957</v>
      </c>
      <c r="G253" s="105">
        <v>4</v>
      </c>
      <c r="H253" s="106" t="s">
        <v>7</v>
      </c>
      <c r="I253" s="105" t="s">
        <v>39</v>
      </c>
      <c r="J253" s="105"/>
      <c r="K253" s="105"/>
      <c r="L253" s="105"/>
      <c r="M253" s="106" t="s">
        <v>958</v>
      </c>
      <c r="N253" s="106" t="s">
        <v>40</v>
      </c>
      <c r="O253" s="107" t="s">
        <v>332</v>
      </c>
      <c r="P253" s="106" t="s">
        <v>959</v>
      </c>
    </row>
    <row r="254" spans="1:16" outlineLevel="2" x14ac:dyDescent="0.3">
      <c r="A254" s="105" t="s">
        <v>960</v>
      </c>
      <c r="B254" s="106"/>
      <c r="C254" s="106"/>
      <c r="D254" s="106"/>
      <c r="E254" s="106" t="s">
        <v>879</v>
      </c>
      <c r="F254" s="106" t="s">
        <v>880</v>
      </c>
      <c r="G254" s="105">
        <v>4</v>
      </c>
      <c r="H254" s="106" t="s">
        <v>7</v>
      </c>
      <c r="I254" s="105" t="s">
        <v>39</v>
      </c>
      <c r="J254" s="105"/>
      <c r="K254" s="105"/>
      <c r="L254" s="105"/>
      <c r="M254" s="106" t="s">
        <v>881</v>
      </c>
      <c r="N254" s="106" t="s">
        <v>40</v>
      </c>
      <c r="O254" s="107"/>
      <c r="P254" s="106" t="s">
        <v>882</v>
      </c>
    </row>
    <row r="255" spans="1:16" outlineLevel="2" x14ac:dyDescent="0.3">
      <c r="A255" s="105" t="s">
        <v>961</v>
      </c>
      <c r="B255" s="106"/>
      <c r="C255" s="106"/>
      <c r="D255" s="106"/>
      <c r="E255" s="106" t="s">
        <v>962</v>
      </c>
      <c r="F255" s="106" t="s">
        <v>963</v>
      </c>
      <c r="G255" s="105">
        <v>4</v>
      </c>
      <c r="H255" s="106" t="s">
        <v>7</v>
      </c>
      <c r="I255" s="105" t="s">
        <v>39</v>
      </c>
      <c r="J255" s="105"/>
      <c r="K255" s="105"/>
      <c r="L255" s="105"/>
      <c r="M255" s="106" t="s">
        <v>964</v>
      </c>
      <c r="N255" s="106" t="s">
        <v>40</v>
      </c>
      <c r="O255" s="107"/>
      <c r="P255" s="106" t="s">
        <v>965</v>
      </c>
    </row>
    <row r="256" spans="1:16" outlineLevel="2" x14ac:dyDescent="0.3">
      <c r="A256" s="105" t="s">
        <v>966</v>
      </c>
      <c r="B256" s="106"/>
      <c r="C256" s="106"/>
      <c r="D256" s="106"/>
      <c r="E256" s="106" t="s">
        <v>967</v>
      </c>
      <c r="F256" s="106" t="s">
        <v>968</v>
      </c>
      <c r="G256" s="105">
        <v>4</v>
      </c>
      <c r="H256" s="106" t="s">
        <v>7</v>
      </c>
      <c r="I256" s="105" t="s">
        <v>39</v>
      </c>
      <c r="J256" s="105"/>
      <c r="K256" s="105"/>
      <c r="L256" s="105"/>
      <c r="M256" s="106" t="s">
        <v>969</v>
      </c>
      <c r="N256" s="106" t="s">
        <v>40</v>
      </c>
      <c r="O256" s="107"/>
      <c r="P256" s="106" t="s">
        <v>970</v>
      </c>
    </row>
    <row r="257" spans="1:16" outlineLevel="2" x14ac:dyDescent="0.3">
      <c r="A257" s="105" t="s">
        <v>971</v>
      </c>
      <c r="B257" s="106"/>
      <c r="C257" s="106"/>
      <c r="D257" s="106"/>
      <c r="E257" s="106" t="s">
        <v>972</v>
      </c>
      <c r="F257" s="106" t="s">
        <v>973</v>
      </c>
      <c r="G257" s="105">
        <v>4</v>
      </c>
      <c r="H257" s="106" t="s">
        <v>7</v>
      </c>
      <c r="I257" s="105" t="s">
        <v>39</v>
      </c>
      <c r="J257" s="105"/>
      <c r="K257" s="105"/>
      <c r="L257" s="105"/>
      <c r="M257" s="106" t="s">
        <v>974</v>
      </c>
      <c r="N257" s="106" t="s">
        <v>40</v>
      </c>
      <c r="O257" s="107"/>
      <c r="P257" s="106" t="s">
        <v>975</v>
      </c>
    </row>
    <row r="258" spans="1:16" outlineLevel="2" x14ac:dyDescent="0.3">
      <c r="A258" s="105" t="s">
        <v>976</v>
      </c>
      <c r="B258" s="106"/>
      <c r="C258" s="106"/>
      <c r="D258" s="106"/>
      <c r="E258" s="106" t="s">
        <v>977</v>
      </c>
      <c r="F258" s="106" t="s">
        <v>978</v>
      </c>
      <c r="G258" s="105">
        <v>4</v>
      </c>
      <c r="H258" s="106" t="s">
        <v>7</v>
      </c>
      <c r="I258" s="105" t="s">
        <v>39</v>
      </c>
      <c r="J258" s="105"/>
      <c r="K258" s="105"/>
      <c r="L258" s="105"/>
      <c r="M258" s="106" t="s">
        <v>979</v>
      </c>
      <c r="N258" s="106" t="s">
        <v>40</v>
      </c>
      <c r="O258" s="107"/>
      <c r="P258" s="106" t="s">
        <v>980</v>
      </c>
    </row>
    <row r="259" spans="1:16" outlineLevel="2" x14ac:dyDescent="0.3">
      <c r="A259" s="105" t="s">
        <v>981</v>
      </c>
      <c r="B259" s="106"/>
      <c r="C259" s="106"/>
      <c r="D259" s="106"/>
      <c r="E259" s="106" t="s">
        <v>982</v>
      </c>
      <c r="F259" s="106" t="s">
        <v>983</v>
      </c>
      <c r="G259" s="105">
        <v>4</v>
      </c>
      <c r="H259" s="106" t="s">
        <v>7</v>
      </c>
      <c r="I259" s="105" t="s">
        <v>39</v>
      </c>
      <c r="J259" s="105"/>
      <c r="K259" s="105"/>
      <c r="L259" s="105"/>
      <c r="M259" s="106" t="s">
        <v>984</v>
      </c>
      <c r="N259" s="106" t="s">
        <v>40</v>
      </c>
      <c r="O259" s="107"/>
      <c r="P259" s="106" t="s">
        <v>985</v>
      </c>
    </row>
    <row r="260" spans="1:16" outlineLevel="2" x14ac:dyDescent="0.3">
      <c r="A260" s="105" t="s">
        <v>986</v>
      </c>
      <c r="B260" s="106"/>
      <c r="C260" s="106"/>
      <c r="D260" s="106"/>
      <c r="E260" s="106" t="s">
        <v>987</v>
      </c>
      <c r="F260" s="106" t="s">
        <v>988</v>
      </c>
      <c r="G260" s="105">
        <v>4</v>
      </c>
      <c r="H260" s="106" t="s">
        <v>7</v>
      </c>
      <c r="I260" s="105" t="s">
        <v>39</v>
      </c>
      <c r="J260" s="105"/>
      <c r="K260" s="105"/>
      <c r="L260" s="105"/>
      <c r="M260" s="106" t="s">
        <v>989</v>
      </c>
      <c r="N260" s="106" t="s">
        <v>40</v>
      </c>
      <c r="O260" s="107"/>
      <c r="P260" s="106" t="s">
        <v>990</v>
      </c>
    </row>
    <row r="261" spans="1:16" outlineLevel="2" x14ac:dyDescent="0.3">
      <c r="A261" s="105" t="s">
        <v>991</v>
      </c>
      <c r="B261" s="106"/>
      <c r="C261" s="106"/>
      <c r="D261" s="106"/>
      <c r="E261" s="106" t="s">
        <v>992</v>
      </c>
      <c r="F261" s="106" t="s">
        <v>993</v>
      </c>
      <c r="G261" s="105">
        <v>4</v>
      </c>
      <c r="H261" s="106" t="s">
        <v>7</v>
      </c>
      <c r="I261" s="105" t="s">
        <v>39</v>
      </c>
      <c r="J261" s="105"/>
      <c r="K261" s="105"/>
      <c r="L261" s="105"/>
      <c r="M261" s="106" t="s">
        <v>994</v>
      </c>
      <c r="N261" s="106" t="s">
        <v>223</v>
      </c>
      <c r="O261" s="107"/>
      <c r="P261" s="106" t="s">
        <v>995</v>
      </c>
    </row>
    <row r="262" spans="1:16" outlineLevel="2" x14ac:dyDescent="0.3">
      <c r="A262" s="105" t="s">
        <v>996</v>
      </c>
      <c r="B262" s="106"/>
      <c r="C262" s="106"/>
      <c r="D262" s="106"/>
      <c r="E262" s="106" t="s">
        <v>997</v>
      </c>
      <c r="F262" s="106" t="s">
        <v>998</v>
      </c>
      <c r="G262" s="105">
        <v>4</v>
      </c>
      <c r="H262" s="106" t="s">
        <v>7</v>
      </c>
      <c r="I262" s="105" t="s">
        <v>39</v>
      </c>
      <c r="J262" s="105"/>
      <c r="K262" s="105"/>
      <c r="L262" s="105"/>
      <c r="M262" s="106" t="s">
        <v>999</v>
      </c>
      <c r="N262" s="106" t="s">
        <v>40</v>
      </c>
      <c r="O262" s="107"/>
      <c r="P262" s="106" t="s">
        <v>1000</v>
      </c>
    </row>
    <row r="263" spans="1:16" outlineLevel="2" x14ac:dyDescent="0.3">
      <c r="A263" s="105" t="s">
        <v>1001</v>
      </c>
      <c r="B263" s="106"/>
      <c r="C263" s="106"/>
      <c r="D263" s="106"/>
      <c r="E263" s="106" t="s">
        <v>1002</v>
      </c>
      <c r="F263" s="106" t="s">
        <v>1003</v>
      </c>
      <c r="G263" s="105">
        <v>4</v>
      </c>
      <c r="H263" s="106" t="s">
        <v>7</v>
      </c>
      <c r="I263" s="105" t="s">
        <v>39</v>
      </c>
      <c r="J263" s="105"/>
      <c r="K263" s="105"/>
      <c r="L263" s="105"/>
      <c r="M263" s="106" t="s">
        <v>1004</v>
      </c>
      <c r="N263" s="106" t="s">
        <v>223</v>
      </c>
      <c r="O263" s="107"/>
      <c r="P263" s="106" t="s">
        <v>1005</v>
      </c>
    </row>
    <row r="264" spans="1:16" outlineLevel="2" x14ac:dyDescent="0.3">
      <c r="A264" s="105" t="s">
        <v>1006</v>
      </c>
      <c r="B264" s="106"/>
      <c r="C264" s="106"/>
      <c r="D264" s="106"/>
      <c r="E264" s="106" t="s">
        <v>1007</v>
      </c>
      <c r="F264" s="106" t="s">
        <v>1008</v>
      </c>
      <c r="G264" s="105">
        <v>4</v>
      </c>
      <c r="H264" s="106" t="s">
        <v>7</v>
      </c>
      <c r="I264" s="105" t="s">
        <v>39</v>
      </c>
      <c r="J264" s="105"/>
      <c r="K264" s="105"/>
      <c r="L264" s="105"/>
      <c r="M264" s="106" t="s">
        <v>1009</v>
      </c>
      <c r="N264" s="106" t="s">
        <v>223</v>
      </c>
      <c r="O264" s="107"/>
      <c r="P264" s="106" t="s">
        <v>1010</v>
      </c>
    </row>
    <row r="265" spans="1:16" outlineLevel="2" x14ac:dyDescent="0.3">
      <c r="A265" s="105" t="s">
        <v>1011</v>
      </c>
      <c r="B265" s="106"/>
      <c r="C265" s="106"/>
      <c r="D265" s="106"/>
      <c r="E265" s="106" t="s">
        <v>1012</v>
      </c>
      <c r="F265" s="106" t="s">
        <v>1013</v>
      </c>
      <c r="G265" s="105">
        <v>4</v>
      </c>
      <c r="H265" s="106" t="s">
        <v>7</v>
      </c>
      <c r="I265" s="105" t="s">
        <v>39</v>
      </c>
      <c r="J265" s="105"/>
      <c r="K265" s="105"/>
      <c r="L265" s="105"/>
      <c r="M265" s="106" t="s">
        <v>1014</v>
      </c>
      <c r="N265" s="106" t="s">
        <v>223</v>
      </c>
      <c r="O265" s="107"/>
      <c r="P265" s="106" t="s">
        <v>1015</v>
      </c>
    </row>
    <row r="266" spans="1:16" outlineLevel="2" x14ac:dyDescent="0.3">
      <c r="A266" s="105" t="s">
        <v>1016</v>
      </c>
      <c r="B266" s="106"/>
      <c r="C266" s="106"/>
      <c r="D266" s="106"/>
      <c r="E266" s="106" t="s">
        <v>1017</v>
      </c>
      <c r="F266" s="106" t="s">
        <v>1018</v>
      </c>
      <c r="G266" s="105">
        <v>4</v>
      </c>
      <c r="H266" s="106" t="s">
        <v>7</v>
      </c>
      <c r="I266" s="105" t="s">
        <v>39</v>
      </c>
      <c r="J266" s="105"/>
      <c r="K266" s="105"/>
      <c r="L266" s="105"/>
      <c r="M266" s="106" t="s">
        <v>1019</v>
      </c>
      <c r="N266" s="106" t="s">
        <v>223</v>
      </c>
      <c r="O266" s="107"/>
      <c r="P266" s="106" t="s">
        <v>1020</v>
      </c>
    </row>
    <row r="267" spans="1:16" outlineLevel="2" x14ac:dyDescent="0.3">
      <c r="A267" s="105" t="s">
        <v>1021</v>
      </c>
      <c r="B267" s="106"/>
      <c r="C267" s="106"/>
      <c r="D267" s="106"/>
      <c r="E267" s="106" t="s">
        <v>1022</v>
      </c>
      <c r="F267" s="106" t="s">
        <v>1023</v>
      </c>
      <c r="G267" s="105">
        <v>4</v>
      </c>
      <c r="H267" s="106" t="s">
        <v>7</v>
      </c>
      <c r="I267" s="105" t="s">
        <v>39</v>
      </c>
      <c r="J267" s="105"/>
      <c r="K267" s="105"/>
      <c r="L267" s="105"/>
      <c r="M267" s="106" t="s">
        <v>1024</v>
      </c>
      <c r="N267" s="106" t="s">
        <v>223</v>
      </c>
      <c r="O267" s="107"/>
      <c r="P267" s="106" t="s">
        <v>1025</v>
      </c>
    </row>
    <row r="268" spans="1:16" outlineLevel="2" x14ac:dyDescent="0.3">
      <c r="A268" s="105" t="s">
        <v>1026</v>
      </c>
      <c r="B268" s="106"/>
      <c r="C268" s="106"/>
      <c r="D268" s="106"/>
      <c r="E268" s="106" t="s">
        <v>1027</v>
      </c>
      <c r="F268" s="106" t="s">
        <v>1028</v>
      </c>
      <c r="G268" s="105">
        <v>4</v>
      </c>
      <c r="H268" s="106" t="s">
        <v>7</v>
      </c>
      <c r="I268" s="105" t="s">
        <v>39</v>
      </c>
      <c r="J268" s="105"/>
      <c r="K268" s="105"/>
      <c r="L268" s="105"/>
      <c r="M268" s="106" t="s">
        <v>1029</v>
      </c>
      <c r="N268" s="106" t="s">
        <v>223</v>
      </c>
      <c r="O268" s="107"/>
      <c r="P268" s="106" t="s">
        <v>1030</v>
      </c>
    </row>
    <row r="269" spans="1:16" outlineLevel="2" x14ac:dyDescent="0.3">
      <c r="A269" s="105" t="s">
        <v>1031</v>
      </c>
      <c r="B269" s="106"/>
      <c r="C269" s="106"/>
      <c r="D269" s="106"/>
      <c r="E269" s="106" t="s">
        <v>1032</v>
      </c>
      <c r="F269" s="106" t="s">
        <v>1033</v>
      </c>
      <c r="G269" s="105">
        <v>4</v>
      </c>
      <c r="H269" s="106" t="s">
        <v>7</v>
      </c>
      <c r="I269" s="105" t="s">
        <v>39</v>
      </c>
      <c r="J269" s="105"/>
      <c r="K269" s="105"/>
      <c r="L269" s="105"/>
      <c r="M269" s="106" t="s">
        <v>1034</v>
      </c>
      <c r="N269" s="106" t="s">
        <v>40</v>
      </c>
      <c r="O269" s="107"/>
      <c r="P269" s="106" t="s">
        <v>1035</v>
      </c>
    </row>
    <row r="270" spans="1:16" outlineLevel="2" x14ac:dyDescent="0.3">
      <c r="A270" s="105" t="s">
        <v>1036</v>
      </c>
      <c r="B270" s="106"/>
      <c r="C270" s="106"/>
      <c r="D270" s="106"/>
      <c r="E270" s="106" t="s">
        <v>1037</v>
      </c>
      <c r="F270" s="106" t="s">
        <v>1038</v>
      </c>
      <c r="G270" s="105">
        <v>4</v>
      </c>
      <c r="H270" s="106" t="s">
        <v>7</v>
      </c>
      <c r="I270" s="105" t="s">
        <v>39</v>
      </c>
      <c r="J270" s="105"/>
      <c r="K270" s="105"/>
      <c r="L270" s="105"/>
      <c r="M270" s="106" t="s">
        <v>1039</v>
      </c>
      <c r="N270" s="106" t="s">
        <v>40</v>
      </c>
      <c r="O270" s="107"/>
      <c r="P270" s="106" t="s">
        <v>1040</v>
      </c>
    </row>
    <row r="271" spans="1:16" outlineLevel="2" x14ac:dyDescent="0.3">
      <c r="A271" s="105" t="s">
        <v>1041</v>
      </c>
      <c r="B271" s="106"/>
      <c r="C271" s="106"/>
      <c r="D271" s="106"/>
      <c r="E271" s="106" t="s">
        <v>304</v>
      </c>
      <c r="F271" s="106" t="s">
        <v>305</v>
      </c>
      <c r="G271" s="105">
        <v>4</v>
      </c>
      <c r="H271" s="106" t="s">
        <v>7</v>
      </c>
      <c r="I271" s="105" t="s">
        <v>39</v>
      </c>
      <c r="J271" s="105"/>
      <c r="K271" s="105"/>
      <c r="L271" s="105"/>
      <c r="M271" s="106" t="s">
        <v>306</v>
      </c>
      <c r="N271" s="106" t="s">
        <v>223</v>
      </c>
      <c r="O271" s="107"/>
      <c r="P271" s="106" t="s">
        <v>1042</v>
      </c>
    </row>
    <row r="272" spans="1:16" outlineLevel="2" x14ac:dyDescent="0.3">
      <c r="A272" s="105" t="s">
        <v>1043</v>
      </c>
      <c r="B272" s="106"/>
      <c r="C272" s="106"/>
      <c r="D272" s="106"/>
      <c r="E272" s="106" t="s">
        <v>1044</v>
      </c>
      <c r="F272" s="106" t="s">
        <v>1045</v>
      </c>
      <c r="G272" s="105">
        <v>4</v>
      </c>
      <c r="H272" s="106" t="s">
        <v>7</v>
      </c>
      <c r="I272" s="105" t="s">
        <v>39</v>
      </c>
      <c r="J272" s="105"/>
      <c r="K272" s="105"/>
      <c r="L272" s="105"/>
      <c r="M272" s="106" t="s">
        <v>1046</v>
      </c>
      <c r="N272" s="106" t="s">
        <v>223</v>
      </c>
      <c r="O272" s="107"/>
      <c r="P272" s="106" t="s">
        <v>1047</v>
      </c>
    </row>
    <row r="273" spans="1:16" outlineLevel="2" x14ac:dyDescent="0.3">
      <c r="A273" s="105" t="s">
        <v>1048</v>
      </c>
      <c r="B273" s="106"/>
      <c r="C273" s="106"/>
      <c r="D273" s="106"/>
      <c r="E273" s="106" t="s">
        <v>1049</v>
      </c>
      <c r="F273" s="106" t="s">
        <v>1050</v>
      </c>
      <c r="G273" s="105">
        <v>4</v>
      </c>
      <c r="H273" s="106" t="s">
        <v>7</v>
      </c>
      <c r="I273" s="105" t="s">
        <v>39</v>
      </c>
      <c r="J273" s="105"/>
      <c r="K273" s="105"/>
      <c r="L273" s="105"/>
      <c r="M273" s="106" t="s">
        <v>1051</v>
      </c>
      <c r="N273" s="106" t="s">
        <v>40</v>
      </c>
      <c r="O273" s="107" t="s">
        <v>332</v>
      </c>
      <c r="P273" s="106" t="s">
        <v>1052</v>
      </c>
    </row>
    <row r="274" spans="1:16" outlineLevel="2" x14ac:dyDescent="0.3">
      <c r="A274" s="105" t="s">
        <v>1053</v>
      </c>
      <c r="B274" s="106"/>
      <c r="C274" s="106"/>
      <c r="D274" s="106"/>
      <c r="E274" s="106" t="s">
        <v>1054</v>
      </c>
      <c r="F274" s="106" t="s">
        <v>1055</v>
      </c>
      <c r="G274" s="105">
        <v>4</v>
      </c>
      <c r="H274" s="106" t="s">
        <v>7</v>
      </c>
      <c r="I274" s="105" t="s">
        <v>39</v>
      </c>
      <c r="J274" s="105"/>
      <c r="K274" s="105"/>
      <c r="L274" s="105"/>
      <c r="M274" s="106" t="s">
        <v>1056</v>
      </c>
      <c r="N274" s="106" t="s">
        <v>40</v>
      </c>
      <c r="O274" s="107"/>
      <c r="P274" s="106" t="s">
        <v>1057</v>
      </c>
    </row>
    <row r="275" spans="1:16" outlineLevel="2" x14ac:dyDescent="0.3">
      <c r="A275" s="105" t="s">
        <v>1058</v>
      </c>
      <c r="B275" s="106"/>
      <c r="C275" s="106"/>
      <c r="D275" s="106"/>
      <c r="E275" s="106" t="s">
        <v>1059</v>
      </c>
      <c r="F275" s="106" t="s">
        <v>1060</v>
      </c>
      <c r="G275" s="105">
        <v>4</v>
      </c>
      <c r="H275" s="106" t="s">
        <v>7</v>
      </c>
      <c r="I275" s="105" t="s">
        <v>39</v>
      </c>
      <c r="J275" s="105"/>
      <c r="K275" s="105"/>
      <c r="L275" s="105"/>
      <c r="M275" s="106" t="s">
        <v>1061</v>
      </c>
      <c r="N275" s="106" t="s">
        <v>40</v>
      </c>
      <c r="O275" s="107"/>
      <c r="P275" s="106" t="s">
        <v>1062</v>
      </c>
    </row>
    <row r="276" spans="1:16" outlineLevel="2" x14ac:dyDescent="0.3">
      <c r="A276" s="105" t="s">
        <v>1063</v>
      </c>
      <c r="B276" s="106"/>
      <c r="C276" s="106"/>
      <c r="D276" s="106"/>
      <c r="E276" s="106" t="s">
        <v>839</v>
      </c>
      <c r="F276" s="106" t="s">
        <v>1064</v>
      </c>
      <c r="G276" s="105">
        <v>4</v>
      </c>
      <c r="H276" s="106" t="s">
        <v>7</v>
      </c>
      <c r="I276" s="105" t="s">
        <v>39</v>
      </c>
      <c r="J276" s="105"/>
      <c r="K276" s="105"/>
      <c r="L276" s="105"/>
      <c r="M276" s="106" t="s">
        <v>1065</v>
      </c>
      <c r="N276" s="106" t="s">
        <v>40</v>
      </c>
      <c r="O276" s="107"/>
      <c r="P276" s="106" t="s">
        <v>842</v>
      </c>
    </row>
    <row r="277" spans="1:16" outlineLevel="2" x14ac:dyDescent="0.3">
      <c r="A277" s="105" t="s">
        <v>1066</v>
      </c>
      <c r="B277" s="106"/>
      <c r="C277" s="106"/>
      <c r="D277" s="106"/>
      <c r="E277" s="106" t="s">
        <v>1067</v>
      </c>
      <c r="F277" s="106" t="s">
        <v>1068</v>
      </c>
      <c r="G277" s="105">
        <v>4</v>
      </c>
      <c r="H277" s="106" t="s">
        <v>7</v>
      </c>
      <c r="I277" s="105" t="s">
        <v>39</v>
      </c>
      <c r="J277" s="105"/>
      <c r="K277" s="105"/>
      <c r="L277" s="105"/>
      <c r="M277" s="106" t="s">
        <v>1069</v>
      </c>
      <c r="N277" s="106" t="s">
        <v>40</v>
      </c>
      <c r="O277" s="107"/>
      <c r="P277" s="106" t="s">
        <v>1070</v>
      </c>
    </row>
    <row r="278" spans="1:16" outlineLevel="2" x14ac:dyDescent="0.3">
      <c r="A278" s="105" t="s">
        <v>1071</v>
      </c>
      <c r="B278" s="106"/>
      <c r="C278" s="106"/>
      <c r="D278" s="106"/>
      <c r="E278" s="106" t="s">
        <v>1072</v>
      </c>
      <c r="F278" s="106" t="s">
        <v>1073</v>
      </c>
      <c r="G278" s="105">
        <v>4</v>
      </c>
      <c r="H278" s="106" t="s">
        <v>7</v>
      </c>
      <c r="I278" s="105" t="s">
        <v>39</v>
      </c>
      <c r="J278" s="105"/>
      <c r="K278" s="105"/>
      <c r="L278" s="105"/>
      <c r="M278" s="106" t="s">
        <v>1074</v>
      </c>
      <c r="N278" s="106" t="s">
        <v>40</v>
      </c>
      <c r="O278" s="107"/>
      <c r="P278" s="106" t="s">
        <v>1075</v>
      </c>
    </row>
    <row r="279" spans="1:16" outlineLevel="2" x14ac:dyDescent="0.3">
      <c r="A279" s="105" t="s">
        <v>1076</v>
      </c>
      <c r="B279" s="106"/>
      <c r="C279" s="106"/>
      <c r="D279" s="106"/>
      <c r="E279" s="106" t="s">
        <v>1077</v>
      </c>
      <c r="F279" s="106" t="s">
        <v>1078</v>
      </c>
      <c r="G279" s="105">
        <v>4</v>
      </c>
      <c r="H279" s="106" t="s">
        <v>7</v>
      </c>
      <c r="I279" s="105" t="s">
        <v>39</v>
      </c>
      <c r="J279" s="105"/>
      <c r="K279" s="105"/>
      <c r="L279" s="105"/>
      <c r="M279" s="106" t="s">
        <v>1061</v>
      </c>
      <c r="N279" s="106" t="s">
        <v>40</v>
      </c>
      <c r="O279" s="107"/>
      <c r="P279" s="106" t="s">
        <v>1079</v>
      </c>
    </row>
    <row r="280" spans="1:16" outlineLevel="2" x14ac:dyDescent="0.3">
      <c r="A280" s="105" t="s">
        <v>1080</v>
      </c>
      <c r="B280" s="106"/>
      <c r="C280" s="106"/>
      <c r="D280" s="106"/>
      <c r="E280" s="106" t="s">
        <v>1081</v>
      </c>
      <c r="F280" s="106" t="s">
        <v>1082</v>
      </c>
      <c r="G280" s="105">
        <v>4</v>
      </c>
      <c r="H280" s="106" t="s">
        <v>7</v>
      </c>
      <c r="I280" s="105" t="s">
        <v>39</v>
      </c>
      <c r="J280" s="105"/>
      <c r="K280" s="105"/>
      <c r="L280" s="105"/>
      <c r="M280" s="106" t="s">
        <v>1083</v>
      </c>
      <c r="N280" s="106" t="s">
        <v>40</v>
      </c>
      <c r="O280" s="107"/>
      <c r="P280" s="106" t="s">
        <v>1084</v>
      </c>
    </row>
    <row r="281" spans="1:16" outlineLevel="2" x14ac:dyDescent="0.3">
      <c r="A281" s="105" t="s">
        <v>1085</v>
      </c>
      <c r="B281" s="106"/>
      <c r="C281" s="106"/>
      <c r="D281" s="106"/>
      <c r="E281" s="106" t="s">
        <v>1086</v>
      </c>
      <c r="F281" s="106" t="s">
        <v>1087</v>
      </c>
      <c r="G281" s="105">
        <v>4</v>
      </c>
      <c r="H281" s="106" t="s">
        <v>7</v>
      </c>
      <c r="I281" s="105" t="s">
        <v>39</v>
      </c>
      <c r="J281" s="105"/>
      <c r="K281" s="105"/>
      <c r="L281" s="105"/>
      <c r="M281" s="106" t="s">
        <v>1088</v>
      </c>
      <c r="N281" s="106" t="s">
        <v>40</v>
      </c>
      <c r="O281" s="107"/>
      <c r="P281" s="106" t="s">
        <v>1089</v>
      </c>
    </row>
    <row r="282" spans="1:16" outlineLevel="2" x14ac:dyDescent="0.3">
      <c r="A282" s="105" t="s">
        <v>1090</v>
      </c>
      <c r="B282" s="106"/>
      <c r="C282" s="106"/>
      <c r="D282" s="106"/>
      <c r="E282" s="106" t="s">
        <v>1091</v>
      </c>
      <c r="F282" s="106" t="s">
        <v>1092</v>
      </c>
      <c r="G282" s="105">
        <v>4</v>
      </c>
      <c r="H282" s="106" t="s">
        <v>7</v>
      </c>
      <c r="I282" s="105" t="s">
        <v>39</v>
      </c>
      <c r="J282" s="105"/>
      <c r="K282" s="105"/>
      <c r="L282" s="105"/>
      <c r="M282" s="106" t="s">
        <v>1093</v>
      </c>
      <c r="N282" s="106" t="s">
        <v>40</v>
      </c>
      <c r="O282" s="107" t="s">
        <v>332</v>
      </c>
      <c r="P282" s="106" t="s">
        <v>1094</v>
      </c>
    </row>
    <row r="283" spans="1:16" outlineLevel="2" x14ac:dyDescent="0.3">
      <c r="A283" s="105" t="s">
        <v>1095</v>
      </c>
      <c r="B283" s="106"/>
      <c r="C283" s="106"/>
      <c r="D283" s="106"/>
      <c r="E283" s="106" t="s">
        <v>1096</v>
      </c>
      <c r="F283" s="106" t="s">
        <v>1097</v>
      </c>
      <c r="G283" s="105">
        <v>4</v>
      </c>
      <c r="H283" s="106" t="s">
        <v>7</v>
      </c>
      <c r="I283" s="105" t="s">
        <v>39</v>
      </c>
      <c r="J283" s="105"/>
      <c r="K283" s="105"/>
      <c r="L283" s="105"/>
      <c r="M283" s="106" t="s">
        <v>1098</v>
      </c>
      <c r="N283" s="106" t="s">
        <v>40</v>
      </c>
      <c r="O283" s="107"/>
      <c r="P283" s="106" t="s">
        <v>1099</v>
      </c>
    </row>
    <row r="284" spans="1:16" outlineLevel="2" x14ac:dyDescent="0.3">
      <c r="A284" s="105" t="s">
        <v>1100</v>
      </c>
      <c r="B284" s="106"/>
      <c r="C284" s="106"/>
      <c r="D284" s="106"/>
      <c r="E284" s="106" t="s">
        <v>1101</v>
      </c>
      <c r="F284" s="106" t="s">
        <v>1102</v>
      </c>
      <c r="G284" s="105">
        <v>4</v>
      </c>
      <c r="H284" s="106" t="s">
        <v>7</v>
      </c>
      <c r="I284" s="105" t="s">
        <v>39</v>
      </c>
      <c r="J284" s="105"/>
      <c r="K284" s="105"/>
      <c r="L284" s="105"/>
      <c r="M284" s="106" t="s">
        <v>1103</v>
      </c>
      <c r="N284" s="106" t="s">
        <v>40</v>
      </c>
      <c r="O284" s="107"/>
      <c r="P284" s="106" t="s">
        <v>1104</v>
      </c>
    </row>
    <row r="285" spans="1:16" outlineLevel="2" x14ac:dyDescent="0.3">
      <c r="A285" s="105" t="s">
        <v>1105</v>
      </c>
      <c r="B285" s="106"/>
      <c r="C285" s="106"/>
      <c r="D285" s="106"/>
      <c r="E285" s="106" t="s">
        <v>1106</v>
      </c>
      <c r="F285" s="106" t="s">
        <v>1107</v>
      </c>
      <c r="G285" s="105">
        <v>4</v>
      </c>
      <c r="H285" s="106" t="s">
        <v>7</v>
      </c>
      <c r="I285" s="105" t="s">
        <v>39</v>
      </c>
      <c r="J285" s="105"/>
      <c r="K285" s="105"/>
      <c r="L285" s="105"/>
      <c r="M285" s="106" t="s">
        <v>1108</v>
      </c>
      <c r="N285" s="106" t="s">
        <v>40</v>
      </c>
      <c r="O285" s="107"/>
      <c r="P285" s="106" t="s">
        <v>1109</v>
      </c>
    </row>
    <row r="286" spans="1:16" outlineLevel="2" x14ac:dyDescent="0.3">
      <c r="A286" s="105" t="s">
        <v>1110</v>
      </c>
      <c r="B286" s="106"/>
      <c r="C286" s="106"/>
      <c r="D286" s="106"/>
      <c r="E286" s="106" t="s">
        <v>1111</v>
      </c>
      <c r="F286" s="106" t="s">
        <v>1112</v>
      </c>
      <c r="G286" s="105">
        <v>4</v>
      </c>
      <c r="H286" s="106" t="s">
        <v>7</v>
      </c>
      <c r="I286" s="105" t="s">
        <v>39</v>
      </c>
      <c r="J286" s="105"/>
      <c r="K286" s="105"/>
      <c r="L286" s="105"/>
      <c r="M286" s="106" t="s">
        <v>1113</v>
      </c>
      <c r="N286" s="106" t="s">
        <v>40</v>
      </c>
      <c r="O286" s="107"/>
      <c r="P286" s="106" t="s">
        <v>1114</v>
      </c>
    </row>
    <row r="287" spans="1:16" outlineLevel="2" x14ac:dyDescent="0.3">
      <c r="A287" s="105" t="s">
        <v>1115</v>
      </c>
      <c r="B287" s="106"/>
      <c r="C287" s="106"/>
      <c r="D287" s="106"/>
      <c r="E287" s="106" t="s">
        <v>1116</v>
      </c>
      <c r="F287" s="106" t="s">
        <v>1117</v>
      </c>
      <c r="G287" s="105">
        <v>4</v>
      </c>
      <c r="H287" s="106" t="s">
        <v>7</v>
      </c>
      <c r="I287" s="105" t="s">
        <v>39</v>
      </c>
      <c r="J287" s="105"/>
      <c r="K287" s="105"/>
      <c r="L287" s="105"/>
      <c r="M287" s="106" t="s">
        <v>1118</v>
      </c>
      <c r="N287" s="106" t="s">
        <v>40</v>
      </c>
      <c r="O287" s="107" t="s">
        <v>332</v>
      </c>
      <c r="P287" s="106" t="s">
        <v>1119</v>
      </c>
    </row>
    <row r="288" spans="1:16" outlineLevel="2" x14ac:dyDescent="0.3">
      <c r="A288" s="105" t="s">
        <v>1120</v>
      </c>
      <c r="B288" s="106"/>
      <c r="C288" s="106"/>
      <c r="D288" s="106"/>
      <c r="E288" s="106" t="s">
        <v>1121</v>
      </c>
      <c r="F288" s="106" t="s">
        <v>1122</v>
      </c>
      <c r="G288" s="105">
        <v>4</v>
      </c>
      <c r="H288" s="106" t="s">
        <v>7</v>
      </c>
      <c r="I288" s="105" t="s">
        <v>39</v>
      </c>
      <c r="J288" s="105"/>
      <c r="K288" s="105"/>
      <c r="L288" s="105"/>
      <c r="M288" s="106" t="s">
        <v>1123</v>
      </c>
      <c r="N288" s="106" t="s">
        <v>223</v>
      </c>
      <c r="O288" s="107"/>
      <c r="P288" s="106" t="s">
        <v>1124</v>
      </c>
    </row>
    <row r="289" spans="1:16" outlineLevel="2" x14ac:dyDescent="0.3">
      <c r="A289" s="105" t="s">
        <v>1125</v>
      </c>
      <c r="B289" s="106"/>
      <c r="C289" s="106"/>
      <c r="D289" s="106"/>
      <c r="E289" s="106" t="s">
        <v>1126</v>
      </c>
      <c r="F289" s="106" t="s">
        <v>1127</v>
      </c>
      <c r="G289" s="105">
        <v>4</v>
      </c>
      <c r="H289" s="106" t="s">
        <v>7</v>
      </c>
      <c r="I289" s="105" t="s">
        <v>39</v>
      </c>
      <c r="J289" s="105"/>
      <c r="K289" s="105"/>
      <c r="L289" s="105"/>
      <c r="M289" s="106" t="s">
        <v>1128</v>
      </c>
      <c r="N289" s="106" t="s">
        <v>223</v>
      </c>
      <c r="O289" s="107"/>
      <c r="P289" s="106" t="s">
        <v>1129</v>
      </c>
    </row>
    <row r="290" spans="1:16" outlineLevel="2" x14ac:dyDescent="0.3">
      <c r="A290" s="105" t="s">
        <v>1130</v>
      </c>
      <c r="B290" s="106"/>
      <c r="C290" s="106"/>
      <c r="D290" s="106"/>
      <c r="E290" s="106" t="s">
        <v>1131</v>
      </c>
      <c r="F290" s="106" t="s">
        <v>1132</v>
      </c>
      <c r="G290" s="105">
        <v>4</v>
      </c>
      <c r="H290" s="106" t="s">
        <v>7</v>
      </c>
      <c r="I290" s="105" t="s">
        <v>39</v>
      </c>
      <c r="J290" s="105"/>
      <c r="K290" s="105"/>
      <c r="L290" s="105"/>
      <c r="M290" s="106" t="s">
        <v>1133</v>
      </c>
      <c r="N290" s="106" t="s">
        <v>40</v>
      </c>
      <c r="O290" s="107"/>
      <c r="P290" s="106" t="s">
        <v>1134</v>
      </c>
    </row>
    <row r="291" spans="1:16" outlineLevel="2" x14ac:dyDescent="0.3">
      <c r="A291" s="105" t="s">
        <v>1135</v>
      </c>
      <c r="B291" s="106"/>
      <c r="C291" s="106"/>
      <c r="D291" s="106"/>
      <c r="E291" s="106" t="s">
        <v>1136</v>
      </c>
      <c r="F291" s="106" t="s">
        <v>1137</v>
      </c>
      <c r="G291" s="105">
        <v>4</v>
      </c>
      <c r="H291" s="106" t="s">
        <v>7</v>
      </c>
      <c r="I291" s="105" t="s">
        <v>39</v>
      </c>
      <c r="J291" s="105"/>
      <c r="K291" s="105"/>
      <c r="L291" s="105"/>
      <c r="M291" s="106" t="s">
        <v>1138</v>
      </c>
      <c r="N291" s="106" t="s">
        <v>40</v>
      </c>
      <c r="O291" s="107"/>
      <c r="P291" s="106" t="s">
        <v>1139</v>
      </c>
    </row>
    <row r="292" spans="1:16" outlineLevel="2" x14ac:dyDescent="0.3">
      <c r="A292" s="105" t="s">
        <v>1140</v>
      </c>
      <c r="B292" s="106"/>
      <c r="C292" s="106"/>
      <c r="D292" s="106"/>
      <c r="E292" s="106" t="s">
        <v>1141</v>
      </c>
      <c r="F292" s="106" t="s">
        <v>1142</v>
      </c>
      <c r="G292" s="105">
        <v>4</v>
      </c>
      <c r="H292" s="106" t="s">
        <v>7</v>
      </c>
      <c r="I292" s="105" t="s">
        <v>39</v>
      </c>
      <c r="J292" s="105"/>
      <c r="K292" s="105"/>
      <c r="L292" s="105"/>
      <c r="M292" s="106" t="s">
        <v>1143</v>
      </c>
      <c r="N292" s="106" t="s">
        <v>223</v>
      </c>
      <c r="O292" s="107"/>
      <c r="P292" s="106" t="s">
        <v>1144</v>
      </c>
    </row>
    <row r="293" spans="1:16" outlineLevel="2" x14ac:dyDescent="0.3">
      <c r="A293" s="105" t="s">
        <v>1145</v>
      </c>
      <c r="B293" s="106"/>
      <c r="C293" s="106"/>
      <c r="D293" s="106"/>
      <c r="E293" s="106" t="s">
        <v>1146</v>
      </c>
      <c r="F293" s="106" t="s">
        <v>1147</v>
      </c>
      <c r="G293" s="105">
        <v>4</v>
      </c>
      <c r="H293" s="106" t="s">
        <v>7</v>
      </c>
      <c r="I293" s="105" t="s">
        <v>39</v>
      </c>
      <c r="J293" s="105"/>
      <c r="K293" s="105"/>
      <c r="L293" s="105"/>
      <c r="M293" s="106" t="s">
        <v>1148</v>
      </c>
      <c r="N293" s="106" t="s">
        <v>40</v>
      </c>
      <c r="O293" s="107"/>
      <c r="P293" s="106" t="s">
        <v>1149</v>
      </c>
    </row>
    <row r="294" spans="1:16" outlineLevel="2" x14ac:dyDescent="0.3">
      <c r="A294" s="105" t="s">
        <v>1150</v>
      </c>
      <c r="B294" s="106"/>
      <c r="C294" s="106"/>
      <c r="D294" s="106"/>
      <c r="E294" s="106" t="s">
        <v>1151</v>
      </c>
      <c r="F294" s="106" t="s">
        <v>1152</v>
      </c>
      <c r="G294" s="105">
        <v>4</v>
      </c>
      <c r="H294" s="106" t="s">
        <v>7</v>
      </c>
      <c r="I294" s="105" t="s">
        <v>39</v>
      </c>
      <c r="J294" s="105"/>
      <c r="K294" s="105"/>
      <c r="L294" s="105"/>
      <c r="M294" s="106" t="s">
        <v>1153</v>
      </c>
      <c r="N294" s="106" t="s">
        <v>40</v>
      </c>
      <c r="O294" s="107"/>
      <c r="P294" s="106" t="s">
        <v>1154</v>
      </c>
    </row>
    <row r="295" spans="1:16" outlineLevel="2" x14ac:dyDescent="0.3">
      <c r="A295" s="105" t="s">
        <v>1155</v>
      </c>
      <c r="B295" s="106"/>
      <c r="C295" s="106"/>
      <c r="D295" s="106"/>
      <c r="E295" s="106" t="s">
        <v>1156</v>
      </c>
      <c r="F295" s="106" t="s">
        <v>1157</v>
      </c>
      <c r="G295" s="105">
        <v>4</v>
      </c>
      <c r="H295" s="106" t="s">
        <v>7</v>
      </c>
      <c r="I295" s="105" t="s">
        <v>39</v>
      </c>
      <c r="J295" s="105"/>
      <c r="K295" s="105"/>
      <c r="L295" s="105"/>
      <c r="M295" s="106" t="s">
        <v>1158</v>
      </c>
      <c r="N295" s="106" t="s">
        <v>40</v>
      </c>
      <c r="O295" s="107" t="s">
        <v>332</v>
      </c>
      <c r="P295" s="106" t="s">
        <v>1159</v>
      </c>
    </row>
    <row r="296" spans="1:16" outlineLevel="2" x14ac:dyDescent="0.3">
      <c r="A296" s="105" t="s">
        <v>1160</v>
      </c>
      <c r="B296" s="106"/>
      <c r="C296" s="106"/>
      <c r="D296" s="106"/>
      <c r="E296" s="106" t="s">
        <v>1161</v>
      </c>
      <c r="F296" s="106" t="s">
        <v>1162</v>
      </c>
      <c r="G296" s="105">
        <v>4</v>
      </c>
      <c r="H296" s="106" t="s">
        <v>7</v>
      </c>
      <c r="I296" s="105" t="s">
        <v>39</v>
      </c>
      <c r="J296" s="105"/>
      <c r="K296" s="105"/>
      <c r="L296" s="105"/>
      <c r="M296" s="106"/>
      <c r="N296" s="106" t="s">
        <v>40</v>
      </c>
      <c r="O296" s="107"/>
      <c r="P296" s="106" t="s">
        <v>1163</v>
      </c>
    </row>
    <row r="297" spans="1:16" outlineLevel="2" x14ac:dyDescent="0.3">
      <c r="A297" s="105" t="s">
        <v>1164</v>
      </c>
      <c r="B297" s="106"/>
      <c r="C297" s="106"/>
      <c r="D297" s="106"/>
      <c r="E297" s="106" t="s">
        <v>844</v>
      </c>
      <c r="F297" s="106" t="s">
        <v>1165</v>
      </c>
      <c r="G297" s="105">
        <v>4</v>
      </c>
      <c r="H297" s="106" t="s">
        <v>7</v>
      </c>
      <c r="I297" s="105" t="s">
        <v>39</v>
      </c>
      <c r="J297" s="105"/>
      <c r="K297" s="105"/>
      <c r="L297" s="105"/>
      <c r="M297" s="106" t="s">
        <v>1166</v>
      </c>
      <c r="N297" s="106" t="s">
        <v>40</v>
      </c>
      <c r="O297" s="107"/>
      <c r="P297" s="106" t="s">
        <v>847</v>
      </c>
    </row>
    <row r="298" spans="1:16" outlineLevel="2" x14ac:dyDescent="0.3">
      <c r="A298" s="105" t="s">
        <v>1167</v>
      </c>
      <c r="B298" s="106"/>
      <c r="C298" s="106"/>
      <c r="D298" s="106"/>
      <c r="E298" s="106" t="s">
        <v>1168</v>
      </c>
      <c r="F298" s="106" t="s">
        <v>1169</v>
      </c>
      <c r="G298" s="105">
        <v>4</v>
      </c>
      <c r="H298" s="106" t="s">
        <v>7</v>
      </c>
      <c r="I298" s="105" t="s">
        <v>39</v>
      </c>
      <c r="J298" s="105"/>
      <c r="K298" s="105"/>
      <c r="L298" s="105"/>
      <c r="M298" s="106" t="s">
        <v>1170</v>
      </c>
      <c r="N298" s="106" t="s">
        <v>40</v>
      </c>
      <c r="O298" s="107" t="s">
        <v>332</v>
      </c>
      <c r="P298" s="106" t="s">
        <v>1171</v>
      </c>
    </row>
    <row r="299" spans="1:16" outlineLevel="2" x14ac:dyDescent="0.3">
      <c r="A299" s="105" t="s">
        <v>1172</v>
      </c>
      <c r="B299" s="106"/>
      <c r="C299" s="106"/>
      <c r="D299" s="106"/>
      <c r="E299" s="106" t="s">
        <v>1173</v>
      </c>
      <c r="F299" s="106" t="s">
        <v>1174</v>
      </c>
      <c r="G299" s="105">
        <v>4</v>
      </c>
      <c r="H299" s="106" t="s">
        <v>7</v>
      </c>
      <c r="I299" s="105" t="s">
        <v>39</v>
      </c>
      <c r="J299" s="105"/>
      <c r="K299" s="105"/>
      <c r="L299" s="105"/>
      <c r="M299" s="106" t="s">
        <v>1175</v>
      </c>
      <c r="N299" s="106" t="s">
        <v>40</v>
      </c>
      <c r="O299" s="107"/>
      <c r="P299" s="106" t="s">
        <v>1176</v>
      </c>
    </row>
    <row r="300" spans="1:16" outlineLevel="2" x14ac:dyDescent="0.3">
      <c r="A300" s="105" t="s">
        <v>1177</v>
      </c>
      <c r="B300" s="106"/>
      <c r="C300" s="106"/>
      <c r="D300" s="106"/>
      <c r="E300" s="106" t="s">
        <v>1178</v>
      </c>
      <c r="F300" s="106" t="s">
        <v>1179</v>
      </c>
      <c r="G300" s="105">
        <v>4</v>
      </c>
      <c r="H300" s="106" t="s">
        <v>7</v>
      </c>
      <c r="I300" s="105" t="s">
        <v>39</v>
      </c>
      <c r="J300" s="105"/>
      <c r="K300" s="105"/>
      <c r="L300" s="105"/>
      <c r="M300" s="106" t="s">
        <v>1180</v>
      </c>
      <c r="N300" s="106" t="s">
        <v>223</v>
      </c>
      <c r="O300" s="107"/>
      <c r="P300" s="106" t="s">
        <v>1181</v>
      </c>
    </row>
    <row r="301" spans="1:16" outlineLevel="2" x14ac:dyDescent="0.3">
      <c r="A301" s="105" t="s">
        <v>1182</v>
      </c>
      <c r="B301" s="106"/>
      <c r="C301" s="106"/>
      <c r="D301" s="106"/>
      <c r="E301" s="106" t="s">
        <v>1183</v>
      </c>
      <c r="F301" s="106" t="s">
        <v>1184</v>
      </c>
      <c r="G301" s="105">
        <v>4</v>
      </c>
      <c r="H301" s="106" t="s">
        <v>7</v>
      </c>
      <c r="I301" s="105" t="s">
        <v>39</v>
      </c>
      <c r="J301" s="105"/>
      <c r="K301" s="105"/>
      <c r="L301" s="105"/>
      <c r="M301" s="106" t="s">
        <v>1185</v>
      </c>
      <c r="N301" s="106" t="s">
        <v>40</v>
      </c>
      <c r="O301" s="107"/>
      <c r="P301" s="106" t="s">
        <v>1186</v>
      </c>
    </row>
    <row r="302" spans="1:16" outlineLevel="2" x14ac:dyDescent="0.3">
      <c r="A302" s="105" t="s">
        <v>1187</v>
      </c>
      <c r="B302" s="106"/>
      <c r="C302" s="106"/>
      <c r="D302" s="106"/>
      <c r="E302" s="106" t="s">
        <v>899</v>
      </c>
      <c r="F302" s="106" t="s">
        <v>900</v>
      </c>
      <c r="G302" s="105">
        <v>4</v>
      </c>
      <c r="H302" s="106" t="s">
        <v>7</v>
      </c>
      <c r="I302" s="105" t="s">
        <v>39</v>
      </c>
      <c r="J302" s="105"/>
      <c r="K302" s="105"/>
      <c r="L302" s="105"/>
      <c r="M302" s="106" t="s">
        <v>901</v>
      </c>
      <c r="N302" s="106" t="s">
        <v>40</v>
      </c>
      <c r="O302" s="107"/>
      <c r="P302" s="106" t="s">
        <v>902</v>
      </c>
    </row>
    <row r="303" spans="1:16" outlineLevel="2" x14ac:dyDescent="0.3">
      <c r="A303" s="105" t="s">
        <v>1188</v>
      </c>
      <c r="B303" s="106"/>
      <c r="C303" s="106"/>
      <c r="D303" s="106"/>
      <c r="E303" s="106" t="s">
        <v>1189</v>
      </c>
      <c r="F303" s="106" t="s">
        <v>1190</v>
      </c>
      <c r="G303" s="105">
        <v>4</v>
      </c>
      <c r="H303" s="106" t="s">
        <v>7</v>
      </c>
      <c r="I303" s="105" t="s">
        <v>39</v>
      </c>
      <c r="J303" s="105"/>
      <c r="K303" s="105"/>
      <c r="L303" s="105"/>
      <c r="M303" s="106" t="s">
        <v>1191</v>
      </c>
      <c r="N303" s="106" t="s">
        <v>40</v>
      </c>
      <c r="O303" s="107"/>
      <c r="P303" s="106" t="s">
        <v>1192</v>
      </c>
    </row>
    <row r="304" spans="1:16" outlineLevel="2" x14ac:dyDescent="0.3">
      <c r="A304" s="105" t="s">
        <v>1193</v>
      </c>
      <c r="B304" s="106"/>
      <c r="C304" s="106"/>
      <c r="D304" s="106"/>
      <c r="E304" s="106" t="s">
        <v>1194</v>
      </c>
      <c r="F304" s="106" t="s">
        <v>1195</v>
      </c>
      <c r="G304" s="105">
        <v>4</v>
      </c>
      <c r="H304" s="106" t="s">
        <v>7</v>
      </c>
      <c r="I304" s="105" t="s">
        <v>39</v>
      </c>
      <c r="J304" s="105"/>
      <c r="K304" s="105"/>
      <c r="L304" s="105"/>
      <c r="M304" s="106" t="s">
        <v>1196</v>
      </c>
      <c r="N304" s="106" t="s">
        <v>223</v>
      </c>
      <c r="O304" s="107"/>
      <c r="P304" s="106" t="s">
        <v>1197</v>
      </c>
    </row>
    <row r="305" spans="1:16" outlineLevel="2" x14ac:dyDescent="0.3">
      <c r="A305" s="105" t="s">
        <v>1198</v>
      </c>
      <c r="B305" s="106"/>
      <c r="C305" s="106"/>
      <c r="D305" s="106"/>
      <c r="E305" s="106" t="s">
        <v>1199</v>
      </c>
      <c r="F305" s="106" t="s">
        <v>1200</v>
      </c>
      <c r="G305" s="105">
        <v>4</v>
      </c>
      <c r="H305" s="106" t="s">
        <v>7</v>
      </c>
      <c r="I305" s="105" t="s">
        <v>39</v>
      </c>
      <c r="J305" s="105"/>
      <c r="K305" s="105"/>
      <c r="L305" s="105"/>
      <c r="M305" s="106" t="s">
        <v>1201</v>
      </c>
      <c r="N305" s="106" t="s">
        <v>40</v>
      </c>
      <c r="O305" s="107"/>
      <c r="P305" s="106" t="s">
        <v>1202</v>
      </c>
    </row>
    <row r="306" spans="1:16" outlineLevel="2" x14ac:dyDescent="0.3">
      <c r="A306" s="105" t="s">
        <v>1203</v>
      </c>
      <c r="B306" s="106"/>
      <c r="C306" s="106"/>
      <c r="D306" s="106"/>
      <c r="E306" s="106" t="s">
        <v>1204</v>
      </c>
      <c r="F306" s="106" t="s">
        <v>1205</v>
      </c>
      <c r="G306" s="105">
        <v>4</v>
      </c>
      <c r="H306" s="106" t="s">
        <v>7</v>
      </c>
      <c r="I306" s="105" t="s">
        <v>39</v>
      </c>
      <c r="J306" s="105"/>
      <c r="K306" s="105"/>
      <c r="L306" s="105"/>
      <c r="M306" s="106" t="s">
        <v>1206</v>
      </c>
      <c r="N306" s="106" t="s">
        <v>40</v>
      </c>
      <c r="O306" s="107" t="s">
        <v>600</v>
      </c>
      <c r="P306" s="106" t="s">
        <v>1207</v>
      </c>
    </row>
    <row r="307" spans="1:16" outlineLevel="2" x14ac:dyDescent="0.3">
      <c r="A307" s="105" t="s">
        <v>1208</v>
      </c>
      <c r="B307" s="106"/>
      <c r="C307" s="106"/>
      <c r="D307" s="106"/>
      <c r="E307" s="106" t="s">
        <v>1209</v>
      </c>
      <c r="F307" s="106" t="s">
        <v>1210</v>
      </c>
      <c r="G307" s="105">
        <v>4</v>
      </c>
      <c r="H307" s="106" t="s">
        <v>7</v>
      </c>
      <c r="I307" s="105" t="s">
        <v>39</v>
      </c>
      <c r="J307" s="105"/>
      <c r="K307" s="105"/>
      <c r="L307" s="105"/>
      <c r="M307" s="106" t="s">
        <v>1211</v>
      </c>
      <c r="N307" s="106" t="s">
        <v>40</v>
      </c>
      <c r="O307" s="107"/>
      <c r="P307" s="106" t="s">
        <v>1212</v>
      </c>
    </row>
    <row r="308" spans="1:16" outlineLevel="2" x14ac:dyDescent="0.3">
      <c r="A308" s="105" t="s">
        <v>1213</v>
      </c>
      <c r="B308" s="106"/>
      <c r="C308" s="106"/>
      <c r="D308" s="106"/>
      <c r="E308" s="106" t="s">
        <v>1214</v>
      </c>
      <c r="F308" s="106" t="s">
        <v>1215</v>
      </c>
      <c r="G308" s="105">
        <v>4</v>
      </c>
      <c r="H308" s="106" t="s">
        <v>7</v>
      </c>
      <c r="I308" s="105" t="s">
        <v>39</v>
      </c>
      <c r="J308" s="105"/>
      <c r="K308" s="105"/>
      <c r="L308" s="105"/>
      <c r="M308" s="106" t="s">
        <v>1216</v>
      </c>
      <c r="N308" s="106" t="s">
        <v>223</v>
      </c>
      <c r="O308" s="107"/>
      <c r="P308" s="106" t="s">
        <v>1217</v>
      </c>
    </row>
    <row r="309" spans="1:16" outlineLevel="2" x14ac:dyDescent="0.3">
      <c r="A309" s="105" t="s">
        <v>1218</v>
      </c>
      <c r="B309" s="106"/>
      <c r="C309" s="106"/>
      <c r="D309" s="106"/>
      <c r="E309" s="106" t="s">
        <v>1219</v>
      </c>
      <c r="F309" s="106" t="s">
        <v>1220</v>
      </c>
      <c r="G309" s="105">
        <v>4</v>
      </c>
      <c r="H309" s="106" t="s">
        <v>7</v>
      </c>
      <c r="I309" s="105" t="s">
        <v>39</v>
      </c>
      <c r="J309" s="105"/>
      <c r="K309" s="105"/>
      <c r="L309" s="105"/>
      <c r="M309" s="106" t="s">
        <v>1221</v>
      </c>
      <c r="N309" s="106" t="s">
        <v>40</v>
      </c>
      <c r="O309" s="107"/>
      <c r="P309" s="106" t="s">
        <v>1222</v>
      </c>
    </row>
    <row r="310" spans="1:16" outlineLevel="2" x14ac:dyDescent="0.3">
      <c r="A310" s="105" t="s">
        <v>1223</v>
      </c>
      <c r="B310" s="106"/>
      <c r="C310" s="106"/>
      <c r="D310" s="106"/>
      <c r="E310" s="106" t="s">
        <v>1224</v>
      </c>
      <c r="F310" s="106" t="s">
        <v>1225</v>
      </c>
      <c r="G310" s="105">
        <v>4</v>
      </c>
      <c r="H310" s="106" t="s">
        <v>7</v>
      </c>
      <c r="I310" s="105" t="s">
        <v>39</v>
      </c>
      <c r="J310" s="105"/>
      <c r="K310" s="105"/>
      <c r="L310" s="105"/>
      <c r="M310" s="106" t="s">
        <v>1226</v>
      </c>
      <c r="N310" s="106" t="s">
        <v>40</v>
      </c>
      <c r="O310" s="107"/>
      <c r="P310" s="106" t="s">
        <v>1227</v>
      </c>
    </row>
    <row r="311" spans="1:16" outlineLevel="2" x14ac:dyDescent="0.3">
      <c r="A311" s="105" t="s">
        <v>1228</v>
      </c>
      <c r="B311" s="106"/>
      <c r="C311" s="106"/>
      <c r="D311" s="106"/>
      <c r="E311" s="106" t="s">
        <v>855</v>
      </c>
      <c r="F311" s="106" t="s">
        <v>1229</v>
      </c>
      <c r="G311" s="105">
        <v>4</v>
      </c>
      <c r="H311" s="106" t="s">
        <v>7</v>
      </c>
      <c r="I311" s="105" t="s">
        <v>39</v>
      </c>
      <c r="J311" s="105"/>
      <c r="K311" s="105"/>
      <c r="L311" s="105"/>
      <c r="M311" s="106" t="s">
        <v>1230</v>
      </c>
      <c r="N311" s="106" t="s">
        <v>40</v>
      </c>
      <c r="O311" s="107"/>
      <c r="P311" s="106" t="s">
        <v>858</v>
      </c>
    </row>
    <row r="312" spans="1:16" outlineLevel="2" x14ac:dyDescent="0.3">
      <c r="A312" s="105" t="s">
        <v>1231</v>
      </c>
      <c r="B312" s="106"/>
      <c r="C312" s="106"/>
      <c r="D312" s="106"/>
      <c r="E312" s="106" t="s">
        <v>1232</v>
      </c>
      <c r="F312" s="106" t="s">
        <v>1233</v>
      </c>
      <c r="G312" s="105">
        <v>4</v>
      </c>
      <c r="H312" s="106" t="s">
        <v>7</v>
      </c>
      <c r="I312" s="105" t="s">
        <v>39</v>
      </c>
      <c r="J312" s="105"/>
      <c r="K312" s="105"/>
      <c r="L312" s="105"/>
      <c r="M312" s="106" t="s">
        <v>1234</v>
      </c>
      <c r="N312" s="106" t="s">
        <v>40</v>
      </c>
      <c r="O312" s="107"/>
      <c r="P312" s="106" t="s">
        <v>1235</v>
      </c>
    </row>
    <row r="313" spans="1:16" outlineLevel="2" x14ac:dyDescent="0.3">
      <c r="A313" s="105" t="s">
        <v>1236</v>
      </c>
      <c r="B313" s="106"/>
      <c r="C313" s="106"/>
      <c r="D313" s="106"/>
      <c r="E313" s="106" t="s">
        <v>860</v>
      </c>
      <c r="F313" s="106" t="s">
        <v>865</v>
      </c>
      <c r="G313" s="105">
        <v>4</v>
      </c>
      <c r="H313" s="106" t="s">
        <v>7</v>
      </c>
      <c r="I313" s="105" t="s">
        <v>39</v>
      </c>
      <c r="J313" s="105"/>
      <c r="K313" s="105"/>
      <c r="L313" s="105"/>
      <c r="M313" s="106" t="s">
        <v>866</v>
      </c>
      <c r="N313" s="106" t="s">
        <v>40</v>
      </c>
      <c r="O313" s="107"/>
      <c r="P313" s="106" t="s">
        <v>867</v>
      </c>
    </row>
    <row r="314" spans="1:16" outlineLevel="2" x14ac:dyDescent="0.3">
      <c r="A314" s="105" t="s">
        <v>1237</v>
      </c>
      <c r="B314" s="106"/>
      <c r="C314" s="106"/>
      <c r="D314" s="106"/>
      <c r="E314" s="106" t="s">
        <v>1238</v>
      </c>
      <c r="F314" s="106" t="s">
        <v>1239</v>
      </c>
      <c r="G314" s="105">
        <v>4</v>
      </c>
      <c r="H314" s="106" t="s">
        <v>7</v>
      </c>
      <c r="I314" s="105" t="s">
        <v>39</v>
      </c>
      <c r="J314" s="105"/>
      <c r="K314" s="105"/>
      <c r="L314" s="105"/>
      <c r="M314" s="106" t="s">
        <v>1240</v>
      </c>
      <c r="N314" s="106" t="s">
        <v>223</v>
      </c>
      <c r="O314" s="107"/>
      <c r="P314" s="106" t="s">
        <v>1241</v>
      </c>
    </row>
    <row r="315" spans="1:16" outlineLevel="2" x14ac:dyDescent="0.3">
      <c r="A315" s="105" t="s">
        <v>1242</v>
      </c>
      <c r="B315" s="106"/>
      <c r="C315" s="106"/>
      <c r="D315" s="106"/>
      <c r="E315" s="106" t="s">
        <v>1243</v>
      </c>
      <c r="F315" s="106" t="s">
        <v>1244</v>
      </c>
      <c r="G315" s="105">
        <v>4</v>
      </c>
      <c r="H315" s="106" t="s">
        <v>7</v>
      </c>
      <c r="I315" s="105" t="s">
        <v>39</v>
      </c>
      <c r="J315" s="105"/>
      <c r="K315" s="105"/>
      <c r="L315" s="105"/>
      <c r="M315" s="106" t="s">
        <v>1245</v>
      </c>
      <c r="N315" s="106" t="s">
        <v>40</v>
      </c>
      <c r="O315" s="107"/>
      <c r="P315" s="106" t="s">
        <v>1246</v>
      </c>
    </row>
    <row r="316" spans="1:16" outlineLevel="2" x14ac:dyDescent="0.3">
      <c r="A316" s="105" t="s">
        <v>1247</v>
      </c>
      <c r="B316" s="106"/>
      <c r="C316" s="106"/>
      <c r="D316" s="106"/>
      <c r="E316" s="106" t="s">
        <v>1248</v>
      </c>
      <c r="F316" s="106" t="s">
        <v>1249</v>
      </c>
      <c r="G316" s="105">
        <v>4</v>
      </c>
      <c r="H316" s="106" t="s">
        <v>7</v>
      </c>
      <c r="I316" s="105" t="s">
        <v>39</v>
      </c>
      <c r="J316" s="105"/>
      <c r="K316" s="105"/>
      <c r="L316" s="105"/>
      <c r="M316" s="106" t="s">
        <v>1250</v>
      </c>
      <c r="N316" s="106" t="s">
        <v>40</v>
      </c>
      <c r="O316" s="107"/>
      <c r="P316" s="106" t="s">
        <v>1251</v>
      </c>
    </row>
    <row r="317" spans="1:16" outlineLevel="2" x14ac:dyDescent="0.3">
      <c r="A317" s="105" t="s">
        <v>1252</v>
      </c>
      <c r="B317" s="106"/>
      <c r="C317" s="106"/>
      <c r="D317" s="106"/>
      <c r="E317" s="106" t="s">
        <v>1253</v>
      </c>
      <c r="F317" s="106" t="s">
        <v>1254</v>
      </c>
      <c r="G317" s="105">
        <v>4</v>
      </c>
      <c r="H317" s="106" t="s">
        <v>7</v>
      </c>
      <c r="I317" s="105" t="s">
        <v>39</v>
      </c>
      <c r="J317" s="105"/>
      <c r="K317" s="105"/>
      <c r="L317" s="105"/>
      <c r="M317" s="106" t="s">
        <v>1255</v>
      </c>
      <c r="N317" s="106" t="s">
        <v>223</v>
      </c>
      <c r="O317" s="107"/>
      <c r="P317" s="106" t="s">
        <v>1256</v>
      </c>
    </row>
    <row r="318" spans="1:16" outlineLevel="2" x14ac:dyDescent="0.3">
      <c r="A318" s="105" t="s">
        <v>1257</v>
      </c>
      <c r="B318" s="106"/>
      <c r="C318" s="106"/>
      <c r="D318" s="106"/>
      <c r="E318" s="106" t="s">
        <v>1258</v>
      </c>
      <c r="F318" s="106" t="s">
        <v>1259</v>
      </c>
      <c r="G318" s="105">
        <v>4</v>
      </c>
      <c r="H318" s="106" t="s">
        <v>7</v>
      </c>
      <c r="I318" s="105" t="s">
        <v>39</v>
      </c>
      <c r="J318" s="105"/>
      <c r="K318" s="105"/>
      <c r="L318" s="105"/>
      <c r="M318" s="106" t="s">
        <v>1260</v>
      </c>
      <c r="N318" s="106" t="s">
        <v>40</v>
      </c>
      <c r="O318" s="107"/>
      <c r="P318" s="106" t="s">
        <v>1261</v>
      </c>
    </row>
    <row r="319" spans="1:16" outlineLevel="2" x14ac:dyDescent="0.3">
      <c r="A319" s="105" t="s">
        <v>1262</v>
      </c>
      <c r="B319" s="106"/>
      <c r="C319" s="106"/>
      <c r="D319" s="106"/>
      <c r="E319" s="106" t="s">
        <v>1263</v>
      </c>
      <c r="F319" s="106" t="s">
        <v>1264</v>
      </c>
      <c r="G319" s="105">
        <v>4</v>
      </c>
      <c r="H319" s="106" t="s">
        <v>7</v>
      </c>
      <c r="I319" s="105" t="s">
        <v>39</v>
      </c>
      <c r="J319" s="105"/>
      <c r="K319" s="105"/>
      <c r="L319" s="105"/>
      <c r="M319" s="106" t="s">
        <v>1265</v>
      </c>
      <c r="N319" s="106" t="s">
        <v>40</v>
      </c>
      <c r="O319" s="107"/>
      <c r="P319" s="106" t="s">
        <v>1266</v>
      </c>
    </row>
    <row r="320" spans="1:16" outlineLevel="2" x14ac:dyDescent="0.3">
      <c r="A320" s="105" t="s">
        <v>1267</v>
      </c>
      <c r="B320" s="106"/>
      <c r="C320" s="106"/>
      <c r="D320" s="106"/>
      <c r="E320" s="106" t="s">
        <v>1268</v>
      </c>
      <c r="F320" s="106" t="s">
        <v>1269</v>
      </c>
      <c r="G320" s="105">
        <v>4</v>
      </c>
      <c r="H320" s="106" t="s">
        <v>7</v>
      </c>
      <c r="I320" s="105" t="s">
        <v>39</v>
      </c>
      <c r="J320" s="105"/>
      <c r="K320" s="105"/>
      <c r="L320" s="105"/>
      <c r="M320" s="106" t="s">
        <v>1270</v>
      </c>
      <c r="N320" s="106" t="s">
        <v>40</v>
      </c>
      <c r="O320" s="107" t="s">
        <v>332</v>
      </c>
      <c r="P320" s="106" t="s">
        <v>1271</v>
      </c>
    </row>
    <row r="321" spans="1:16" outlineLevel="2" x14ac:dyDescent="0.3">
      <c r="A321" s="105" t="s">
        <v>1272</v>
      </c>
      <c r="B321" s="106"/>
      <c r="C321" s="106"/>
      <c r="D321" s="106"/>
      <c r="E321" s="106" t="s">
        <v>904</v>
      </c>
      <c r="F321" s="106" t="s">
        <v>905</v>
      </c>
      <c r="G321" s="105">
        <v>4</v>
      </c>
      <c r="H321" s="106" t="s">
        <v>7</v>
      </c>
      <c r="I321" s="105" t="s">
        <v>39</v>
      </c>
      <c r="J321" s="105"/>
      <c r="K321" s="105"/>
      <c r="L321" s="105"/>
      <c r="M321" s="106" t="s">
        <v>906</v>
      </c>
      <c r="N321" s="106" t="s">
        <v>40</v>
      </c>
      <c r="O321" s="107"/>
      <c r="P321" s="106" t="s">
        <v>907</v>
      </c>
    </row>
    <row r="322" spans="1:16" outlineLevel="2" x14ac:dyDescent="0.3">
      <c r="A322" s="105" t="s">
        <v>1273</v>
      </c>
      <c r="B322" s="106"/>
      <c r="C322" s="106"/>
      <c r="D322" s="106"/>
      <c r="E322" s="106" t="s">
        <v>1274</v>
      </c>
      <c r="F322" s="106" t="s">
        <v>1275</v>
      </c>
      <c r="G322" s="105">
        <v>4</v>
      </c>
      <c r="H322" s="106" t="s">
        <v>7</v>
      </c>
      <c r="I322" s="105" t="s">
        <v>39</v>
      </c>
      <c r="J322" s="105"/>
      <c r="K322" s="105"/>
      <c r="L322" s="105"/>
      <c r="M322" s="106" t="s">
        <v>1276</v>
      </c>
      <c r="N322" s="106" t="s">
        <v>40</v>
      </c>
      <c r="O322" s="107"/>
      <c r="P322" s="106" t="s">
        <v>1277</v>
      </c>
    </row>
    <row r="323" spans="1:16" outlineLevel="2" x14ac:dyDescent="0.3">
      <c r="A323" s="105" t="s">
        <v>1278</v>
      </c>
      <c r="B323" s="106"/>
      <c r="C323" s="106"/>
      <c r="D323" s="106"/>
      <c r="E323" s="106" t="s">
        <v>1279</v>
      </c>
      <c r="F323" s="106" t="s">
        <v>1280</v>
      </c>
      <c r="G323" s="105">
        <v>4</v>
      </c>
      <c r="H323" s="106" t="s">
        <v>7</v>
      </c>
      <c r="I323" s="105" t="s">
        <v>39</v>
      </c>
      <c r="J323" s="105"/>
      <c r="K323" s="105"/>
      <c r="L323" s="105"/>
      <c r="M323" s="106" t="s">
        <v>1281</v>
      </c>
      <c r="N323" s="106" t="s">
        <v>40</v>
      </c>
      <c r="O323" s="107"/>
      <c r="P323" s="106" t="s">
        <v>1282</v>
      </c>
    </row>
    <row r="324" spans="1:16" outlineLevel="2" x14ac:dyDescent="0.3">
      <c r="A324" s="105" t="s">
        <v>1283</v>
      </c>
      <c r="B324" s="106"/>
      <c r="C324" s="106"/>
      <c r="D324" s="106"/>
      <c r="E324" s="106" t="s">
        <v>1284</v>
      </c>
      <c r="F324" s="106" t="s">
        <v>1285</v>
      </c>
      <c r="G324" s="105">
        <v>4</v>
      </c>
      <c r="H324" s="106" t="s">
        <v>7</v>
      </c>
      <c r="I324" s="105" t="s">
        <v>39</v>
      </c>
      <c r="J324" s="105"/>
      <c r="K324" s="105"/>
      <c r="L324" s="105"/>
      <c r="M324" s="106" t="s">
        <v>1286</v>
      </c>
      <c r="N324" s="106" t="s">
        <v>40</v>
      </c>
      <c r="O324" s="107"/>
      <c r="P324" s="106" t="s">
        <v>1287</v>
      </c>
    </row>
    <row r="325" spans="1:16" outlineLevel="2" x14ac:dyDescent="0.3">
      <c r="A325" s="105" t="s">
        <v>1288</v>
      </c>
      <c r="B325" s="106"/>
      <c r="C325" s="106"/>
      <c r="D325" s="106"/>
      <c r="E325" s="106" t="s">
        <v>1289</v>
      </c>
      <c r="F325" s="106" t="s">
        <v>1290</v>
      </c>
      <c r="G325" s="105">
        <v>4</v>
      </c>
      <c r="H325" s="106" t="s">
        <v>7</v>
      </c>
      <c r="I325" s="105" t="s">
        <v>39</v>
      </c>
      <c r="J325" s="105"/>
      <c r="K325" s="105"/>
      <c r="L325" s="105"/>
      <c r="M325" s="106" t="s">
        <v>1291</v>
      </c>
      <c r="N325" s="106" t="s">
        <v>40</v>
      </c>
      <c r="O325" s="107"/>
      <c r="P325" s="106" t="s">
        <v>1292</v>
      </c>
    </row>
    <row r="326" spans="1:16" outlineLevel="2" x14ac:dyDescent="0.3">
      <c r="A326" s="105" t="s">
        <v>1293</v>
      </c>
      <c r="B326" s="106"/>
      <c r="C326" s="106"/>
      <c r="D326" s="106"/>
      <c r="E326" s="106" t="s">
        <v>1294</v>
      </c>
      <c r="F326" s="106" t="s">
        <v>1295</v>
      </c>
      <c r="G326" s="105">
        <v>4</v>
      </c>
      <c r="H326" s="106" t="s">
        <v>7</v>
      </c>
      <c r="I326" s="105" t="s">
        <v>39</v>
      </c>
      <c r="J326" s="105"/>
      <c r="K326" s="105"/>
      <c r="L326" s="105"/>
      <c r="M326" s="106" t="s">
        <v>1296</v>
      </c>
      <c r="N326" s="106" t="s">
        <v>40</v>
      </c>
      <c r="O326" s="107" t="s">
        <v>332</v>
      </c>
      <c r="P326" s="106" t="s">
        <v>1297</v>
      </c>
    </row>
    <row r="327" spans="1:16" outlineLevel="2" x14ac:dyDescent="0.3">
      <c r="A327" s="105" t="s">
        <v>1298</v>
      </c>
      <c r="B327" s="106"/>
      <c r="C327" s="106"/>
      <c r="D327" s="106"/>
      <c r="E327" s="106" t="s">
        <v>1299</v>
      </c>
      <c r="F327" s="106" t="s">
        <v>1300</v>
      </c>
      <c r="G327" s="105">
        <v>4</v>
      </c>
      <c r="H327" s="106" t="s">
        <v>7</v>
      </c>
      <c r="I327" s="105" t="s">
        <v>39</v>
      </c>
      <c r="J327" s="105"/>
      <c r="K327" s="105"/>
      <c r="L327" s="105"/>
      <c r="M327" s="106" t="s">
        <v>1301</v>
      </c>
      <c r="N327" s="106" t="s">
        <v>40</v>
      </c>
      <c r="O327" s="107"/>
      <c r="P327" s="106" t="s">
        <v>1302</v>
      </c>
    </row>
    <row r="328" spans="1:16" outlineLevel="2" x14ac:dyDescent="0.3">
      <c r="A328" s="105" t="s">
        <v>1303</v>
      </c>
      <c r="B328" s="106"/>
      <c r="C328" s="106"/>
      <c r="D328" s="106"/>
      <c r="E328" s="106" t="s">
        <v>1304</v>
      </c>
      <c r="F328" s="106" t="s">
        <v>1305</v>
      </c>
      <c r="G328" s="105">
        <v>4</v>
      </c>
      <c r="H328" s="106" t="s">
        <v>7</v>
      </c>
      <c r="I328" s="105" t="s">
        <v>39</v>
      </c>
      <c r="J328" s="105"/>
      <c r="K328" s="105"/>
      <c r="L328" s="105"/>
      <c r="M328" s="106" t="s">
        <v>1306</v>
      </c>
      <c r="N328" s="106" t="s">
        <v>223</v>
      </c>
      <c r="O328" s="107"/>
      <c r="P328" s="106" t="s">
        <v>1307</v>
      </c>
    </row>
    <row r="329" spans="1:16" outlineLevel="2" x14ac:dyDescent="0.3">
      <c r="A329" s="105" t="s">
        <v>1308</v>
      </c>
      <c r="B329" s="106"/>
      <c r="C329" s="106"/>
      <c r="D329" s="106"/>
      <c r="E329" s="106" t="s">
        <v>1309</v>
      </c>
      <c r="F329" s="106" t="s">
        <v>1310</v>
      </c>
      <c r="G329" s="105">
        <v>4</v>
      </c>
      <c r="H329" s="106" t="s">
        <v>7</v>
      </c>
      <c r="I329" s="105" t="s">
        <v>39</v>
      </c>
      <c r="J329" s="105"/>
      <c r="K329" s="105"/>
      <c r="L329" s="105"/>
      <c r="M329" s="106" t="s">
        <v>1311</v>
      </c>
      <c r="N329" s="106" t="s">
        <v>40</v>
      </c>
      <c r="O329" s="107"/>
      <c r="P329" s="106" t="s">
        <v>1312</v>
      </c>
    </row>
    <row r="330" spans="1:16" outlineLevel="2" x14ac:dyDescent="0.3">
      <c r="A330" s="105" t="s">
        <v>1313</v>
      </c>
      <c r="B330" s="106"/>
      <c r="C330" s="106"/>
      <c r="D330" s="106"/>
      <c r="E330" s="106" t="s">
        <v>1314</v>
      </c>
      <c r="F330" s="106" t="s">
        <v>1315</v>
      </c>
      <c r="G330" s="105">
        <v>4</v>
      </c>
      <c r="H330" s="106" t="s">
        <v>7</v>
      </c>
      <c r="I330" s="105" t="s">
        <v>39</v>
      </c>
      <c r="J330" s="105"/>
      <c r="K330" s="105"/>
      <c r="L330" s="105"/>
      <c r="M330" s="106" t="s">
        <v>1316</v>
      </c>
      <c r="N330" s="106" t="s">
        <v>223</v>
      </c>
      <c r="O330" s="107"/>
      <c r="P330" s="106" t="s">
        <v>1317</v>
      </c>
    </row>
    <row r="331" spans="1:16" outlineLevel="2" x14ac:dyDescent="0.3">
      <c r="A331" s="105" t="s">
        <v>1318</v>
      </c>
      <c r="B331" s="106"/>
      <c r="C331" s="106"/>
      <c r="D331" s="106"/>
      <c r="E331" s="106" t="s">
        <v>1319</v>
      </c>
      <c r="F331" s="106" t="s">
        <v>1320</v>
      </c>
      <c r="G331" s="105">
        <v>4</v>
      </c>
      <c r="H331" s="106" t="s">
        <v>7</v>
      </c>
      <c r="I331" s="105" t="s">
        <v>39</v>
      </c>
      <c r="J331" s="105"/>
      <c r="K331" s="105"/>
      <c r="L331" s="105"/>
      <c r="M331" s="106" t="s">
        <v>1321</v>
      </c>
      <c r="N331" s="106" t="s">
        <v>40</v>
      </c>
      <c r="O331" s="107"/>
      <c r="P331" s="106" t="s">
        <v>1322</v>
      </c>
    </row>
    <row r="332" spans="1:16" outlineLevel="2" x14ac:dyDescent="0.3">
      <c r="A332" s="105" t="s">
        <v>1323</v>
      </c>
      <c r="B332" s="106"/>
      <c r="C332" s="106"/>
      <c r="D332" s="106"/>
      <c r="E332" s="106" t="s">
        <v>1324</v>
      </c>
      <c r="F332" s="106" t="s">
        <v>1325</v>
      </c>
      <c r="G332" s="105">
        <v>4</v>
      </c>
      <c r="H332" s="106" t="s">
        <v>7</v>
      </c>
      <c r="I332" s="105" t="s">
        <v>39</v>
      </c>
      <c r="J332" s="105"/>
      <c r="K332" s="105"/>
      <c r="L332" s="105"/>
      <c r="M332" s="106" t="s">
        <v>1326</v>
      </c>
      <c r="N332" s="106" t="s">
        <v>40</v>
      </c>
      <c r="O332" s="107"/>
      <c r="P332" s="106" t="s">
        <v>1327</v>
      </c>
    </row>
    <row r="333" spans="1:16" outlineLevel="2" x14ac:dyDescent="0.3">
      <c r="A333" s="105" t="s">
        <v>1328</v>
      </c>
      <c r="B333" s="106"/>
      <c r="C333" s="106"/>
      <c r="D333" s="106"/>
      <c r="E333" s="106" t="s">
        <v>1329</v>
      </c>
      <c r="F333" s="106" t="s">
        <v>1330</v>
      </c>
      <c r="G333" s="105">
        <v>4</v>
      </c>
      <c r="H333" s="106" t="s">
        <v>7</v>
      </c>
      <c r="I333" s="105" t="s">
        <v>39</v>
      </c>
      <c r="J333" s="105"/>
      <c r="K333" s="105"/>
      <c r="L333" s="105"/>
      <c r="M333" s="106" t="s">
        <v>1331</v>
      </c>
      <c r="N333" s="106" t="s">
        <v>40</v>
      </c>
      <c r="O333" s="107"/>
      <c r="P333" s="106" t="s">
        <v>1332</v>
      </c>
    </row>
    <row r="334" spans="1:16" outlineLevel="2" x14ac:dyDescent="0.3">
      <c r="A334" s="105" t="s">
        <v>1333</v>
      </c>
      <c r="B334" s="106"/>
      <c r="C334" s="106"/>
      <c r="D334" s="106"/>
      <c r="E334" s="106" t="s">
        <v>1334</v>
      </c>
      <c r="F334" s="106" t="s">
        <v>1335</v>
      </c>
      <c r="G334" s="105">
        <v>4</v>
      </c>
      <c r="H334" s="106" t="s">
        <v>7</v>
      </c>
      <c r="I334" s="105" t="s">
        <v>39</v>
      </c>
      <c r="J334" s="105"/>
      <c r="K334" s="105"/>
      <c r="L334" s="105"/>
      <c r="M334" s="106" t="s">
        <v>1158</v>
      </c>
      <c r="N334" s="106" t="s">
        <v>40</v>
      </c>
      <c r="O334" s="107"/>
      <c r="P334" s="106" t="s">
        <v>1336</v>
      </c>
    </row>
    <row r="335" spans="1:16" outlineLevel="2" x14ac:dyDescent="0.3">
      <c r="A335" s="105" t="s">
        <v>1337</v>
      </c>
      <c r="B335" s="106"/>
      <c r="C335" s="106"/>
      <c r="D335" s="106"/>
      <c r="E335" s="106" t="s">
        <v>1338</v>
      </c>
      <c r="F335" s="106" t="s">
        <v>1339</v>
      </c>
      <c r="G335" s="105">
        <v>4</v>
      </c>
      <c r="H335" s="106" t="s">
        <v>7</v>
      </c>
      <c r="I335" s="105" t="s">
        <v>39</v>
      </c>
      <c r="J335" s="105"/>
      <c r="K335" s="105"/>
      <c r="L335" s="105"/>
      <c r="M335" s="106" t="s">
        <v>1340</v>
      </c>
      <c r="N335" s="106" t="s">
        <v>40</v>
      </c>
      <c r="O335" s="107"/>
      <c r="P335" s="106" t="s">
        <v>1341</v>
      </c>
    </row>
    <row r="336" spans="1:16" outlineLevel="2" x14ac:dyDescent="0.3">
      <c r="A336" s="105" t="s">
        <v>1342</v>
      </c>
      <c r="B336" s="106"/>
      <c r="C336" s="106"/>
      <c r="D336" s="106"/>
      <c r="E336" s="106" t="s">
        <v>1343</v>
      </c>
      <c r="F336" s="106" t="s">
        <v>1344</v>
      </c>
      <c r="G336" s="105">
        <v>4</v>
      </c>
      <c r="H336" s="106" t="s">
        <v>7</v>
      </c>
      <c r="I336" s="105" t="s">
        <v>39</v>
      </c>
      <c r="J336" s="105"/>
      <c r="K336" s="105"/>
      <c r="L336" s="105"/>
      <c r="M336" s="106" t="s">
        <v>1345</v>
      </c>
      <c r="N336" s="106" t="s">
        <v>40</v>
      </c>
      <c r="O336" s="107" t="s">
        <v>332</v>
      </c>
      <c r="P336" s="106" t="s">
        <v>1346</v>
      </c>
    </row>
    <row r="337" spans="1:16" outlineLevel="2" x14ac:dyDescent="0.3">
      <c r="A337" s="105" t="s">
        <v>1347</v>
      </c>
      <c r="B337" s="106"/>
      <c r="C337" s="106"/>
      <c r="D337" s="106"/>
      <c r="E337" s="106" t="s">
        <v>1348</v>
      </c>
      <c r="F337" s="106" t="s">
        <v>1349</v>
      </c>
      <c r="G337" s="105">
        <v>4</v>
      </c>
      <c r="H337" s="106" t="s">
        <v>7</v>
      </c>
      <c r="I337" s="105" t="s">
        <v>39</v>
      </c>
      <c r="J337" s="105"/>
      <c r="K337" s="105"/>
      <c r="L337" s="105"/>
      <c r="M337" s="106" t="s">
        <v>1350</v>
      </c>
      <c r="N337" s="106" t="s">
        <v>40</v>
      </c>
      <c r="O337" s="107"/>
      <c r="P337" s="106" t="s">
        <v>1351</v>
      </c>
    </row>
    <row r="338" spans="1:16" outlineLevel="2" x14ac:dyDescent="0.3">
      <c r="A338" s="105" t="s">
        <v>1352</v>
      </c>
      <c r="B338" s="106"/>
      <c r="C338" s="106"/>
      <c r="D338" s="106"/>
      <c r="E338" s="106" t="s">
        <v>1353</v>
      </c>
      <c r="F338" s="106" t="s">
        <v>1354</v>
      </c>
      <c r="G338" s="105">
        <v>4</v>
      </c>
      <c r="H338" s="106" t="s">
        <v>7</v>
      </c>
      <c r="I338" s="105" t="s">
        <v>39</v>
      </c>
      <c r="J338" s="105"/>
      <c r="K338" s="105"/>
      <c r="L338" s="105"/>
      <c r="M338" s="106" t="s">
        <v>1355</v>
      </c>
      <c r="N338" s="106" t="s">
        <v>40</v>
      </c>
      <c r="O338" s="107"/>
      <c r="P338" s="106" t="s">
        <v>1356</v>
      </c>
    </row>
    <row r="339" spans="1:16" outlineLevel="2" x14ac:dyDescent="0.3">
      <c r="A339" s="105" t="s">
        <v>1357</v>
      </c>
      <c r="B339" s="106"/>
      <c r="C339" s="106"/>
      <c r="D339" s="106"/>
      <c r="E339" s="106" t="s">
        <v>374</v>
      </c>
      <c r="F339" s="106" t="s">
        <v>375</v>
      </c>
      <c r="G339" s="105">
        <v>4</v>
      </c>
      <c r="H339" s="106" t="s">
        <v>7</v>
      </c>
      <c r="I339" s="105" t="s">
        <v>39</v>
      </c>
      <c r="J339" s="105"/>
      <c r="K339" s="105"/>
      <c r="L339" s="105"/>
      <c r="M339" s="106" t="s">
        <v>1358</v>
      </c>
      <c r="N339" s="106" t="s">
        <v>40</v>
      </c>
      <c r="O339" s="107"/>
      <c r="P339" s="106" t="s">
        <v>1359</v>
      </c>
    </row>
    <row r="340" spans="1:16" outlineLevel="2" x14ac:dyDescent="0.3">
      <c r="A340" s="105" t="s">
        <v>1360</v>
      </c>
      <c r="B340" s="106"/>
      <c r="C340" s="106"/>
      <c r="D340" s="106"/>
      <c r="E340" s="106" t="s">
        <v>1361</v>
      </c>
      <c r="F340" s="106" t="s">
        <v>1362</v>
      </c>
      <c r="G340" s="105">
        <v>4</v>
      </c>
      <c r="H340" s="106" t="s">
        <v>7</v>
      </c>
      <c r="I340" s="105" t="s">
        <v>39</v>
      </c>
      <c r="J340" s="105"/>
      <c r="K340" s="105"/>
      <c r="L340" s="105"/>
      <c r="M340" s="106" t="s">
        <v>1363</v>
      </c>
      <c r="N340" s="106" t="s">
        <v>40</v>
      </c>
      <c r="O340" s="107"/>
      <c r="P340" s="106" t="s">
        <v>1364</v>
      </c>
    </row>
    <row r="341" spans="1:16" outlineLevel="2" x14ac:dyDescent="0.3">
      <c r="A341" s="105" t="s">
        <v>1365</v>
      </c>
      <c r="B341" s="106"/>
      <c r="C341" s="106"/>
      <c r="D341" s="106"/>
      <c r="E341" s="106" t="s">
        <v>1366</v>
      </c>
      <c r="F341" s="106" t="s">
        <v>1367</v>
      </c>
      <c r="G341" s="105">
        <v>4</v>
      </c>
      <c r="H341" s="106" t="s">
        <v>7</v>
      </c>
      <c r="I341" s="105" t="s">
        <v>39</v>
      </c>
      <c r="J341" s="105"/>
      <c r="K341" s="105"/>
      <c r="L341" s="105"/>
      <c r="M341" s="106" t="s">
        <v>1368</v>
      </c>
      <c r="N341" s="106" t="s">
        <v>40</v>
      </c>
      <c r="O341" s="107"/>
      <c r="P341" s="106" t="s">
        <v>1369</v>
      </c>
    </row>
    <row r="342" spans="1:16" outlineLevel="2" x14ac:dyDescent="0.3">
      <c r="A342" s="105" t="s">
        <v>1370</v>
      </c>
      <c r="B342" s="106"/>
      <c r="C342" s="106"/>
      <c r="D342" s="106"/>
      <c r="E342" s="106" t="s">
        <v>1371</v>
      </c>
      <c r="F342" s="106" t="s">
        <v>1372</v>
      </c>
      <c r="G342" s="105">
        <v>4</v>
      </c>
      <c r="H342" s="106" t="s">
        <v>7</v>
      </c>
      <c r="I342" s="105" t="s">
        <v>39</v>
      </c>
      <c r="J342" s="105"/>
      <c r="K342" s="105"/>
      <c r="L342" s="105"/>
      <c r="M342" s="106" t="s">
        <v>1373</v>
      </c>
      <c r="N342" s="106" t="s">
        <v>40</v>
      </c>
      <c r="O342" s="107"/>
      <c r="P342" s="106" t="s">
        <v>1374</v>
      </c>
    </row>
    <row r="343" spans="1:16" outlineLevel="2" x14ac:dyDescent="0.3">
      <c r="A343" s="105" t="s">
        <v>1375</v>
      </c>
      <c r="B343" s="106"/>
      <c r="C343" s="106"/>
      <c r="D343" s="106"/>
      <c r="E343" s="106" t="s">
        <v>1376</v>
      </c>
      <c r="F343" s="106" t="s">
        <v>1377</v>
      </c>
      <c r="G343" s="105">
        <v>4</v>
      </c>
      <c r="H343" s="106" t="s">
        <v>7</v>
      </c>
      <c r="I343" s="105" t="s">
        <v>39</v>
      </c>
      <c r="J343" s="105"/>
      <c r="K343" s="105"/>
      <c r="L343" s="105"/>
      <c r="M343" s="106" t="s">
        <v>1378</v>
      </c>
      <c r="N343" s="106" t="s">
        <v>40</v>
      </c>
      <c r="O343" s="107" t="s">
        <v>332</v>
      </c>
      <c r="P343" s="106" t="s">
        <v>1379</v>
      </c>
    </row>
    <row r="344" spans="1:16" outlineLevel="2" x14ac:dyDescent="0.3">
      <c r="A344" s="105" t="s">
        <v>1380</v>
      </c>
      <c r="B344" s="106"/>
      <c r="C344" s="106"/>
      <c r="D344" s="106"/>
      <c r="E344" s="106" t="s">
        <v>870</v>
      </c>
      <c r="F344" s="106" t="s">
        <v>1381</v>
      </c>
      <c r="G344" s="105">
        <v>4</v>
      </c>
      <c r="H344" s="106" t="s">
        <v>7</v>
      </c>
      <c r="I344" s="105" t="s">
        <v>39</v>
      </c>
      <c r="J344" s="105"/>
      <c r="K344" s="105"/>
      <c r="L344" s="105"/>
      <c r="M344" s="106" t="s">
        <v>1382</v>
      </c>
      <c r="N344" s="106" t="s">
        <v>40</v>
      </c>
      <c r="O344" s="107"/>
      <c r="P344" s="106" t="s">
        <v>873</v>
      </c>
    </row>
    <row r="345" spans="1:16" outlineLevel="2" x14ac:dyDescent="0.3">
      <c r="A345" s="105" t="s">
        <v>1383</v>
      </c>
      <c r="B345" s="106"/>
      <c r="C345" s="106"/>
      <c r="D345" s="106"/>
      <c r="E345" s="106" t="s">
        <v>1384</v>
      </c>
      <c r="F345" s="106" t="s">
        <v>1385</v>
      </c>
      <c r="G345" s="105">
        <v>4</v>
      </c>
      <c r="H345" s="106" t="s">
        <v>7</v>
      </c>
      <c r="I345" s="105" t="s">
        <v>39</v>
      </c>
      <c r="J345" s="105"/>
      <c r="K345" s="105"/>
      <c r="L345" s="105"/>
      <c r="M345" s="106" t="s">
        <v>1386</v>
      </c>
      <c r="N345" s="106" t="s">
        <v>40</v>
      </c>
      <c r="O345" s="107"/>
      <c r="P345" s="106" t="s">
        <v>1387</v>
      </c>
    </row>
    <row r="346" spans="1:16" outlineLevel="2" x14ac:dyDescent="0.3">
      <c r="A346" s="105" t="s">
        <v>1388</v>
      </c>
      <c r="B346" s="106"/>
      <c r="C346" s="106"/>
      <c r="D346" s="106"/>
      <c r="E346" s="106" t="s">
        <v>1389</v>
      </c>
      <c r="F346" s="106" t="s">
        <v>1390</v>
      </c>
      <c r="G346" s="105">
        <v>4</v>
      </c>
      <c r="H346" s="106" t="s">
        <v>7</v>
      </c>
      <c r="I346" s="105" t="s">
        <v>39</v>
      </c>
      <c r="J346" s="105"/>
      <c r="K346" s="105"/>
      <c r="L346" s="105"/>
      <c r="M346" s="106" t="s">
        <v>1391</v>
      </c>
      <c r="N346" s="106" t="s">
        <v>40</v>
      </c>
      <c r="O346" s="107"/>
      <c r="P346" s="106" t="s">
        <v>1392</v>
      </c>
    </row>
    <row r="347" spans="1:16" outlineLevel="2" x14ac:dyDescent="0.3">
      <c r="A347" s="105" t="s">
        <v>1393</v>
      </c>
      <c r="B347" s="106"/>
      <c r="C347" s="106"/>
      <c r="D347" s="106"/>
      <c r="E347" s="106" t="s">
        <v>1394</v>
      </c>
      <c r="F347" s="106" t="s">
        <v>1395</v>
      </c>
      <c r="G347" s="105">
        <v>4</v>
      </c>
      <c r="H347" s="106" t="s">
        <v>7</v>
      </c>
      <c r="I347" s="105" t="s">
        <v>39</v>
      </c>
      <c r="J347" s="105"/>
      <c r="K347" s="105"/>
      <c r="L347" s="105"/>
      <c r="M347" s="106" t="s">
        <v>1345</v>
      </c>
      <c r="N347" s="106" t="s">
        <v>40</v>
      </c>
      <c r="O347" s="107"/>
      <c r="P347" s="106" t="s">
        <v>1396</v>
      </c>
    </row>
    <row r="348" spans="1:16" outlineLevel="2" x14ac:dyDescent="0.3">
      <c r="A348" s="105" t="s">
        <v>1397</v>
      </c>
      <c r="B348" s="106"/>
      <c r="C348" s="106"/>
      <c r="D348" s="106"/>
      <c r="E348" s="106" t="s">
        <v>1398</v>
      </c>
      <c r="F348" s="106" t="s">
        <v>1399</v>
      </c>
      <c r="G348" s="105">
        <v>4</v>
      </c>
      <c r="H348" s="106" t="s">
        <v>7</v>
      </c>
      <c r="I348" s="105" t="s">
        <v>39</v>
      </c>
      <c r="J348" s="105"/>
      <c r="K348" s="105"/>
      <c r="L348" s="105"/>
      <c r="M348" s="106" t="s">
        <v>1400</v>
      </c>
      <c r="N348" s="106" t="s">
        <v>40</v>
      </c>
      <c r="O348" s="107"/>
      <c r="P348" s="106" t="s">
        <v>1401</v>
      </c>
    </row>
    <row r="349" spans="1:16" outlineLevel="2" x14ac:dyDescent="0.3">
      <c r="A349" s="105" t="s">
        <v>1402</v>
      </c>
      <c r="B349" s="106"/>
      <c r="C349" s="106"/>
      <c r="D349" s="106"/>
      <c r="E349" s="106" t="s">
        <v>1403</v>
      </c>
      <c r="F349" s="106" t="s">
        <v>1404</v>
      </c>
      <c r="G349" s="105">
        <v>4</v>
      </c>
      <c r="H349" s="106" t="s">
        <v>7</v>
      </c>
      <c r="I349" s="105" t="s">
        <v>39</v>
      </c>
      <c r="J349" s="105"/>
      <c r="K349" s="105"/>
      <c r="L349" s="105"/>
      <c r="M349" s="106" t="s">
        <v>1405</v>
      </c>
      <c r="N349" s="106" t="s">
        <v>40</v>
      </c>
      <c r="O349" s="107"/>
      <c r="P349" s="106" t="s">
        <v>1406</v>
      </c>
    </row>
    <row r="350" spans="1:16" outlineLevel="2" x14ac:dyDescent="0.3">
      <c r="A350" s="105" t="s">
        <v>1407</v>
      </c>
      <c r="B350" s="106"/>
      <c r="C350" s="106"/>
      <c r="D350" s="106"/>
      <c r="E350" s="106" t="s">
        <v>1408</v>
      </c>
      <c r="F350" s="106" t="s">
        <v>1344</v>
      </c>
      <c r="G350" s="105">
        <v>4</v>
      </c>
      <c r="H350" s="106" t="s">
        <v>7</v>
      </c>
      <c r="I350" s="105" t="s">
        <v>39</v>
      </c>
      <c r="J350" s="105"/>
      <c r="K350" s="105"/>
      <c r="L350" s="105"/>
      <c r="M350" s="106" t="s">
        <v>1409</v>
      </c>
      <c r="N350" s="106" t="s">
        <v>40</v>
      </c>
      <c r="O350" s="107" t="s">
        <v>332</v>
      </c>
      <c r="P350" s="106" t="s">
        <v>1410</v>
      </c>
    </row>
    <row r="351" spans="1:16" outlineLevel="2" x14ac:dyDescent="0.3">
      <c r="A351" s="105" t="s">
        <v>1411</v>
      </c>
      <c r="B351" s="106"/>
      <c r="C351" s="106"/>
      <c r="D351" s="106"/>
      <c r="E351" s="106" t="s">
        <v>1412</v>
      </c>
      <c r="F351" s="106" t="s">
        <v>1413</v>
      </c>
      <c r="G351" s="105">
        <v>4</v>
      </c>
      <c r="H351" s="106" t="s">
        <v>7</v>
      </c>
      <c r="I351" s="105" t="s">
        <v>39</v>
      </c>
      <c r="J351" s="105"/>
      <c r="K351" s="105"/>
      <c r="L351" s="105"/>
      <c r="M351" s="106" t="s">
        <v>1414</v>
      </c>
      <c r="N351" s="106" t="s">
        <v>40</v>
      </c>
      <c r="O351" s="107"/>
      <c r="P351" s="106" t="s">
        <v>1415</v>
      </c>
    </row>
    <row r="352" spans="1:16" outlineLevel="2" x14ac:dyDescent="0.3">
      <c r="A352" s="105" t="s">
        <v>1416</v>
      </c>
      <c r="B352" s="106"/>
      <c r="C352" s="106"/>
      <c r="D352" s="106"/>
      <c r="E352" s="106" t="s">
        <v>1417</v>
      </c>
      <c r="F352" s="106" t="s">
        <v>1418</v>
      </c>
      <c r="G352" s="105">
        <v>4</v>
      </c>
      <c r="H352" s="106" t="s">
        <v>7</v>
      </c>
      <c r="I352" s="105" t="s">
        <v>39</v>
      </c>
      <c r="J352" s="105"/>
      <c r="K352" s="105"/>
      <c r="L352" s="105"/>
      <c r="M352" s="106" t="s">
        <v>1419</v>
      </c>
      <c r="N352" s="106" t="s">
        <v>223</v>
      </c>
      <c r="O352" s="107"/>
      <c r="P352" s="106" t="s">
        <v>1420</v>
      </c>
    </row>
    <row r="353" spans="1:16" outlineLevel="2" x14ac:dyDescent="0.3">
      <c r="A353" s="105" t="s">
        <v>1421</v>
      </c>
      <c r="B353" s="106"/>
      <c r="C353" s="106"/>
      <c r="D353" s="106"/>
      <c r="E353" s="106" t="s">
        <v>1422</v>
      </c>
      <c r="F353" s="106" t="s">
        <v>1423</v>
      </c>
      <c r="G353" s="105">
        <v>4</v>
      </c>
      <c r="H353" s="106" t="s">
        <v>7</v>
      </c>
      <c r="I353" s="105" t="s">
        <v>39</v>
      </c>
      <c r="J353" s="105"/>
      <c r="K353" s="105"/>
      <c r="L353" s="105"/>
      <c r="M353" s="106" t="s">
        <v>1424</v>
      </c>
      <c r="N353" s="106" t="s">
        <v>40</v>
      </c>
      <c r="O353" s="107"/>
      <c r="P353" s="106" t="s">
        <v>1425</v>
      </c>
    </row>
    <row r="354" spans="1:16" outlineLevel="2" x14ac:dyDescent="0.3">
      <c r="A354" s="105" t="s">
        <v>1426</v>
      </c>
      <c r="B354" s="106"/>
      <c r="C354" s="106"/>
      <c r="D354" s="106"/>
      <c r="E354" s="106" t="s">
        <v>1427</v>
      </c>
      <c r="F354" s="106" t="s">
        <v>1428</v>
      </c>
      <c r="G354" s="105">
        <v>4</v>
      </c>
      <c r="H354" s="106" t="s">
        <v>7</v>
      </c>
      <c r="I354" s="105" t="s">
        <v>39</v>
      </c>
      <c r="J354" s="105"/>
      <c r="K354" s="105"/>
      <c r="L354" s="105"/>
      <c r="M354" s="106" t="s">
        <v>1429</v>
      </c>
      <c r="N354" s="106" t="s">
        <v>40</v>
      </c>
      <c r="O354" s="107"/>
      <c r="P354" s="106" t="s">
        <v>1430</v>
      </c>
    </row>
    <row r="355" spans="1:16" outlineLevel="2" x14ac:dyDescent="0.3">
      <c r="A355" s="105" t="s">
        <v>1431</v>
      </c>
      <c r="B355" s="106"/>
      <c r="C355" s="106"/>
      <c r="D355" s="106"/>
      <c r="E355" s="106" t="s">
        <v>1432</v>
      </c>
      <c r="F355" s="106" t="s">
        <v>1433</v>
      </c>
      <c r="G355" s="105">
        <v>4</v>
      </c>
      <c r="H355" s="106" t="s">
        <v>7</v>
      </c>
      <c r="I355" s="105" t="s">
        <v>39</v>
      </c>
      <c r="J355" s="105"/>
      <c r="K355" s="105"/>
      <c r="L355" s="105"/>
      <c r="M355" s="106" t="s">
        <v>1434</v>
      </c>
      <c r="N355" s="106" t="s">
        <v>40</v>
      </c>
      <c r="O355" s="107"/>
      <c r="P355" s="106" t="s">
        <v>1435</v>
      </c>
    </row>
    <row r="356" spans="1:16" outlineLevel="2" x14ac:dyDescent="0.3">
      <c r="A356" s="105" t="s">
        <v>1436</v>
      </c>
      <c r="B356" s="106"/>
      <c r="C356" s="106"/>
      <c r="D356" s="106"/>
      <c r="E356" s="106" t="s">
        <v>1437</v>
      </c>
      <c r="F356" s="106" t="s">
        <v>1438</v>
      </c>
      <c r="G356" s="105">
        <v>4</v>
      </c>
      <c r="H356" s="106" t="s">
        <v>7</v>
      </c>
      <c r="I356" s="105" t="s">
        <v>39</v>
      </c>
      <c r="J356" s="105"/>
      <c r="K356" s="105"/>
      <c r="L356" s="105"/>
      <c r="M356" s="106" t="s">
        <v>1439</v>
      </c>
      <c r="N356" s="106" t="s">
        <v>40</v>
      </c>
      <c r="O356" s="107"/>
      <c r="P356" s="106" t="s">
        <v>1440</v>
      </c>
    </row>
    <row r="357" spans="1:16" outlineLevel="2" x14ac:dyDescent="0.3">
      <c r="A357" s="105" t="s">
        <v>1441</v>
      </c>
      <c r="B357" s="106"/>
      <c r="C357" s="106"/>
      <c r="D357" s="106"/>
      <c r="E357" s="106" t="s">
        <v>387</v>
      </c>
      <c r="F357" s="106" t="s">
        <v>388</v>
      </c>
      <c r="G357" s="105">
        <v>4</v>
      </c>
      <c r="H357" s="106" t="s">
        <v>7</v>
      </c>
      <c r="I357" s="105" t="s">
        <v>39</v>
      </c>
      <c r="J357" s="105"/>
      <c r="K357" s="105"/>
      <c r="L357" s="105"/>
      <c r="M357" s="106" t="s">
        <v>1442</v>
      </c>
      <c r="N357" s="106" t="s">
        <v>223</v>
      </c>
      <c r="O357" s="107"/>
      <c r="P357" s="106" t="s">
        <v>1443</v>
      </c>
    </row>
    <row r="358" spans="1:16" outlineLevel="2" x14ac:dyDescent="0.3">
      <c r="A358" s="105" t="s">
        <v>1444</v>
      </c>
      <c r="B358" s="106"/>
      <c r="C358" s="106"/>
      <c r="D358" s="106"/>
      <c r="E358" s="106" t="s">
        <v>1445</v>
      </c>
      <c r="F358" s="106" t="s">
        <v>392</v>
      </c>
      <c r="G358" s="105">
        <v>4</v>
      </c>
      <c r="H358" s="106" t="s">
        <v>7</v>
      </c>
      <c r="I358" s="105" t="s">
        <v>39</v>
      </c>
      <c r="J358" s="105"/>
      <c r="K358" s="105"/>
      <c r="L358" s="105"/>
      <c r="M358" s="106" t="s">
        <v>1446</v>
      </c>
      <c r="N358" s="106" t="s">
        <v>223</v>
      </c>
      <c r="O358" s="107"/>
      <c r="P358" s="106" t="s">
        <v>1447</v>
      </c>
    </row>
    <row r="359" spans="1:16" outlineLevel="2" x14ac:dyDescent="0.3">
      <c r="A359" s="105" t="s">
        <v>1448</v>
      </c>
      <c r="B359" s="106"/>
      <c r="C359" s="106"/>
      <c r="D359" s="106"/>
      <c r="E359" s="106" t="s">
        <v>1449</v>
      </c>
      <c r="F359" s="106" t="s">
        <v>1450</v>
      </c>
      <c r="G359" s="105">
        <v>4</v>
      </c>
      <c r="H359" s="106" t="s">
        <v>7</v>
      </c>
      <c r="I359" s="105" t="s">
        <v>39</v>
      </c>
      <c r="J359" s="105"/>
      <c r="K359" s="105"/>
      <c r="L359" s="105"/>
      <c r="M359" s="106" t="s">
        <v>1451</v>
      </c>
      <c r="N359" s="106" t="s">
        <v>40</v>
      </c>
      <c r="O359" s="107"/>
      <c r="P359" s="106" t="s">
        <v>1452</v>
      </c>
    </row>
    <row r="360" spans="1:16" outlineLevel="2" x14ac:dyDescent="0.3">
      <c r="A360" s="105" t="s">
        <v>1453</v>
      </c>
      <c r="B360" s="106"/>
      <c r="C360" s="106"/>
      <c r="D360" s="106"/>
      <c r="E360" s="106" t="s">
        <v>1454</v>
      </c>
      <c r="F360" s="106" t="s">
        <v>1455</v>
      </c>
      <c r="G360" s="105">
        <v>4</v>
      </c>
      <c r="H360" s="106" t="s">
        <v>7</v>
      </c>
      <c r="I360" s="105" t="s">
        <v>39</v>
      </c>
      <c r="J360" s="105"/>
      <c r="K360" s="105"/>
      <c r="L360" s="105"/>
      <c r="M360" s="106" t="s">
        <v>1456</v>
      </c>
      <c r="N360" s="106" t="s">
        <v>40</v>
      </c>
      <c r="O360" s="107"/>
      <c r="P360" s="106" t="s">
        <v>1457</v>
      </c>
    </row>
    <row r="361" spans="1:16" ht="27.6" outlineLevel="1" x14ac:dyDescent="0.3">
      <c r="A361" s="139" t="s">
        <v>1458</v>
      </c>
      <c r="B361" s="140"/>
      <c r="C361" s="141" t="s">
        <v>1459</v>
      </c>
      <c r="D361" s="140"/>
      <c r="E361" s="140"/>
      <c r="F361" s="140"/>
      <c r="G361" s="139">
        <v>2</v>
      </c>
      <c r="H361" s="140" t="s">
        <v>25</v>
      </c>
      <c r="I361" s="139" t="s">
        <v>39</v>
      </c>
      <c r="J361" s="139">
        <v>122</v>
      </c>
      <c r="K361" s="139">
        <v>0</v>
      </c>
      <c r="L361" s="139">
        <v>86</v>
      </c>
      <c r="M361" s="142" t="s">
        <v>1460</v>
      </c>
      <c r="N361" s="142" t="s">
        <v>223</v>
      </c>
      <c r="O361" s="143"/>
      <c r="P361" s="142" t="s">
        <v>1461</v>
      </c>
    </row>
    <row r="362" spans="1:16" outlineLevel="2" x14ac:dyDescent="0.3">
      <c r="A362" s="105" t="s">
        <v>1462</v>
      </c>
      <c r="B362" s="106"/>
      <c r="C362" s="106"/>
      <c r="D362" s="106"/>
      <c r="E362" s="106" t="s">
        <v>1463</v>
      </c>
      <c r="F362" s="106" t="s">
        <v>1464</v>
      </c>
      <c r="G362" s="105">
        <v>4</v>
      </c>
      <c r="H362" s="106" t="s">
        <v>7</v>
      </c>
      <c r="I362" s="105" t="s">
        <v>39</v>
      </c>
      <c r="J362" s="105"/>
      <c r="K362" s="105"/>
      <c r="L362" s="105"/>
      <c r="M362" s="106" t="s">
        <v>1465</v>
      </c>
      <c r="N362" s="106" t="s">
        <v>223</v>
      </c>
      <c r="O362" s="107"/>
      <c r="P362" s="106" t="s">
        <v>1466</v>
      </c>
    </row>
    <row r="363" spans="1:16" outlineLevel="2" x14ac:dyDescent="0.3">
      <c r="A363" s="105" t="s">
        <v>1467</v>
      </c>
      <c r="B363" s="106"/>
      <c r="C363" s="106"/>
      <c r="D363" s="106"/>
      <c r="E363" s="106" t="s">
        <v>1468</v>
      </c>
      <c r="F363" s="106" t="s">
        <v>1469</v>
      </c>
      <c r="G363" s="105">
        <v>4</v>
      </c>
      <c r="H363" s="106" t="s">
        <v>7</v>
      </c>
      <c r="I363" s="105" t="s">
        <v>39</v>
      </c>
      <c r="J363" s="105"/>
      <c r="K363" s="105"/>
      <c r="L363" s="105"/>
      <c r="M363" s="106"/>
      <c r="N363" s="106" t="s">
        <v>287</v>
      </c>
      <c r="O363" s="107"/>
      <c r="P363" s="106"/>
    </row>
    <row r="364" spans="1:16" outlineLevel="2" x14ac:dyDescent="0.3">
      <c r="A364" s="105" t="s">
        <v>1470</v>
      </c>
      <c r="B364" s="106"/>
      <c r="C364" s="106"/>
      <c r="D364" s="106"/>
      <c r="E364" s="106" t="s">
        <v>1471</v>
      </c>
      <c r="F364" s="106" t="s">
        <v>1472</v>
      </c>
      <c r="G364" s="105">
        <v>4</v>
      </c>
      <c r="H364" s="106" t="s">
        <v>7</v>
      </c>
      <c r="I364" s="105" t="s">
        <v>39</v>
      </c>
      <c r="J364" s="105"/>
      <c r="K364" s="105"/>
      <c r="L364" s="105"/>
      <c r="M364" s="106"/>
      <c r="N364" s="106" t="s">
        <v>287</v>
      </c>
      <c r="O364" s="107"/>
      <c r="P364" s="106" t="s">
        <v>1473</v>
      </c>
    </row>
    <row r="365" spans="1:16" outlineLevel="2" x14ac:dyDescent="0.3">
      <c r="A365" s="105" t="s">
        <v>1474</v>
      </c>
      <c r="B365" s="106"/>
      <c r="C365" s="106"/>
      <c r="D365" s="106"/>
      <c r="E365" s="106" t="s">
        <v>1475</v>
      </c>
      <c r="F365" s="106" t="s">
        <v>1476</v>
      </c>
      <c r="G365" s="105">
        <v>4</v>
      </c>
      <c r="H365" s="106" t="s">
        <v>7</v>
      </c>
      <c r="I365" s="105" t="s">
        <v>39</v>
      </c>
      <c r="J365" s="105"/>
      <c r="K365" s="105"/>
      <c r="L365" s="105"/>
      <c r="M365" s="106" t="s">
        <v>1477</v>
      </c>
      <c r="N365" s="106" t="s">
        <v>223</v>
      </c>
      <c r="O365" s="107"/>
      <c r="P365" s="106" t="s">
        <v>1478</v>
      </c>
    </row>
    <row r="366" spans="1:16" outlineLevel="2" x14ac:dyDescent="0.3">
      <c r="A366" s="105" t="s">
        <v>1479</v>
      </c>
      <c r="B366" s="106"/>
      <c r="C366" s="106"/>
      <c r="D366" s="106"/>
      <c r="E366" s="106" t="s">
        <v>1480</v>
      </c>
      <c r="F366" s="106" t="s">
        <v>1481</v>
      </c>
      <c r="G366" s="105">
        <v>4</v>
      </c>
      <c r="H366" s="106" t="s">
        <v>7</v>
      </c>
      <c r="I366" s="105" t="s">
        <v>39</v>
      </c>
      <c r="J366" s="105"/>
      <c r="K366" s="105"/>
      <c r="L366" s="105"/>
      <c r="M366" s="106" t="s">
        <v>1482</v>
      </c>
      <c r="N366" s="106" t="s">
        <v>223</v>
      </c>
      <c r="O366" s="107"/>
      <c r="P366" s="106" t="s">
        <v>1483</v>
      </c>
    </row>
    <row r="367" spans="1:16" outlineLevel="2" x14ac:dyDescent="0.3">
      <c r="A367" s="105" t="s">
        <v>1484</v>
      </c>
      <c r="B367" s="106"/>
      <c r="C367" s="106"/>
      <c r="D367" s="106"/>
      <c r="E367" s="106" t="s">
        <v>1485</v>
      </c>
      <c r="F367" s="106" t="s">
        <v>1486</v>
      </c>
      <c r="G367" s="105">
        <v>4</v>
      </c>
      <c r="H367" s="106" t="s">
        <v>7</v>
      </c>
      <c r="I367" s="105" t="s">
        <v>39</v>
      </c>
      <c r="J367" s="105"/>
      <c r="K367" s="105"/>
      <c r="L367" s="105"/>
      <c r="M367" s="106" t="s">
        <v>1487</v>
      </c>
      <c r="N367" s="106" t="s">
        <v>40</v>
      </c>
      <c r="O367" s="107"/>
      <c r="P367" s="106" t="s">
        <v>1488</v>
      </c>
    </row>
    <row r="368" spans="1:16" outlineLevel="2" x14ac:dyDescent="0.3">
      <c r="A368" s="105" t="s">
        <v>1489</v>
      </c>
      <c r="B368" s="106"/>
      <c r="C368" s="106"/>
      <c r="D368" s="106"/>
      <c r="E368" s="106" t="s">
        <v>1490</v>
      </c>
      <c r="F368" s="106" t="s">
        <v>1491</v>
      </c>
      <c r="G368" s="105">
        <v>4</v>
      </c>
      <c r="H368" s="106" t="s">
        <v>7</v>
      </c>
      <c r="I368" s="105" t="s">
        <v>39</v>
      </c>
      <c r="J368" s="105"/>
      <c r="K368" s="105"/>
      <c r="L368" s="105"/>
      <c r="M368" s="106" t="s">
        <v>1492</v>
      </c>
      <c r="N368" s="106" t="s">
        <v>223</v>
      </c>
      <c r="O368" s="107"/>
      <c r="P368" s="106" t="s">
        <v>1493</v>
      </c>
    </row>
    <row r="369" spans="1:16" outlineLevel="2" x14ac:dyDescent="0.3">
      <c r="A369" s="105" t="s">
        <v>1494</v>
      </c>
      <c r="B369" s="106"/>
      <c r="C369" s="106"/>
      <c r="D369" s="106"/>
      <c r="E369" s="106" t="s">
        <v>1495</v>
      </c>
      <c r="F369" s="106" t="s">
        <v>1496</v>
      </c>
      <c r="G369" s="105">
        <v>4</v>
      </c>
      <c r="H369" s="106" t="s">
        <v>7</v>
      </c>
      <c r="I369" s="105" t="s">
        <v>39</v>
      </c>
      <c r="J369" s="105"/>
      <c r="K369" s="105"/>
      <c r="L369" s="105"/>
      <c r="M369" s="106" t="s">
        <v>1497</v>
      </c>
      <c r="N369" s="106" t="s">
        <v>223</v>
      </c>
      <c r="O369" s="107"/>
      <c r="P369" s="106" t="s">
        <v>1498</v>
      </c>
    </row>
    <row r="370" spans="1:16" outlineLevel="2" x14ac:dyDescent="0.3">
      <c r="A370" s="105" t="s">
        <v>1499</v>
      </c>
      <c r="B370" s="106"/>
      <c r="C370" s="106"/>
      <c r="D370" s="106"/>
      <c r="E370" s="106" t="s">
        <v>1500</v>
      </c>
      <c r="F370" s="106" t="s">
        <v>1501</v>
      </c>
      <c r="G370" s="105">
        <v>4</v>
      </c>
      <c r="H370" s="106" t="s">
        <v>7</v>
      </c>
      <c r="I370" s="105" t="s">
        <v>39</v>
      </c>
      <c r="J370" s="105"/>
      <c r="K370" s="105"/>
      <c r="L370" s="105"/>
      <c r="M370" s="106" t="s">
        <v>1502</v>
      </c>
      <c r="N370" s="106" t="s">
        <v>223</v>
      </c>
      <c r="O370" s="107"/>
      <c r="P370" s="106" t="s">
        <v>1503</v>
      </c>
    </row>
    <row r="371" spans="1:16" outlineLevel="2" x14ac:dyDescent="0.3">
      <c r="A371" s="105" t="s">
        <v>1504</v>
      </c>
      <c r="B371" s="106"/>
      <c r="C371" s="106"/>
      <c r="D371" s="106"/>
      <c r="E371" s="106" t="s">
        <v>1505</v>
      </c>
      <c r="F371" s="106" t="s">
        <v>1506</v>
      </c>
      <c r="G371" s="105">
        <v>4</v>
      </c>
      <c r="H371" s="106" t="s">
        <v>7</v>
      </c>
      <c r="I371" s="105" t="s">
        <v>39</v>
      </c>
      <c r="J371" s="105"/>
      <c r="K371" s="105"/>
      <c r="L371" s="105"/>
      <c r="M371" s="106" t="s">
        <v>1507</v>
      </c>
      <c r="N371" s="106" t="s">
        <v>40</v>
      </c>
      <c r="O371" s="107"/>
      <c r="P371" s="106" t="s">
        <v>1508</v>
      </c>
    </row>
    <row r="372" spans="1:16" outlineLevel="2" x14ac:dyDescent="0.3">
      <c r="A372" s="105" t="s">
        <v>1509</v>
      </c>
      <c r="B372" s="106"/>
      <c r="C372" s="106"/>
      <c r="D372" s="106"/>
      <c r="E372" s="106" t="s">
        <v>1510</v>
      </c>
      <c r="F372" s="106" t="s">
        <v>1511</v>
      </c>
      <c r="G372" s="105">
        <v>4</v>
      </c>
      <c r="H372" s="106" t="s">
        <v>7</v>
      </c>
      <c r="I372" s="105" t="s">
        <v>39</v>
      </c>
      <c r="J372" s="105"/>
      <c r="K372" s="105"/>
      <c r="L372" s="105"/>
      <c r="M372" s="106" t="s">
        <v>1512</v>
      </c>
      <c r="N372" s="106" t="s">
        <v>40</v>
      </c>
      <c r="O372" s="107"/>
      <c r="P372" s="106" t="s">
        <v>1513</v>
      </c>
    </row>
    <row r="373" spans="1:16" outlineLevel="2" x14ac:dyDescent="0.3">
      <c r="A373" s="105" t="s">
        <v>1514</v>
      </c>
      <c r="B373" s="106"/>
      <c r="C373" s="106"/>
      <c r="D373" s="106"/>
      <c r="E373" s="106" t="s">
        <v>1515</v>
      </c>
      <c r="F373" s="106" t="s">
        <v>1516</v>
      </c>
      <c r="G373" s="105">
        <v>4</v>
      </c>
      <c r="H373" s="106" t="s">
        <v>7</v>
      </c>
      <c r="I373" s="105" t="s">
        <v>39</v>
      </c>
      <c r="J373" s="105"/>
      <c r="K373" s="105"/>
      <c r="L373" s="105"/>
      <c r="M373" s="106" t="s">
        <v>1517</v>
      </c>
      <c r="N373" s="106" t="s">
        <v>223</v>
      </c>
      <c r="O373" s="107"/>
      <c r="P373" s="106" t="s">
        <v>1518</v>
      </c>
    </row>
    <row r="374" spans="1:16" outlineLevel="2" x14ac:dyDescent="0.3">
      <c r="A374" s="105" t="s">
        <v>1519</v>
      </c>
      <c r="B374" s="106"/>
      <c r="C374" s="106"/>
      <c r="D374" s="106"/>
      <c r="E374" s="106" t="s">
        <v>1520</v>
      </c>
      <c r="F374" s="106" t="s">
        <v>1521</v>
      </c>
      <c r="G374" s="105">
        <v>4</v>
      </c>
      <c r="H374" s="106" t="s">
        <v>7</v>
      </c>
      <c r="I374" s="105" t="s">
        <v>39</v>
      </c>
      <c r="J374" s="105"/>
      <c r="K374" s="105"/>
      <c r="L374" s="105"/>
      <c r="M374" s="106" t="s">
        <v>95</v>
      </c>
      <c r="N374" s="106" t="s">
        <v>287</v>
      </c>
      <c r="O374" s="107"/>
      <c r="P374" s="106" t="s">
        <v>1522</v>
      </c>
    </row>
    <row r="375" spans="1:16" outlineLevel="2" x14ac:dyDescent="0.3">
      <c r="A375" s="105" t="s">
        <v>1523</v>
      </c>
      <c r="B375" s="106"/>
      <c r="C375" s="106"/>
      <c r="D375" s="106"/>
      <c r="E375" s="106" t="s">
        <v>1524</v>
      </c>
      <c r="F375" s="106" t="s">
        <v>1525</v>
      </c>
      <c r="G375" s="105">
        <v>4</v>
      </c>
      <c r="H375" s="106" t="s">
        <v>7</v>
      </c>
      <c r="I375" s="105" t="s">
        <v>39</v>
      </c>
      <c r="J375" s="105"/>
      <c r="K375" s="105"/>
      <c r="L375" s="105"/>
      <c r="M375" s="106" t="s">
        <v>1526</v>
      </c>
      <c r="N375" s="106" t="s">
        <v>40</v>
      </c>
      <c r="O375" s="107"/>
      <c r="P375" s="106" t="s">
        <v>1527</v>
      </c>
    </row>
    <row r="376" spans="1:16" outlineLevel="2" x14ac:dyDescent="0.3">
      <c r="A376" s="105" t="s">
        <v>1528</v>
      </c>
      <c r="B376" s="106"/>
      <c r="C376" s="106"/>
      <c r="D376" s="106"/>
      <c r="E376" s="106" t="s">
        <v>1529</v>
      </c>
      <c r="F376" s="106" t="s">
        <v>1530</v>
      </c>
      <c r="G376" s="105">
        <v>4</v>
      </c>
      <c r="H376" s="106" t="s">
        <v>7</v>
      </c>
      <c r="I376" s="105" t="s">
        <v>39</v>
      </c>
      <c r="J376" s="105"/>
      <c r="K376" s="105"/>
      <c r="L376" s="105"/>
      <c r="M376" s="106" t="s">
        <v>1531</v>
      </c>
      <c r="N376" s="106" t="s">
        <v>223</v>
      </c>
      <c r="O376" s="107"/>
      <c r="P376" s="106" t="s">
        <v>1532</v>
      </c>
    </row>
    <row r="377" spans="1:16" outlineLevel="2" x14ac:dyDescent="0.3">
      <c r="A377" s="105" t="s">
        <v>1533</v>
      </c>
      <c r="B377" s="106"/>
      <c r="C377" s="106"/>
      <c r="D377" s="106"/>
      <c r="E377" s="106" t="s">
        <v>1534</v>
      </c>
      <c r="F377" s="106" t="s">
        <v>1535</v>
      </c>
      <c r="G377" s="105">
        <v>4</v>
      </c>
      <c r="H377" s="106" t="s">
        <v>7</v>
      </c>
      <c r="I377" s="105" t="s">
        <v>39</v>
      </c>
      <c r="J377" s="105"/>
      <c r="K377" s="105"/>
      <c r="L377" s="105"/>
      <c r="M377" s="106" t="s">
        <v>1536</v>
      </c>
      <c r="N377" s="106" t="s">
        <v>223</v>
      </c>
      <c r="O377" s="107"/>
      <c r="P377" s="106" t="s">
        <v>1537</v>
      </c>
    </row>
    <row r="378" spans="1:16" outlineLevel="2" x14ac:dyDescent="0.3">
      <c r="A378" s="105" t="s">
        <v>1538</v>
      </c>
      <c r="B378" s="106"/>
      <c r="C378" s="106"/>
      <c r="D378" s="106"/>
      <c r="E378" s="106" t="s">
        <v>285</v>
      </c>
      <c r="F378" s="106" t="s">
        <v>286</v>
      </c>
      <c r="G378" s="105">
        <v>4</v>
      </c>
      <c r="H378" s="106" t="s">
        <v>7</v>
      </c>
      <c r="I378" s="105" t="s">
        <v>39</v>
      </c>
      <c r="J378" s="105"/>
      <c r="K378" s="105"/>
      <c r="L378" s="105"/>
      <c r="M378" s="106" t="s">
        <v>1539</v>
      </c>
      <c r="N378" s="106" t="s">
        <v>223</v>
      </c>
      <c r="O378" s="107"/>
      <c r="P378" s="106" t="s">
        <v>1540</v>
      </c>
    </row>
    <row r="379" spans="1:16" outlineLevel="2" x14ac:dyDescent="0.3">
      <c r="A379" s="105" t="s">
        <v>1541</v>
      </c>
      <c r="B379" s="106"/>
      <c r="C379" s="106"/>
      <c r="D379" s="106"/>
      <c r="E379" s="106" t="s">
        <v>1542</v>
      </c>
      <c r="F379" s="106" t="s">
        <v>1543</v>
      </c>
      <c r="G379" s="105">
        <v>4</v>
      </c>
      <c r="H379" s="106" t="s">
        <v>7</v>
      </c>
      <c r="I379" s="105" t="s">
        <v>39</v>
      </c>
      <c r="J379" s="105"/>
      <c r="K379" s="105"/>
      <c r="L379" s="105"/>
      <c r="M379" s="106"/>
      <c r="N379" s="106" t="s">
        <v>287</v>
      </c>
      <c r="O379" s="107"/>
      <c r="P379" s="106"/>
    </row>
    <row r="380" spans="1:16" outlineLevel="2" x14ac:dyDescent="0.3">
      <c r="A380" s="105" t="s">
        <v>1544</v>
      </c>
      <c r="B380" s="106"/>
      <c r="C380" s="106"/>
      <c r="D380" s="106"/>
      <c r="E380" s="106" t="s">
        <v>1545</v>
      </c>
      <c r="F380" s="106" t="s">
        <v>1546</v>
      </c>
      <c r="G380" s="105">
        <v>4</v>
      </c>
      <c r="H380" s="106" t="s">
        <v>7</v>
      </c>
      <c r="I380" s="105" t="s">
        <v>39</v>
      </c>
      <c r="J380" s="105"/>
      <c r="K380" s="105"/>
      <c r="L380" s="105"/>
      <c r="M380" s="106" t="s">
        <v>1547</v>
      </c>
      <c r="N380" s="106" t="s">
        <v>223</v>
      </c>
      <c r="O380" s="107"/>
      <c r="P380" s="106" t="s">
        <v>1548</v>
      </c>
    </row>
    <row r="381" spans="1:16" outlineLevel="2" x14ac:dyDescent="0.3">
      <c r="A381" s="105" t="s">
        <v>1549</v>
      </c>
      <c r="B381" s="106"/>
      <c r="C381" s="106"/>
      <c r="D381" s="106"/>
      <c r="E381" s="106" t="s">
        <v>1550</v>
      </c>
      <c r="F381" s="106" t="s">
        <v>1551</v>
      </c>
      <c r="G381" s="105">
        <v>4</v>
      </c>
      <c r="H381" s="106" t="s">
        <v>7</v>
      </c>
      <c r="I381" s="105" t="s">
        <v>39</v>
      </c>
      <c r="J381" s="105"/>
      <c r="K381" s="105"/>
      <c r="L381" s="105"/>
      <c r="M381" s="106" t="s">
        <v>1552</v>
      </c>
      <c r="N381" s="106" t="s">
        <v>40</v>
      </c>
      <c r="O381" s="107"/>
      <c r="P381" s="106" t="s">
        <v>1553</v>
      </c>
    </row>
    <row r="382" spans="1:16" outlineLevel="2" x14ac:dyDescent="0.3">
      <c r="A382" s="105" t="s">
        <v>1554</v>
      </c>
      <c r="B382" s="106"/>
      <c r="C382" s="106"/>
      <c r="D382" s="106"/>
      <c r="E382" s="106" t="s">
        <v>1555</v>
      </c>
      <c r="F382" s="106" t="s">
        <v>1556</v>
      </c>
      <c r="G382" s="105">
        <v>4</v>
      </c>
      <c r="H382" s="106" t="s">
        <v>7</v>
      </c>
      <c r="I382" s="105" t="s">
        <v>39</v>
      </c>
      <c r="J382" s="105"/>
      <c r="K382" s="105"/>
      <c r="L382" s="105"/>
      <c r="M382" s="106" t="s">
        <v>1557</v>
      </c>
      <c r="N382" s="106" t="s">
        <v>223</v>
      </c>
      <c r="O382" s="107"/>
      <c r="P382" s="106" t="s">
        <v>1558</v>
      </c>
    </row>
    <row r="383" spans="1:16" outlineLevel="2" x14ac:dyDescent="0.3">
      <c r="A383" s="105" t="s">
        <v>1559</v>
      </c>
      <c r="B383" s="106"/>
      <c r="C383" s="106"/>
      <c r="D383" s="106"/>
      <c r="E383" s="106" t="s">
        <v>1560</v>
      </c>
      <c r="F383" s="106" t="s">
        <v>1561</v>
      </c>
      <c r="G383" s="105">
        <v>4</v>
      </c>
      <c r="H383" s="106" t="s">
        <v>7</v>
      </c>
      <c r="I383" s="105" t="s">
        <v>39</v>
      </c>
      <c r="J383" s="105"/>
      <c r="K383" s="105"/>
      <c r="L383" s="105"/>
      <c r="M383" s="106" t="s">
        <v>1255</v>
      </c>
      <c r="N383" s="106" t="s">
        <v>287</v>
      </c>
      <c r="O383" s="107"/>
      <c r="P383" s="106"/>
    </row>
    <row r="384" spans="1:16" outlineLevel="2" x14ac:dyDescent="0.3">
      <c r="A384" s="105" t="s">
        <v>1562</v>
      </c>
      <c r="B384" s="106"/>
      <c r="C384" s="106"/>
      <c r="D384" s="106"/>
      <c r="E384" s="106" t="s">
        <v>1563</v>
      </c>
      <c r="F384" s="106" t="s">
        <v>1564</v>
      </c>
      <c r="G384" s="105">
        <v>4</v>
      </c>
      <c r="H384" s="106" t="s">
        <v>7</v>
      </c>
      <c r="I384" s="105" t="s">
        <v>39</v>
      </c>
      <c r="J384" s="105"/>
      <c r="K384" s="105"/>
      <c r="L384" s="105"/>
      <c r="M384" s="106"/>
      <c r="N384" s="106" t="s">
        <v>287</v>
      </c>
      <c r="O384" s="107"/>
      <c r="P384" s="106"/>
    </row>
    <row r="385" spans="1:16" outlineLevel="2" x14ac:dyDescent="0.3">
      <c r="A385" s="105" t="s">
        <v>1565</v>
      </c>
      <c r="B385" s="106"/>
      <c r="C385" s="106"/>
      <c r="D385" s="106"/>
      <c r="E385" s="106" t="s">
        <v>1566</v>
      </c>
      <c r="F385" s="106" t="s">
        <v>1567</v>
      </c>
      <c r="G385" s="105">
        <v>4</v>
      </c>
      <c r="H385" s="106" t="s">
        <v>7</v>
      </c>
      <c r="I385" s="105" t="s">
        <v>39</v>
      </c>
      <c r="J385" s="105"/>
      <c r="K385" s="105"/>
      <c r="L385" s="105"/>
      <c r="M385" s="106" t="s">
        <v>1568</v>
      </c>
      <c r="N385" s="106" t="s">
        <v>40</v>
      </c>
      <c r="O385" s="107"/>
      <c r="P385" s="106" t="s">
        <v>1569</v>
      </c>
    </row>
    <row r="386" spans="1:16" outlineLevel="2" x14ac:dyDescent="0.3">
      <c r="A386" s="105" t="s">
        <v>1570</v>
      </c>
      <c r="B386" s="106"/>
      <c r="C386" s="106"/>
      <c r="D386" s="106"/>
      <c r="E386" s="106" t="s">
        <v>1571</v>
      </c>
      <c r="F386" s="106" t="s">
        <v>1572</v>
      </c>
      <c r="G386" s="105">
        <v>4</v>
      </c>
      <c r="H386" s="106" t="s">
        <v>7</v>
      </c>
      <c r="I386" s="105" t="s">
        <v>39</v>
      </c>
      <c r="J386" s="105"/>
      <c r="K386" s="105"/>
      <c r="L386" s="105"/>
      <c r="M386" s="106"/>
      <c r="N386" s="106" t="s">
        <v>287</v>
      </c>
      <c r="O386" s="107"/>
      <c r="P386" s="106"/>
    </row>
    <row r="387" spans="1:16" outlineLevel="2" x14ac:dyDescent="0.3">
      <c r="A387" s="105" t="s">
        <v>1573</v>
      </c>
      <c r="B387" s="106"/>
      <c r="C387" s="106"/>
      <c r="D387" s="106"/>
      <c r="E387" s="106" t="s">
        <v>1574</v>
      </c>
      <c r="F387" s="106" t="s">
        <v>1575</v>
      </c>
      <c r="G387" s="105">
        <v>4</v>
      </c>
      <c r="H387" s="106" t="s">
        <v>7</v>
      </c>
      <c r="I387" s="105" t="s">
        <v>39</v>
      </c>
      <c r="J387" s="105"/>
      <c r="K387" s="105"/>
      <c r="L387" s="105"/>
      <c r="M387" s="106"/>
      <c r="N387" s="106" t="s">
        <v>287</v>
      </c>
      <c r="O387" s="107"/>
      <c r="P387" s="106"/>
    </row>
    <row r="388" spans="1:16" outlineLevel="2" x14ac:dyDescent="0.3">
      <c r="A388" s="105" t="s">
        <v>1576</v>
      </c>
      <c r="B388" s="106"/>
      <c r="C388" s="106"/>
      <c r="D388" s="106"/>
      <c r="E388" s="106" t="s">
        <v>1577</v>
      </c>
      <c r="F388" s="106" t="s">
        <v>1578</v>
      </c>
      <c r="G388" s="105">
        <v>4</v>
      </c>
      <c r="H388" s="106" t="s">
        <v>7</v>
      </c>
      <c r="I388" s="105" t="s">
        <v>39</v>
      </c>
      <c r="J388" s="105"/>
      <c r="K388" s="105"/>
      <c r="L388" s="105"/>
      <c r="M388" s="106"/>
      <c r="N388" s="106" t="s">
        <v>287</v>
      </c>
      <c r="O388" s="107"/>
      <c r="P388" s="106"/>
    </row>
    <row r="389" spans="1:16" outlineLevel="2" x14ac:dyDescent="0.3">
      <c r="A389" s="105" t="s">
        <v>1579</v>
      </c>
      <c r="B389" s="106"/>
      <c r="C389" s="106"/>
      <c r="D389" s="106"/>
      <c r="E389" s="106" t="s">
        <v>1580</v>
      </c>
      <c r="F389" s="106" t="s">
        <v>1581</v>
      </c>
      <c r="G389" s="105">
        <v>4</v>
      </c>
      <c r="H389" s="106" t="s">
        <v>7</v>
      </c>
      <c r="I389" s="105" t="s">
        <v>39</v>
      </c>
      <c r="J389" s="105"/>
      <c r="K389" s="105"/>
      <c r="L389" s="105"/>
      <c r="M389" s="106"/>
      <c r="N389" s="106" t="s">
        <v>287</v>
      </c>
      <c r="O389" s="107"/>
      <c r="P389" s="106"/>
    </row>
    <row r="390" spans="1:16" outlineLevel="2" x14ac:dyDescent="0.3">
      <c r="A390" s="105" t="s">
        <v>1582</v>
      </c>
      <c r="B390" s="106"/>
      <c r="C390" s="106"/>
      <c r="D390" s="106"/>
      <c r="E390" s="106" t="s">
        <v>1583</v>
      </c>
      <c r="F390" s="106" t="s">
        <v>1584</v>
      </c>
      <c r="G390" s="105">
        <v>4</v>
      </c>
      <c r="H390" s="106" t="s">
        <v>7</v>
      </c>
      <c r="I390" s="105" t="s">
        <v>39</v>
      </c>
      <c r="J390" s="105"/>
      <c r="K390" s="105"/>
      <c r="L390" s="105"/>
      <c r="M390" s="106"/>
      <c r="N390" s="106" t="s">
        <v>287</v>
      </c>
      <c r="O390" s="107"/>
      <c r="P390" s="106"/>
    </row>
    <row r="391" spans="1:16" outlineLevel="2" x14ac:dyDescent="0.3">
      <c r="A391" s="105" t="s">
        <v>1585</v>
      </c>
      <c r="B391" s="106"/>
      <c r="C391" s="106"/>
      <c r="D391" s="106"/>
      <c r="E391" s="106" t="s">
        <v>1586</v>
      </c>
      <c r="F391" s="106" t="s">
        <v>1587</v>
      </c>
      <c r="G391" s="105">
        <v>4</v>
      </c>
      <c r="H391" s="106" t="s">
        <v>7</v>
      </c>
      <c r="I391" s="105" t="s">
        <v>39</v>
      </c>
      <c r="J391" s="105"/>
      <c r="K391" s="105"/>
      <c r="L391" s="105"/>
      <c r="M391" s="106" t="s">
        <v>1588</v>
      </c>
      <c r="N391" s="106" t="s">
        <v>223</v>
      </c>
      <c r="O391" s="107"/>
      <c r="P391" s="106" t="s">
        <v>1589</v>
      </c>
    </row>
    <row r="392" spans="1:16" outlineLevel="2" x14ac:dyDescent="0.3">
      <c r="A392" s="105" t="s">
        <v>1590</v>
      </c>
      <c r="B392" s="106"/>
      <c r="C392" s="106"/>
      <c r="D392" s="106"/>
      <c r="E392" s="106" t="s">
        <v>1591</v>
      </c>
      <c r="F392" s="106" t="s">
        <v>1592</v>
      </c>
      <c r="G392" s="105">
        <v>4</v>
      </c>
      <c r="H392" s="106" t="s">
        <v>7</v>
      </c>
      <c r="I392" s="105" t="s">
        <v>39</v>
      </c>
      <c r="J392" s="105"/>
      <c r="K392" s="105"/>
      <c r="L392" s="105"/>
      <c r="M392" s="106" t="s">
        <v>1593</v>
      </c>
      <c r="N392" s="106" t="s">
        <v>40</v>
      </c>
      <c r="O392" s="107"/>
      <c r="P392" s="106" t="s">
        <v>1594</v>
      </c>
    </row>
    <row r="393" spans="1:16" outlineLevel="2" x14ac:dyDescent="0.3">
      <c r="A393" s="105" t="s">
        <v>1595</v>
      </c>
      <c r="B393" s="106"/>
      <c r="C393" s="106"/>
      <c r="D393" s="106"/>
      <c r="E393" s="106" t="s">
        <v>1596</v>
      </c>
      <c r="F393" s="106" t="s">
        <v>1597</v>
      </c>
      <c r="G393" s="105">
        <v>4</v>
      </c>
      <c r="H393" s="106" t="s">
        <v>7</v>
      </c>
      <c r="I393" s="105" t="s">
        <v>39</v>
      </c>
      <c r="J393" s="105"/>
      <c r="K393" s="105"/>
      <c r="L393" s="105"/>
      <c r="M393" s="106" t="s">
        <v>1598</v>
      </c>
      <c r="N393" s="106" t="s">
        <v>223</v>
      </c>
      <c r="O393" s="107"/>
      <c r="P393" s="106" t="s">
        <v>1599</v>
      </c>
    </row>
    <row r="394" spans="1:16" outlineLevel="2" x14ac:dyDescent="0.3">
      <c r="A394" s="105" t="s">
        <v>1600</v>
      </c>
      <c r="B394" s="106"/>
      <c r="C394" s="106"/>
      <c r="D394" s="106"/>
      <c r="E394" s="106" t="s">
        <v>1601</v>
      </c>
      <c r="F394" s="106" t="s">
        <v>1602</v>
      </c>
      <c r="G394" s="105">
        <v>4</v>
      </c>
      <c r="H394" s="106" t="s">
        <v>7</v>
      </c>
      <c r="I394" s="105" t="s">
        <v>39</v>
      </c>
      <c r="J394" s="105"/>
      <c r="K394" s="105"/>
      <c r="L394" s="105"/>
      <c r="M394" s="106" t="s">
        <v>95</v>
      </c>
      <c r="N394" s="106" t="s">
        <v>223</v>
      </c>
      <c r="O394" s="107"/>
      <c r="P394" s="106" t="s">
        <v>1603</v>
      </c>
    </row>
    <row r="395" spans="1:16" outlineLevel="2" x14ac:dyDescent="0.3">
      <c r="A395" s="105" t="s">
        <v>1604</v>
      </c>
      <c r="B395" s="106"/>
      <c r="C395" s="106"/>
      <c r="D395" s="106"/>
      <c r="E395" s="106" t="s">
        <v>1605</v>
      </c>
      <c r="F395" s="106" t="s">
        <v>1028</v>
      </c>
      <c r="G395" s="105">
        <v>4</v>
      </c>
      <c r="H395" s="106" t="s">
        <v>7</v>
      </c>
      <c r="I395" s="105" t="s">
        <v>39</v>
      </c>
      <c r="J395" s="105"/>
      <c r="K395" s="105"/>
      <c r="L395" s="105"/>
      <c r="M395" s="106" t="s">
        <v>1029</v>
      </c>
      <c r="N395" s="106" t="s">
        <v>287</v>
      </c>
      <c r="O395" s="107"/>
      <c r="P395" s="106" t="s">
        <v>1606</v>
      </c>
    </row>
    <row r="396" spans="1:16" outlineLevel="2" x14ac:dyDescent="0.3">
      <c r="A396" s="105" t="s">
        <v>1607</v>
      </c>
      <c r="B396" s="106"/>
      <c r="C396" s="106"/>
      <c r="D396" s="106"/>
      <c r="E396" s="106" t="s">
        <v>1608</v>
      </c>
      <c r="F396" s="106" t="s">
        <v>1609</v>
      </c>
      <c r="G396" s="105">
        <v>4</v>
      </c>
      <c r="H396" s="106" t="s">
        <v>7</v>
      </c>
      <c r="I396" s="105" t="s">
        <v>39</v>
      </c>
      <c r="J396" s="105"/>
      <c r="K396" s="105"/>
      <c r="L396" s="105"/>
      <c r="M396" s="106" t="s">
        <v>1610</v>
      </c>
      <c r="N396" s="106" t="s">
        <v>40</v>
      </c>
      <c r="O396" s="107"/>
      <c r="P396" s="106" t="s">
        <v>1611</v>
      </c>
    </row>
    <row r="397" spans="1:16" outlineLevel="2" x14ac:dyDescent="0.3">
      <c r="A397" s="105" t="s">
        <v>1612</v>
      </c>
      <c r="B397" s="106"/>
      <c r="C397" s="106"/>
      <c r="D397" s="106"/>
      <c r="E397" s="106" t="s">
        <v>1613</v>
      </c>
      <c r="F397" s="106" t="s">
        <v>1614</v>
      </c>
      <c r="G397" s="105">
        <v>4</v>
      </c>
      <c r="H397" s="106" t="s">
        <v>7</v>
      </c>
      <c r="I397" s="105" t="s">
        <v>39</v>
      </c>
      <c r="J397" s="105"/>
      <c r="K397" s="105"/>
      <c r="L397" s="105"/>
      <c r="M397" s="106" t="s">
        <v>1615</v>
      </c>
      <c r="N397" s="106" t="s">
        <v>223</v>
      </c>
      <c r="O397" s="107"/>
      <c r="P397" s="106" t="s">
        <v>1616</v>
      </c>
    </row>
    <row r="398" spans="1:16" outlineLevel="2" x14ac:dyDescent="0.3">
      <c r="A398" s="105" t="s">
        <v>1617</v>
      </c>
      <c r="B398" s="106"/>
      <c r="C398" s="106"/>
      <c r="D398" s="106"/>
      <c r="E398" s="106" t="s">
        <v>1618</v>
      </c>
      <c r="F398" s="106" t="s">
        <v>1619</v>
      </c>
      <c r="G398" s="105">
        <v>4</v>
      </c>
      <c r="H398" s="106" t="s">
        <v>7</v>
      </c>
      <c r="I398" s="105" t="s">
        <v>39</v>
      </c>
      <c r="J398" s="105"/>
      <c r="K398" s="105"/>
      <c r="L398" s="105"/>
      <c r="M398" s="106" t="s">
        <v>1620</v>
      </c>
      <c r="N398" s="106" t="s">
        <v>223</v>
      </c>
      <c r="O398" s="107"/>
      <c r="P398" s="106" t="s">
        <v>1621</v>
      </c>
    </row>
    <row r="399" spans="1:16" outlineLevel="2" x14ac:dyDescent="0.3">
      <c r="A399" s="105" t="s">
        <v>1622</v>
      </c>
      <c r="B399" s="106"/>
      <c r="C399" s="106"/>
      <c r="D399" s="106"/>
      <c r="E399" s="106" t="s">
        <v>1623</v>
      </c>
      <c r="F399" s="106" t="s">
        <v>1624</v>
      </c>
      <c r="G399" s="105">
        <v>4</v>
      </c>
      <c r="H399" s="106" t="s">
        <v>7</v>
      </c>
      <c r="I399" s="105" t="s">
        <v>39</v>
      </c>
      <c r="J399" s="105"/>
      <c r="K399" s="105"/>
      <c r="L399" s="105"/>
      <c r="M399" s="106" t="s">
        <v>1625</v>
      </c>
      <c r="N399" s="106" t="s">
        <v>223</v>
      </c>
      <c r="O399" s="107"/>
      <c r="P399" s="106" t="s">
        <v>1626</v>
      </c>
    </row>
    <row r="400" spans="1:16" outlineLevel="2" x14ac:dyDescent="0.3">
      <c r="A400" s="105" t="s">
        <v>1627</v>
      </c>
      <c r="B400" s="106"/>
      <c r="C400" s="106"/>
      <c r="D400" s="106"/>
      <c r="E400" s="106" t="s">
        <v>1628</v>
      </c>
      <c r="F400" s="106" t="s">
        <v>1629</v>
      </c>
      <c r="G400" s="105">
        <v>4</v>
      </c>
      <c r="H400" s="106" t="s">
        <v>7</v>
      </c>
      <c r="I400" s="105" t="s">
        <v>39</v>
      </c>
      <c r="J400" s="105"/>
      <c r="K400" s="105"/>
      <c r="L400" s="105"/>
      <c r="M400" s="106" t="s">
        <v>1630</v>
      </c>
      <c r="N400" s="106" t="s">
        <v>40</v>
      </c>
      <c r="O400" s="107"/>
      <c r="P400" s="106" t="s">
        <v>1631</v>
      </c>
    </row>
    <row r="401" spans="1:16" outlineLevel="2" x14ac:dyDescent="0.3">
      <c r="A401" s="105" t="s">
        <v>1632</v>
      </c>
      <c r="B401" s="106"/>
      <c r="C401" s="106"/>
      <c r="D401" s="106"/>
      <c r="E401" s="106" t="s">
        <v>1633</v>
      </c>
      <c r="F401" s="106" t="s">
        <v>1634</v>
      </c>
      <c r="G401" s="105">
        <v>4</v>
      </c>
      <c r="H401" s="106" t="s">
        <v>7</v>
      </c>
      <c r="I401" s="105" t="s">
        <v>39</v>
      </c>
      <c r="J401" s="105"/>
      <c r="K401" s="105"/>
      <c r="L401" s="105"/>
      <c r="M401" s="106" t="s">
        <v>1635</v>
      </c>
      <c r="N401" s="106" t="s">
        <v>223</v>
      </c>
      <c r="O401" s="107"/>
      <c r="P401" s="106" t="s">
        <v>1636</v>
      </c>
    </row>
    <row r="402" spans="1:16" outlineLevel="2" x14ac:dyDescent="0.3">
      <c r="A402" s="105" t="s">
        <v>1637</v>
      </c>
      <c r="B402" s="106"/>
      <c r="C402" s="106"/>
      <c r="D402" s="106"/>
      <c r="E402" s="106" t="s">
        <v>1638</v>
      </c>
      <c r="F402" s="106" t="s">
        <v>1639</v>
      </c>
      <c r="G402" s="105">
        <v>4</v>
      </c>
      <c r="H402" s="106" t="s">
        <v>7</v>
      </c>
      <c r="I402" s="105" t="s">
        <v>39</v>
      </c>
      <c r="J402" s="105"/>
      <c r="K402" s="105"/>
      <c r="L402" s="105"/>
      <c r="M402" s="106" t="s">
        <v>1640</v>
      </c>
      <c r="N402" s="106" t="s">
        <v>223</v>
      </c>
      <c r="O402" s="107"/>
      <c r="P402" s="106" t="s">
        <v>1641</v>
      </c>
    </row>
    <row r="403" spans="1:16" outlineLevel="2" x14ac:dyDescent="0.3">
      <c r="A403" s="105" t="s">
        <v>1642</v>
      </c>
      <c r="B403" s="106"/>
      <c r="C403" s="106"/>
      <c r="D403" s="106"/>
      <c r="E403" s="106" t="s">
        <v>1643</v>
      </c>
      <c r="F403" s="106" t="s">
        <v>1644</v>
      </c>
      <c r="G403" s="105">
        <v>4</v>
      </c>
      <c r="H403" s="106" t="s">
        <v>7</v>
      </c>
      <c r="I403" s="105" t="s">
        <v>39</v>
      </c>
      <c r="J403" s="105"/>
      <c r="K403" s="105"/>
      <c r="L403" s="105"/>
      <c r="M403" s="106" t="s">
        <v>1645</v>
      </c>
      <c r="N403" s="106" t="s">
        <v>287</v>
      </c>
      <c r="O403" s="107"/>
      <c r="P403" s="106"/>
    </row>
    <row r="404" spans="1:16" outlineLevel="2" x14ac:dyDescent="0.3">
      <c r="A404" s="105" t="s">
        <v>1646</v>
      </c>
      <c r="B404" s="106"/>
      <c r="C404" s="106"/>
      <c r="D404" s="106"/>
      <c r="E404" s="106" t="s">
        <v>1647</v>
      </c>
      <c r="F404" s="106" t="s">
        <v>1648</v>
      </c>
      <c r="G404" s="105">
        <v>4</v>
      </c>
      <c r="H404" s="106" t="s">
        <v>7</v>
      </c>
      <c r="I404" s="105" t="s">
        <v>39</v>
      </c>
      <c r="J404" s="105"/>
      <c r="K404" s="105"/>
      <c r="L404" s="105"/>
      <c r="M404" s="106" t="s">
        <v>1649</v>
      </c>
      <c r="N404" s="106" t="s">
        <v>40</v>
      </c>
      <c r="O404" s="107"/>
      <c r="P404" s="106" t="s">
        <v>1650</v>
      </c>
    </row>
    <row r="405" spans="1:16" outlineLevel="2" x14ac:dyDescent="0.3">
      <c r="A405" s="105" t="s">
        <v>1651</v>
      </c>
      <c r="B405" s="106"/>
      <c r="C405" s="106"/>
      <c r="D405" s="106"/>
      <c r="E405" s="106" t="s">
        <v>1652</v>
      </c>
      <c r="F405" s="106" t="s">
        <v>1653</v>
      </c>
      <c r="G405" s="105">
        <v>4</v>
      </c>
      <c r="H405" s="106" t="s">
        <v>7</v>
      </c>
      <c r="I405" s="105" t="s">
        <v>39</v>
      </c>
      <c r="J405" s="105"/>
      <c r="K405" s="105"/>
      <c r="L405" s="105"/>
      <c r="M405" s="106" t="s">
        <v>1255</v>
      </c>
      <c r="N405" s="106" t="s">
        <v>287</v>
      </c>
      <c r="O405" s="107"/>
      <c r="P405" s="106"/>
    </row>
    <row r="406" spans="1:16" outlineLevel="2" x14ac:dyDescent="0.3">
      <c r="A406" s="105" t="s">
        <v>1654</v>
      </c>
      <c r="B406" s="106"/>
      <c r="C406" s="106"/>
      <c r="D406" s="106"/>
      <c r="E406" s="106" t="s">
        <v>1655</v>
      </c>
      <c r="F406" s="106" t="s">
        <v>1656</v>
      </c>
      <c r="G406" s="105">
        <v>4</v>
      </c>
      <c r="H406" s="106" t="s">
        <v>7</v>
      </c>
      <c r="I406" s="105" t="s">
        <v>39</v>
      </c>
      <c r="J406" s="105"/>
      <c r="K406" s="105"/>
      <c r="L406" s="105"/>
      <c r="M406" s="106" t="s">
        <v>1657</v>
      </c>
      <c r="N406" s="106" t="s">
        <v>40</v>
      </c>
      <c r="O406" s="107"/>
      <c r="P406" s="106" t="s">
        <v>1658</v>
      </c>
    </row>
    <row r="407" spans="1:16" outlineLevel="2" x14ac:dyDescent="0.3">
      <c r="A407" s="105" t="s">
        <v>1659</v>
      </c>
      <c r="B407" s="106"/>
      <c r="C407" s="106"/>
      <c r="D407" s="106"/>
      <c r="E407" s="106" t="s">
        <v>1660</v>
      </c>
      <c r="F407" s="106" t="s">
        <v>1661</v>
      </c>
      <c r="G407" s="105">
        <v>4</v>
      </c>
      <c r="H407" s="106" t="s">
        <v>7</v>
      </c>
      <c r="I407" s="105" t="s">
        <v>39</v>
      </c>
      <c r="J407" s="105"/>
      <c r="K407" s="105"/>
      <c r="L407" s="105"/>
      <c r="M407" s="106" t="s">
        <v>1662</v>
      </c>
      <c r="N407" s="106" t="s">
        <v>223</v>
      </c>
      <c r="O407" s="107"/>
      <c r="P407" s="106" t="s">
        <v>1663</v>
      </c>
    </row>
    <row r="408" spans="1:16" outlineLevel="2" x14ac:dyDescent="0.3">
      <c r="A408" s="105" t="s">
        <v>1664</v>
      </c>
      <c r="B408" s="106"/>
      <c r="C408" s="106"/>
      <c r="D408" s="106"/>
      <c r="E408" s="106" t="s">
        <v>1665</v>
      </c>
      <c r="F408" s="106" t="s">
        <v>1666</v>
      </c>
      <c r="G408" s="105">
        <v>4</v>
      </c>
      <c r="H408" s="106" t="s">
        <v>7</v>
      </c>
      <c r="I408" s="105" t="s">
        <v>39</v>
      </c>
      <c r="J408" s="105"/>
      <c r="K408" s="105"/>
      <c r="L408" s="105"/>
      <c r="M408" s="106" t="s">
        <v>1667</v>
      </c>
      <c r="N408" s="106" t="s">
        <v>223</v>
      </c>
      <c r="O408" s="107"/>
      <c r="P408" s="106" t="s">
        <v>1668</v>
      </c>
    </row>
    <row r="409" spans="1:16" outlineLevel="2" x14ac:dyDescent="0.3">
      <c r="A409" s="105" t="s">
        <v>1669</v>
      </c>
      <c r="B409" s="106"/>
      <c r="C409" s="106"/>
      <c r="D409" s="106"/>
      <c r="E409" s="106" t="s">
        <v>1670</v>
      </c>
      <c r="F409" s="106" t="s">
        <v>1671</v>
      </c>
      <c r="G409" s="105">
        <v>4</v>
      </c>
      <c r="H409" s="106" t="s">
        <v>7</v>
      </c>
      <c r="I409" s="105" t="s">
        <v>39</v>
      </c>
      <c r="J409" s="105"/>
      <c r="K409" s="105"/>
      <c r="L409" s="105"/>
      <c r="M409" s="106"/>
      <c r="N409" s="106" t="s">
        <v>287</v>
      </c>
      <c r="O409" s="107"/>
      <c r="P409" s="106"/>
    </row>
    <row r="410" spans="1:16" outlineLevel="2" x14ac:dyDescent="0.3">
      <c r="A410" s="105" t="s">
        <v>1672</v>
      </c>
      <c r="B410" s="106"/>
      <c r="C410" s="106"/>
      <c r="D410" s="106"/>
      <c r="E410" s="106" t="s">
        <v>1673</v>
      </c>
      <c r="F410" s="106" t="s">
        <v>1674</v>
      </c>
      <c r="G410" s="105">
        <v>4</v>
      </c>
      <c r="H410" s="106" t="s">
        <v>7</v>
      </c>
      <c r="I410" s="105" t="s">
        <v>39</v>
      </c>
      <c r="J410" s="105"/>
      <c r="K410" s="105"/>
      <c r="L410" s="105"/>
      <c r="M410" s="106" t="s">
        <v>1675</v>
      </c>
      <c r="N410" s="106" t="s">
        <v>223</v>
      </c>
      <c r="O410" s="107"/>
      <c r="P410" s="106" t="s">
        <v>1676</v>
      </c>
    </row>
    <row r="411" spans="1:16" outlineLevel="2" x14ac:dyDescent="0.3">
      <c r="A411" s="105" t="s">
        <v>1677</v>
      </c>
      <c r="B411" s="106"/>
      <c r="C411" s="106"/>
      <c r="D411" s="106"/>
      <c r="E411" s="106" t="s">
        <v>1678</v>
      </c>
      <c r="F411" s="106" t="s">
        <v>1679</v>
      </c>
      <c r="G411" s="105">
        <v>4</v>
      </c>
      <c r="H411" s="106" t="s">
        <v>7</v>
      </c>
      <c r="I411" s="105" t="s">
        <v>39</v>
      </c>
      <c r="J411" s="105"/>
      <c r="K411" s="105"/>
      <c r="L411" s="105"/>
      <c r="M411" s="106" t="s">
        <v>1680</v>
      </c>
      <c r="N411" s="106" t="s">
        <v>40</v>
      </c>
      <c r="O411" s="107"/>
      <c r="P411" s="106" t="s">
        <v>1681</v>
      </c>
    </row>
    <row r="412" spans="1:16" outlineLevel="2" x14ac:dyDescent="0.3">
      <c r="A412" s="105" t="s">
        <v>1682</v>
      </c>
      <c r="B412" s="106"/>
      <c r="C412" s="106"/>
      <c r="D412" s="106"/>
      <c r="E412" s="106" t="s">
        <v>1683</v>
      </c>
      <c r="F412" s="106" t="s">
        <v>1684</v>
      </c>
      <c r="G412" s="105">
        <v>4</v>
      </c>
      <c r="H412" s="106" t="s">
        <v>7</v>
      </c>
      <c r="I412" s="105" t="s">
        <v>39</v>
      </c>
      <c r="J412" s="105"/>
      <c r="K412" s="105"/>
      <c r="L412" s="105"/>
      <c r="M412" s="106"/>
      <c r="N412" s="106" t="s">
        <v>287</v>
      </c>
      <c r="O412" s="107"/>
      <c r="P412" s="106"/>
    </row>
    <row r="413" spans="1:16" outlineLevel="2" x14ac:dyDescent="0.3">
      <c r="A413" s="105" t="s">
        <v>1685</v>
      </c>
      <c r="B413" s="106"/>
      <c r="C413" s="106"/>
      <c r="D413" s="106"/>
      <c r="E413" s="106" t="s">
        <v>1686</v>
      </c>
      <c r="F413" s="106" t="s">
        <v>1687</v>
      </c>
      <c r="G413" s="105">
        <v>4</v>
      </c>
      <c r="H413" s="106" t="s">
        <v>7</v>
      </c>
      <c r="I413" s="105" t="s">
        <v>39</v>
      </c>
      <c r="J413" s="105"/>
      <c r="K413" s="105"/>
      <c r="L413" s="105"/>
      <c r="M413" s="106" t="s">
        <v>95</v>
      </c>
      <c r="N413" s="106" t="s">
        <v>287</v>
      </c>
      <c r="O413" s="107"/>
      <c r="P413" s="106" t="s">
        <v>1688</v>
      </c>
    </row>
    <row r="414" spans="1:16" outlineLevel="2" x14ac:dyDescent="0.3">
      <c r="A414" s="105" t="s">
        <v>1689</v>
      </c>
      <c r="B414" s="106"/>
      <c r="C414" s="106"/>
      <c r="D414" s="106"/>
      <c r="E414" s="106" t="s">
        <v>1178</v>
      </c>
      <c r="F414" s="106" t="s">
        <v>1179</v>
      </c>
      <c r="G414" s="105">
        <v>4</v>
      </c>
      <c r="H414" s="106" t="s">
        <v>7</v>
      </c>
      <c r="I414" s="105" t="s">
        <v>39</v>
      </c>
      <c r="J414" s="105"/>
      <c r="K414" s="105"/>
      <c r="L414" s="105"/>
      <c r="M414" s="106" t="s">
        <v>1180</v>
      </c>
      <c r="N414" s="106" t="s">
        <v>287</v>
      </c>
      <c r="O414" s="107"/>
      <c r="P414" s="106" t="s">
        <v>1690</v>
      </c>
    </row>
    <row r="415" spans="1:16" outlineLevel="2" x14ac:dyDescent="0.3">
      <c r="A415" s="105" t="s">
        <v>1691</v>
      </c>
      <c r="B415" s="106"/>
      <c r="C415" s="106"/>
      <c r="D415" s="106"/>
      <c r="E415" s="106" t="s">
        <v>1692</v>
      </c>
      <c r="F415" s="106" t="s">
        <v>1693</v>
      </c>
      <c r="G415" s="105">
        <v>4</v>
      </c>
      <c r="H415" s="106" t="s">
        <v>7</v>
      </c>
      <c r="I415" s="105" t="s">
        <v>39</v>
      </c>
      <c r="J415" s="105"/>
      <c r="K415" s="105"/>
      <c r="L415" s="105"/>
      <c r="M415" s="106" t="s">
        <v>1694</v>
      </c>
      <c r="N415" s="106" t="s">
        <v>223</v>
      </c>
      <c r="O415" s="107"/>
      <c r="P415" s="106" t="s">
        <v>1695</v>
      </c>
    </row>
    <row r="416" spans="1:16" outlineLevel="2" x14ac:dyDescent="0.3">
      <c r="A416" s="105" t="s">
        <v>1696</v>
      </c>
      <c r="B416" s="106"/>
      <c r="C416" s="106"/>
      <c r="D416" s="106"/>
      <c r="E416" s="106" t="s">
        <v>849</v>
      </c>
      <c r="F416" s="106" t="s">
        <v>1697</v>
      </c>
      <c r="G416" s="105">
        <v>4</v>
      </c>
      <c r="H416" s="106" t="s">
        <v>7</v>
      </c>
      <c r="I416" s="105" t="s">
        <v>39</v>
      </c>
      <c r="J416" s="105"/>
      <c r="K416" s="105"/>
      <c r="L416" s="105"/>
      <c r="M416" s="106" t="s">
        <v>1698</v>
      </c>
      <c r="N416" s="106" t="s">
        <v>40</v>
      </c>
      <c r="O416" s="107"/>
      <c r="P416" s="106" t="s">
        <v>853</v>
      </c>
    </row>
    <row r="417" spans="1:16" outlineLevel="2" x14ac:dyDescent="0.3">
      <c r="A417" s="105" t="s">
        <v>1699</v>
      </c>
      <c r="B417" s="106"/>
      <c r="C417" s="106"/>
      <c r="D417" s="106"/>
      <c r="E417" s="106" t="s">
        <v>1700</v>
      </c>
      <c r="F417" s="106" t="s">
        <v>1701</v>
      </c>
      <c r="G417" s="105">
        <v>4</v>
      </c>
      <c r="H417" s="106" t="s">
        <v>7</v>
      </c>
      <c r="I417" s="105" t="s">
        <v>39</v>
      </c>
      <c r="J417" s="105"/>
      <c r="K417" s="105"/>
      <c r="L417" s="105"/>
      <c r="M417" s="106" t="s">
        <v>1702</v>
      </c>
      <c r="N417" s="106" t="s">
        <v>40</v>
      </c>
      <c r="O417" s="107"/>
      <c r="P417" s="106" t="s">
        <v>1703</v>
      </c>
    </row>
    <row r="418" spans="1:16" outlineLevel="2" x14ac:dyDescent="0.3">
      <c r="A418" s="105" t="s">
        <v>1704</v>
      </c>
      <c r="B418" s="106"/>
      <c r="C418" s="106"/>
      <c r="D418" s="106"/>
      <c r="E418" s="106" t="s">
        <v>1705</v>
      </c>
      <c r="F418" s="106" t="s">
        <v>271</v>
      </c>
      <c r="G418" s="105">
        <v>4</v>
      </c>
      <c r="H418" s="106" t="s">
        <v>7</v>
      </c>
      <c r="I418" s="105" t="s">
        <v>39</v>
      </c>
      <c r="J418" s="105"/>
      <c r="K418" s="105"/>
      <c r="L418" s="105"/>
      <c r="M418" s="106" t="s">
        <v>272</v>
      </c>
      <c r="N418" s="106" t="s">
        <v>40</v>
      </c>
      <c r="O418" s="107"/>
      <c r="P418" s="106" t="s">
        <v>1706</v>
      </c>
    </row>
    <row r="419" spans="1:16" outlineLevel="2" x14ac:dyDescent="0.3">
      <c r="A419" s="105" t="s">
        <v>1707</v>
      </c>
      <c r="B419" s="106"/>
      <c r="C419" s="106"/>
      <c r="D419" s="106"/>
      <c r="E419" s="106" t="s">
        <v>1708</v>
      </c>
      <c r="F419" s="106" t="s">
        <v>1709</v>
      </c>
      <c r="G419" s="105">
        <v>4</v>
      </c>
      <c r="H419" s="106" t="s">
        <v>7</v>
      </c>
      <c r="I419" s="105" t="s">
        <v>39</v>
      </c>
      <c r="J419" s="105"/>
      <c r="K419" s="105"/>
      <c r="L419" s="105"/>
      <c r="M419" s="106"/>
      <c r="N419" s="106" t="s">
        <v>287</v>
      </c>
      <c r="O419" s="107"/>
      <c r="P419" s="106"/>
    </row>
    <row r="420" spans="1:16" outlineLevel="2" x14ac:dyDescent="0.3">
      <c r="A420" s="105" t="s">
        <v>1710</v>
      </c>
      <c r="B420" s="106"/>
      <c r="C420" s="106"/>
      <c r="D420" s="106"/>
      <c r="E420" s="106" t="s">
        <v>1711</v>
      </c>
      <c r="F420" s="106" t="s">
        <v>1712</v>
      </c>
      <c r="G420" s="105">
        <v>4</v>
      </c>
      <c r="H420" s="106" t="s">
        <v>7</v>
      </c>
      <c r="I420" s="105" t="s">
        <v>39</v>
      </c>
      <c r="J420" s="105"/>
      <c r="K420" s="105"/>
      <c r="L420" s="105"/>
      <c r="M420" s="106" t="s">
        <v>1713</v>
      </c>
      <c r="N420" s="106" t="s">
        <v>223</v>
      </c>
      <c r="O420" s="107"/>
      <c r="P420" s="106" t="s">
        <v>1714</v>
      </c>
    </row>
    <row r="421" spans="1:16" outlineLevel="2" x14ac:dyDescent="0.3">
      <c r="A421" s="105" t="s">
        <v>1715</v>
      </c>
      <c r="B421" s="106"/>
      <c r="C421" s="106"/>
      <c r="D421" s="106"/>
      <c r="E421" s="106" t="s">
        <v>1716</v>
      </c>
      <c r="F421" s="106" t="s">
        <v>1717</v>
      </c>
      <c r="G421" s="105">
        <v>4</v>
      </c>
      <c r="H421" s="106" t="s">
        <v>7</v>
      </c>
      <c r="I421" s="105" t="s">
        <v>39</v>
      </c>
      <c r="J421" s="105"/>
      <c r="K421" s="105"/>
      <c r="L421" s="105"/>
      <c r="M421" s="106" t="s">
        <v>1718</v>
      </c>
      <c r="N421" s="106" t="s">
        <v>40</v>
      </c>
      <c r="O421" s="107"/>
      <c r="P421" s="106" t="s">
        <v>1719</v>
      </c>
    </row>
    <row r="422" spans="1:16" outlineLevel="2" x14ac:dyDescent="0.3">
      <c r="A422" s="105" t="s">
        <v>1720</v>
      </c>
      <c r="B422" s="106"/>
      <c r="C422" s="106"/>
      <c r="D422" s="106"/>
      <c r="E422" s="106" t="s">
        <v>1721</v>
      </c>
      <c r="F422" s="106" t="s">
        <v>1722</v>
      </c>
      <c r="G422" s="105">
        <v>4</v>
      </c>
      <c r="H422" s="106" t="s">
        <v>7</v>
      </c>
      <c r="I422" s="105" t="s">
        <v>39</v>
      </c>
      <c r="J422" s="105"/>
      <c r="K422" s="105"/>
      <c r="L422" s="105"/>
      <c r="M422" s="106" t="s">
        <v>1723</v>
      </c>
      <c r="N422" s="106" t="s">
        <v>40</v>
      </c>
      <c r="O422" s="107"/>
      <c r="P422" s="106" t="s">
        <v>1724</v>
      </c>
    </row>
    <row r="423" spans="1:16" outlineLevel="2" x14ac:dyDescent="0.3">
      <c r="A423" s="105" t="s">
        <v>1725</v>
      </c>
      <c r="B423" s="106"/>
      <c r="C423" s="106"/>
      <c r="D423" s="106"/>
      <c r="E423" s="106" t="s">
        <v>1726</v>
      </c>
      <c r="F423" s="106" t="s">
        <v>1727</v>
      </c>
      <c r="G423" s="105">
        <v>4</v>
      </c>
      <c r="H423" s="106" t="s">
        <v>7</v>
      </c>
      <c r="I423" s="105" t="s">
        <v>39</v>
      </c>
      <c r="J423" s="105"/>
      <c r="K423" s="105"/>
      <c r="L423" s="105"/>
      <c r="M423" s="106"/>
      <c r="N423" s="106" t="s">
        <v>287</v>
      </c>
      <c r="O423" s="107"/>
      <c r="P423" s="106"/>
    </row>
    <row r="424" spans="1:16" outlineLevel="2" x14ac:dyDescent="0.3">
      <c r="A424" s="105" t="s">
        <v>1728</v>
      </c>
      <c r="B424" s="106"/>
      <c r="C424" s="106"/>
      <c r="D424" s="106"/>
      <c r="E424" s="106" t="s">
        <v>1729</v>
      </c>
      <c r="F424" s="106" t="s">
        <v>1730</v>
      </c>
      <c r="G424" s="105">
        <v>4</v>
      </c>
      <c r="H424" s="106" t="s">
        <v>7</v>
      </c>
      <c r="I424" s="105" t="s">
        <v>39</v>
      </c>
      <c r="J424" s="105"/>
      <c r="K424" s="105"/>
      <c r="L424" s="105"/>
      <c r="M424" s="106"/>
      <c r="N424" s="106" t="s">
        <v>287</v>
      </c>
      <c r="O424" s="107"/>
      <c r="P424" s="106"/>
    </row>
    <row r="425" spans="1:16" outlineLevel="2" x14ac:dyDescent="0.3">
      <c r="A425" s="105" t="s">
        <v>1731</v>
      </c>
      <c r="B425" s="106"/>
      <c r="C425" s="106"/>
      <c r="D425" s="106"/>
      <c r="E425" s="106" t="s">
        <v>1732</v>
      </c>
      <c r="F425" s="106" t="s">
        <v>1733</v>
      </c>
      <c r="G425" s="105">
        <v>4</v>
      </c>
      <c r="H425" s="106" t="s">
        <v>7</v>
      </c>
      <c r="I425" s="105" t="s">
        <v>39</v>
      </c>
      <c r="J425" s="105"/>
      <c r="K425" s="105"/>
      <c r="L425" s="105"/>
      <c r="M425" s="106" t="s">
        <v>1734</v>
      </c>
      <c r="N425" s="106" t="s">
        <v>40</v>
      </c>
      <c r="O425" s="107"/>
      <c r="P425" s="106" t="s">
        <v>1735</v>
      </c>
    </row>
    <row r="426" spans="1:16" outlineLevel="2" x14ac:dyDescent="0.3">
      <c r="A426" s="105" t="s">
        <v>1736</v>
      </c>
      <c r="B426" s="106"/>
      <c r="C426" s="106"/>
      <c r="D426" s="106"/>
      <c r="E426" s="106" t="s">
        <v>1737</v>
      </c>
      <c r="F426" s="106" t="s">
        <v>1738</v>
      </c>
      <c r="G426" s="105">
        <v>4</v>
      </c>
      <c r="H426" s="106" t="s">
        <v>7</v>
      </c>
      <c r="I426" s="105" t="s">
        <v>39</v>
      </c>
      <c r="J426" s="105"/>
      <c r="K426" s="105"/>
      <c r="L426" s="105"/>
      <c r="M426" s="106" t="s">
        <v>1739</v>
      </c>
      <c r="N426" s="106" t="s">
        <v>223</v>
      </c>
      <c r="O426" s="107"/>
      <c r="P426" s="106" t="s">
        <v>1740</v>
      </c>
    </row>
    <row r="427" spans="1:16" outlineLevel="2" x14ac:dyDescent="0.3">
      <c r="A427" s="105" t="s">
        <v>1741</v>
      </c>
      <c r="B427" s="106"/>
      <c r="C427" s="106"/>
      <c r="D427" s="106"/>
      <c r="E427" s="106" t="s">
        <v>1742</v>
      </c>
      <c r="F427" s="106" t="s">
        <v>1743</v>
      </c>
      <c r="G427" s="105">
        <v>4</v>
      </c>
      <c r="H427" s="106" t="s">
        <v>7</v>
      </c>
      <c r="I427" s="105" t="s">
        <v>39</v>
      </c>
      <c r="J427" s="105"/>
      <c r="K427" s="105"/>
      <c r="L427" s="105"/>
      <c r="M427" s="106" t="s">
        <v>1744</v>
      </c>
      <c r="N427" s="106" t="s">
        <v>223</v>
      </c>
      <c r="O427" s="107"/>
      <c r="P427" s="106" t="s">
        <v>1745</v>
      </c>
    </row>
    <row r="428" spans="1:16" outlineLevel="2" x14ac:dyDescent="0.3">
      <c r="A428" s="105" t="s">
        <v>1746</v>
      </c>
      <c r="B428" s="106"/>
      <c r="C428" s="106"/>
      <c r="D428" s="106"/>
      <c r="E428" s="106" t="s">
        <v>1747</v>
      </c>
      <c r="F428" s="106" t="s">
        <v>1748</v>
      </c>
      <c r="G428" s="105">
        <v>4</v>
      </c>
      <c r="H428" s="106" t="s">
        <v>7</v>
      </c>
      <c r="I428" s="105" t="s">
        <v>39</v>
      </c>
      <c r="J428" s="105"/>
      <c r="K428" s="105"/>
      <c r="L428" s="105"/>
      <c r="M428" s="106" t="s">
        <v>1749</v>
      </c>
      <c r="N428" s="106" t="s">
        <v>223</v>
      </c>
      <c r="O428" s="107"/>
      <c r="P428" s="106" t="s">
        <v>1750</v>
      </c>
    </row>
    <row r="429" spans="1:16" outlineLevel="2" x14ac:dyDescent="0.3">
      <c r="A429" s="105" t="s">
        <v>1751</v>
      </c>
      <c r="B429" s="106"/>
      <c r="C429" s="106"/>
      <c r="D429" s="106"/>
      <c r="E429" s="106" t="s">
        <v>1752</v>
      </c>
      <c r="F429" s="106" t="s">
        <v>1753</v>
      </c>
      <c r="G429" s="105">
        <v>4</v>
      </c>
      <c r="H429" s="106" t="s">
        <v>7</v>
      </c>
      <c r="I429" s="105" t="s">
        <v>39</v>
      </c>
      <c r="J429" s="105"/>
      <c r="K429" s="105"/>
      <c r="L429" s="105"/>
      <c r="M429" s="106" t="s">
        <v>1754</v>
      </c>
      <c r="N429" s="106" t="s">
        <v>223</v>
      </c>
      <c r="O429" s="107"/>
      <c r="P429" s="106" t="s">
        <v>1755</v>
      </c>
    </row>
    <row r="430" spans="1:16" outlineLevel="2" x14ac:dyDescent="0.3">
      <c r="A430" s="105" t="s">
        <v>1756</v>
      </c>
      <c r="B430" s="106"/>
      <c r="C430" s="106"/>
      <c r="D430" s="106"/>
      <c r="E430" s="106" t="s">
        <v>1757</v>
      </c>
      <c r="F430" s="106" t="s">
        <v>1758</v>
      </c>
      <c r="G430" s="105">
        <v>4</v>
      </c>
      <c r="H430" s="106" t="s">
        <v>7</v>
      </c>
      <c r="I430" s="105" t="s">
        <v>39</v>
      </c>
      <c r="J430" s="105"/>
      <c r="K430" s="105"/>
      <c r="L430" s="105"/>
      <c r="M430" s="106" t="s">
        <v>1759</v>
      </c>
      <c r="N430" s="106" t="s">
        <v>223</v>
      </c>
      <c r="O430" s="107"/>
      <c r="P430" s="106" t="s">
        <v>1760</v>
      </c>
    </row>
    <row r="431" spans="1:16" outlineLevel="2" x14ac:dyDescent="0.3">
      <c r="A431" s="105" t="s">
        <v>1761</v>
      </c>
      <c r="B431" s="106"/>
      <c r="C431" s="106"/>
      <c r="D431" s="106"/>
      <c r="E431" s="106" t="s">
        <v>1762</v>
      </c>
      <c r="F431" s="106" t="s">
        <v>1763</v>
      </c>
      <c r="G431" s="105">
        <v>4</v>
      </c>
      <c r="H431" s="106" t="s">
        <v>7</v>
      </c>
      <c r="I431" s="105" t="s">
        <v>39</v>
      </c>
      <c r="J431" s="105"/>
      <c r="K431" s="105"/>
      <c r="L431" s="105"/>
      <c r="M431" s="106" t="s">
        <v>1255</v>
      </c>
      <c r="N431" s="106" t="s">
        <v>287</v>
      </c>
      <c r="O431" s="107"/>
      <c r="P431" s="106"/>
    </row>
    <row r="432" spans="1:16" outlineLevel="2" x14ac:dyDescent="0.3">
      <c r="A432" s="105" t="s">
        <v>1764</v>
      </c>
      <c r="B432" s="106"/>
      <c r="C432" s="106"/>
      <c r="D432" s="106"/>
      <c r="E432" s="106" t="s">
        <v>1765</v>
      </c>
      <c r="F432" s="106" t="s">
        <v>1766</v>
      </c>
      <c r="G432" s="105">
        <v>4</v>
      </c>
      <c r="H432" s="106" t="s">
        <v>7</v>
      </c>
      <c r="I432" s="105" t="s">
        <v>39</v>
      </c>
      <c r="J432" s="105"/>
      <c r="K432" s="105"/>
      <c r="L432" s="105"/>
      <c r="M432" s="106" t="s">
        <v>1767</v>
      </c>
      <c r="N432" s="106" t="s">
        <v>223</v>
      </c>
      <c r="O432" s="107"/>
      <c r="P432" s="106" t="s">
        <v>1768</v>
      </c>
    </row>
    <row r="433" spans="1:16" outlineLevel="2" x14ac:dyDescent="0.3">
      <c r="A433" s="105" t="s">
        <v>1769</v>
      </c>
      <c r="B433" s="106"/>
      <c r="C433" s="106"/>
      <c r="D433" s="106"/>
      <c r="E433" s="106" t="s">
        <v>1770</v>
      </c>
      <c r="F433" s="106" t="s">
        <v>1771</v>
      </c>
      <c r="G433" s="105">
        <v>4</v>
      </c>
      <c r="H433" s="106" t="s">
        <v>7</v>
      </c>
      <c r="I433" s="105" t="s">
        <v>39</v>
      </c>
      <c r="J433" s="105"/>
      <c r="K433" s="105"/>
      <c r="L433" s="105"/>
      <c r="M433" s="106"/>
      <c r="N433" s="106" t="s">
        <v>287</v>
      </c>
      <c r="O433" s="107"/>
      <c r="P433" s="106"/>
    </row>
    <row r="434" spans="1:16" outlineLevel="2" x14ac:dyDescent="0.3">
      <c r="A434" s="105" t="s">
        <v>1772</v>
      </c>
      <c r="B434" s="106"/>
      <c r="C434" s="106"/>
      <c r="D434" s="106"/>
      <c r="E434" s="106" t="s">
        <v>1773</v>
      </c>
      <c r="F434" s="106" t="s">
        <v>1774</v>
      </c>
      <c r="G434" s="105">
        <v>4</v>
      </c>
      <c r="H434" s="106" t="s">
        <v>7</v>
      </c>
      <c r="I434" s="105" t="s">
        <v>39</v>
      </c>
      <c r="J434" s="105"/>
      <c r="K434" s="105"/>
      <c r="L434" s="105"/>
      <c r="M434" s="106" t="s">
        <v>1775</v>
      </c>
      <c r="N434" s="106" t="s">
        <v>223</v>
      </c>
      <c r="O434" s="107"/>
      <c r="P434" s="106" t="s">
        <v>1776</v>
      </c>
    </row>
    <row r="435" spans="1:16" outlineLevel="2" x14ac:dyDescent="0.3">
      <c r="A435" s="105" t="s">
        <v>1777</v>
      </c>
      <c r="B435" s="106"/>
      <c r="C435" s="106"/>
      <c r="D435" s="106"/>
      <c r="E435" s="106" t="s">
        <v>1238</v>
      </c>
      <c r="F435" s="106" t="s">
        <v>1239</v>
      </c>
      <c r="G435" s="105">
        <v>4</v>
      </c>
      <c r="H435" s="106" t="s">
        <v>7</v>
      </c>
      <c r="I435" s="105" t="s">
        <v>39</v>
      </c>
      <c r="J435" s="105"/>
      <c r="K435" s="105"/>
      <c r="L435" s="105"/>
      <c r="M435" s="106"/>
      <c r="N435" s="106" t="s">
        <v>287</v>
      </c>
      <c r="O435" s="107"/>
      <c r="P435" s="106"/>
    </row>
    <row r="436" spans="1:16" outlineLevel="2" x14ac:dyDescent="0.3">
      <c r="A436" s="105" t="s">
        <v>1778</v>
      </c>
      <c r="B436" s="106"/>
      <c r="C436" s="106"/>
      <c r="D436" s="106"/>
      <c r="E436" s="106" t="s">
        <v>1779</v>
      </c>
      <c r="F436" s="106" t="s">
        <v>1780</v>
      </c>
      <c r="G436" s="105">
        <v>4</v>
      </c>
      <c r="H436" s="106" t="s">
        <v>7</v>
      </c>
      <c r="I436" s="105" t="s">
        <v>39</v>
      </c>
      <c r="J436" s="105"/>
      <c r="K436" s="105"/>
      <c r="L436" s="105"/>
      <c r="M436" s="106" t="s">
        <v>1781</v>
      </c>
      <c r="N436" s="106" t="s">
        <v>223</v>
      </c>
      <c r="O436" s="107"/>
      <c r="P436" s="106" t="s">
        <v>1782</v>
      </c>
    </row>
    <row r="437" spans="1:16" outlineLevel="2" x14ac:dyDescent="0.3">
      <c r="A437" s="105" t="s">
        <v>1783</v>
      </c>
      <c r="B437" s="106"/>
      <c r="C437" s="106"/>
      <c r="D437" s="106"/>
      <c r="E437" s="106" t="s">
        <v>1784</v>
      </c>
      <c r="F437" s="106" t="s">
        <v>1785</v>
      </c>
      <c r="G437" s="105">
        <v>4</v>
      </c>
      <c r="H437" s="106" t="s">
        <v>7</v>
      </c>
      <c r="I437" s="105" t="s">
        <v>39</v>
      </c>
      <c r="J437" s="105"/>
      <c r="K437" s="105"/>
      <c r="L437" s="105"/>
      <c r="M437" s="106" t="s">
        <v>1786</v>
      </c>
      <c r="N437" s="106" t="s">
        <v>287</v>
      </c>
      <c r="O437" s="107"/>
      <c r="P437" s="106"/>
    </row>
    <row r="438" spans="1:16" outlineLevel="2" x14ac:dyDescent="0.3">
      <c r="A438" s="105" t="s">
        <v>1787</v>
      </c>
      <c r="B438" s="106"/>
      <c r="C438" s="106"/>
      <c r="D438" s="106"/>
      <c r="E438" s="106" t="s">
        <v>1788</v>
      </c>
      <c r="F438" s="106" t="s">
        <v>1789</v>
      </c>
      <c r="G438" s="105">
        <v>4</v>
      </c>
      <c r="H438" s="106" t="s">
        <v>7</v>
      </c>
      <c r="I438" s="105" t="s">
        <v>39</v>
      </c>
      <c r="J438" s="105"/>
      <c r="K438" s="105"/>
      <c r="L438" s="105"/>
      <c r="M438" s="106" t="s">
        <v>1790</v>
      </c>
      <c r="N438" s="106" t="s">
        <v>223</v>
      </c>
      <c r="O438" s="107"/>
      <c r="P438" s="106" t="s">
        <v>1791</v>
      </c>
    </row>
    <row r="439" spans="1:16" outlineLevel="2" x14ac:dyDescent="0.3">
      <c r="A439" s="105" t="s">
        <v>1792</v>
      </c>
      <c r="B439" s="106"/>
      <c r="C439" s="106"/>
      <c r="D439" s="106"/>
      <c r="E439" s="106" t="s">
        <v>1793</v>
      </c>
      <c r="F439" s="106" t="s">
        <v>1794</v>
      </c>
      <c r="G439" s="105">
        <v>4</v>
      </c>
      <c r="H439" s="106" t="s">
        <v>7</v>
      </c>
      <c r="I439" s="105" t="s">
        <v>39</v>
      </c>
      <c r="J439" s="105"/>
      <c r="K439" s="105"/>
      <c r="L439" s="105"/>
      <c r="M439" s="106" t="s">
        <v>95</v>
      </c>
      <c r="N439" s="106" t="s">
        <v>223</v>
      </c>
      <c r="O439" s="107"/>
      <c r="P439" s="106" t="s">
        <v>1795</v>
      </c>
    </row>
    <row r="440" spans="1:16" outlineLevel="2" x14ac:dyDescent="0.3">
      <c r="A440" s="105" t="s">
        <v>1796</v>
      </c>
      <c r="B440" s="106"/>
      <c r="C440" s="106"/>
      <c r="D440" s="106"/>
      <c r="E440" s="106" t="s">
        <v>1797</v>
      </c>
      <c r="F440" s="106" t="s">
        <v>1798</v>
      </c>
      <c r="G440" s="105">
        <v>4</v>
      </c>
      <c r="H440" s="106" t="s">
        <v>7</v>
      </c>
      <c r="I440" s="105" t="s">
        <v>39</v>
      </c>
      <c r="J440" s="105"/>
      <c r="K440" s="105"/>
      <c r="L440" s="105"/>
      <c r="M440" s="106" t="s">
        <v>1799</v>
      </c>
      <c r="N440" s="106" t="s">
        <v>40</v>
      </c>
      <c r="O440" s="107"/>
      <c r="P440" s="106" t="s">
        <v>1800</v>
      </c>
    </row>
    <row r="441" spans="1:16" outlineLevel="2" x14ac:dyDescent="0.3">
      <c r="A441" s="105" t="s">
        <v>1801</v>
      </c>
      <c r="B441" s="106"/>
      <c r="C441" s="106"/>
      <c r="D441" s="106"/>
      <c r="E441" s="106" t="s">
        <v>1802</v>
      </c>
      <c r="F441" s="106" t="s">
        <v>1803</v>
      </c>
      <c r="G441" s="105">
        <v>4</v>
      </c>
      <c r="H441" s="106" t="s">
        <v>7</v>
      </c>
      <c r="I441" s="105" t="s">
        <v>39</v>
      </c>
      <c r="J441" s="105"/>
      <c r="K441" s="105"/>
      <c r="L441" s="105"/>
      <c r="M441" s="106" t="s">
        <v>1804</v>
      </c>
      <c r="N441" s="106" t="s">
        <v>40</v>
      </c>
      <c r="O441" s="107"/>
      <c r="P441" s="106" t="s">
        <v>1805</v>
      </c>
    </row>
    <row r="442" spans="1:16" outlineLevel="2" x14ac:dyDescent="0.3">
      <c r="A442" s="105" t="s">
        <v>1806</v>
      </c>
      <c r="B442" s="106"/>
      <c r="C442" s="106"/>
      <c r="D442" s="106"/>
      <c r="E442" s="106" t="s">
        <v>1807</v>
      </c>
      <c r="F442" s="106" t="s">
        <v>1808</v>
      </c>
      <c r="G442" s="105">
        <v>4</v>
      </c>
      <c r="H442" s="106" t="s">
        <v>7</v>
      </c>
      <c r="I442" s="105" t="s">
        <v>39</v>
      </c>
      <c r="J442" s="105"/>
      <c r="K442" s="105"/>
      <c r="L442" s="105"/>
      <c r="M442" s="106" t="s">
        <v>1809</v>
      </c>
      <c r="N442" s="106" t="s">
        <v>40</v>
      </c>
      <c r="O442" s="107"/>
      <c r="P442" s="106" t="s">
        <v>1810</v>
      </c>
    </row>
    <row r="443" spans="1:16" outlineLevel="2" x14ac:dyDescent="0.3">
      <c r="A443" s="105" t="s">
        <v>1811</v>
      </c>
      <c r="B443" s="106"/>
      <c r="C443" s="106"/>
      <c r="D443" s="106"/>
      <c r="E443" s="106" t="s">
        <v>1812</v>
      </c>
      <c r="F443" s="106" t="s">
        <v>1813</v>
      </c>
      <c r="G443" s="105">
        <v>4</v>
      </c>
      <c r="H443" s="106" t="s">
        <v>7</v>
      </c>
      <c r="I443" s="105" t="s">
        <v>39</v>
      </c>
      <c r="J443" s="105"/>
      <c r="K443" s="105"/>
      <c r="L443" s="105"/>
      <c r="M443" s="106"/>
      <c r="N443" s="106" t="s">
        <v>287</v>
      </c>
      <c r="O443" s="107"/>
      <c r="P443" s="106"/>
    </row>
    <row r="444" spans="1:16" outlineLevel="2" x14ac:dyDescent="0.3">
      <c r="A444" s="105" t="s">
        <v>1814</v>
      </c>
      <c r="B444" s="106"/>
      <c r="C444" s="106"/>
      <c r="D444" s="106"/>
      <c r="E444" s="106" t="s">
        <v>1815</v>
      </c>
      <c r="F444" s="106" t="s">
        <v>1816</v>
      </c>
      <c r="G444" s="105">
        <v>4</v>
      </c>
      <c r="H444" s="106" t="s">
        <v>7</v>
      </c>
      <c r="I444" s="105" t="s">
        <v>39</v>
      </c>
      <c r="J444" s="105"/>
      <c r="K444" s="105"/>
      <c r="L444" s="105"/>
      <c r="M444" s="106"/>
      <c r="N444" s="106" t="s">
        <v>287</v>
      </c>
      <c r="O444" s="107"/>
      <c r="P444" s="106" t="s">
        <v>1817</v>
      </c>
    </row>
    <row r="445" spans="1:16" outlineLevel="2" x14ac:dyDescent="0.3">
      <c r="A445" s="105" t="s">
        <v>1818</v>
      </c>
      <c r="B445" s="106"/>
      <c r="C445" s="106"/>
      <c r="D445" s="106"/>
      <c r="E445" s="106" t="s">
        <v>1819</v>
      </c>
      <c r="F445" s="106" t="s">
        <v>1820</v>
      </c>
      <c r="G445" s="105">
        <v>4</v>
      </c>
      <c r="H445" s="106" t="s">
        <v>7</v>
      </c>
      <c r="I445" s="105" t="s">
        <v>39</v>
      </c>
      <c r="J445" s="105"/>
      <c r="K445" s="105"/>
      <c r="L445" s="105"/>
      <c r="M445" s="106" t="s">
        <v>1821</v>
      </c>
      <c r="N445" s="106" t="s">
        <v>40</v>
      </c>
      <c r="O445" s="107"/>
      <c r="P445" s="106" t="s">
        <v>1822</v>
      </c>
    </row>
    <row r="446" spans="1:16" outlineLevel="2" x14ac:dyDescent="0.3">
      <c r="A446" s="105" t="s">
        <v>1823</v>
      </c>
      <c r="B446" s="106"/>
      <c r="C446" s="106"/>
      <c r="D446" s="106"/>
      <c r="E446" s="106" t="s">
        <v>1824</v>
      </c>
      <c r="F446" s="106" t="s">
        <v>1825</v>
      </c>
      <c r="G446" s="105">
        <v>4</v>
      </c>
      <c r="H446" s="106" t="s">
        <v>7</v>
      </c>
      <c r="I446" s="105" t="s">
        <v>39</v>
      </c>
      <c r="J446" s="105"/>
      <c r="K446" s="105"/>
      <c r="L446" s="105"/>
      <c r="M446" s="106" t="s">
        <v>1826</v>
      </c>
      <c r="N446" s="106" t="s">
        <v>223</v>
      </c>
      <c r="O446" s="107"/>
      <c r="P446" s="106" t="s">
        <v>1827</v>
      </c>
    </row>
    <row r="447" spans="1:16" outlineLevel="2" x14ac:dyDescent="0.3">
      <c r="A447" s="105" t="s">
        <v>1828</v>
      </c>
      <c r="B447" s="106"/>
      <c r="C447" s="106"/>
      <c r="D447" s="106"/>
      <c r="E447" s="106" t="s">
        <v>1829</v>
      </c>
      <c r="F447" s="106" t="s">
        <v>1830</v>
      </c>
      <c r="G447" s="105">
        <v>4</v>
      </c>
      <c r="H447" s="106" t="s">
        <v>7</v>
      </c>
      <c r="I447" s="105" t="s">
        <v>39</v>
      </c>
      <c r="J447" s="105"/>
      <c r="K447" s="105"/>
      <c r="L447" s="105"/>
      <c r="M447" s="106" t="s">
        <v>1831</v>
      </c>
      <c r="N447" s="106" t="s">
        <v>223</v>
      </c>
      <c r="O447" s="107"/>
      <c r="P447" s="106" t="s">
        <v>1832</v>
      </c>
    </row>
    <row r="448" spans="1:16" outlineLevel="2" x14ac:dyDescent="0.3">
      <c r="A448" s="105" t="s">
        <v>1833</v>
      </c>
      <c r="B448" s="106"/>
      <c r="C448" s="106"/>
      <c r="D448" s="106"/>
      <c r="E448" s="106" t="s">
        <v>1834</v>
      </c>
      <c r="F448" s="106" t="s">
        <v>1835</v>
      </c>
      <c r="G448" s="105">
        <v>4</v>
      </c>
      <c r="H448" s="106" t="s">
        <v>7</v>
      </c>
      <c r="I448" s="105" t="s">
        <v>39</v>
      </c>
      <c r="J448" s="105"/>
      <c r="K448" s="105"/>
      <c r="L448" s="105"/>
      <c r="M448" s="106" t="s">
        <v>1836</v>
      </c>
      <c r="N448" s="106" t="s">
        <v>223</v>
      </c>
      <c r="O448" s="107"/>
      <c r="P448" s="106" t="s">
        <v>1837</v>
      </c>
    </row>
    <row r="449" spans="1:16" outlineLevel="2" x14ac:dyDescent="0.3">
      <c r="A449" s="105" t="s">
        <v>1838</v>
      </c>
      <c r="B449" s="106"/>
      <c r="C449" s="106"/>
      <c r="D449" s="106"/>
      <c r="E449" s="106" t="s">
        <v>1839</v>
      </c>
      <c r="F449" s="106" t="s">
        <v>1840</v>
      </c>
      <c r="G449" s="105">
        <v>4</v>
      </c>
      <c r="H449" s="106" t="s">
        <v>7</v>
      </c>
      <c r="I449" s="105" t="s">
        <v>39</v>
      </c>
      <c r="J449" s="105"/>
      <c r="K449" s="105"/>
      <c r="L449" s="105"/>
      <c r="M449" s="106" t="s">
        <v>1841</v>
      </c>
      <c r="N449" s="106" t="s">
        <v>40</v>
      </c>
      <c r="O449" s="107"/>
      <c r="P449" s="106" t="s">
        <v>1842</v>
      </c>
    </row>
    <row r="450" spans="1:16" outlineLevel="2" x14ac:dyDescent="0.3">
      <c r="A450" s="105" t="s">
        <v>1843</v>
      </c>
      <c r="B450" s="106"/>
      <c r="C450" s="106"/>
      <c r="D450" s="106"/>
      <c r="E450" s="106" t="s">
        <v>1844</v>
      </c>
      <c r="F450" s="106" t="s">
        <v>1845</v>
      </c>
      <c r="G450" s="105">
        <v>4</v>
      </c>
      <c r="H450" s="106" t="s">
        <v>7</v>
      </c>
      <c r="I450" s="105" t="s">
        <v>39</v>
      </c>
      <c r="J450" s="105"/>
      <c r="K450" s="105"/>
      <c r="L450" s="105"/>
      <c r="M450" s="106" t="s">
        <v>1846</v>
      </c>
      <c r="N450" s="106" t="s">
        <v>223</v>
      </c>
      <c r="O450" s="107"/>
      <c r="P450" s="106" t="s">
        <v>1847</v>
      </c>
    </row>
    <row r="451" spans="1:16" outlineLevel="2" x14ac:dyDescent="0.3">
      <c r="A451" s="105" t="s">
        <v>1848</v>
      </c>
      <c r="B451" s="106"/>
      <c r="C451" s="106"/>
      <c r="D451" s="106"/>
      <c r="E451" s="106" t="s">
        <v>1849</v>
      </c>
      <c r="F451" s="106" t="s">
        <v>1850</v>
      </c>
      <c r="G451" s="105">
        <v>4</v>
      </c>
      <c r="H451" s="106" t="s">
        <v>7</v>
      </c>
      <c r="I451" s="105" t="s">
        <v>39</v>
      </c>
      <c r="J451" s="105"/>
      <c r="K451" s="105"/>
      <c r="L451" s="105"/>
      <c r="M451" s="106"/>
      <c r="N451" s="106" t="s">
        <v>287</v>
      </c>
      <c r="O451" s="107"/>
      <c r="P451" s="106"/>
    </row>
    <row r="452" spans="1:16" outlineLevel="2" x14ac:dyDescent="0.3">
      <c r="A452" s="105" t="s">
        <v>1851</v>
      </c>
      <c r="B452" s="106"/>
      <c r="C452" s="106"/>
      <c r="D452" s="106"/>
      <c r="E452" s="106" t="s">
        <v>1852</v>
      </c>
      <c r="F452" s="106" t="s">
        <v>1853</v>
      </c>
      <c r="G452" s="105">
        <v>4</v>
      </c>
      <c r="H452" s="106" t="s">
        <v>7</v>
      </c>
      <c r="I452" s="105" t="s">
        <v>39</v>
      </c>
      <c r="J452" s="105"/>
      <c r="K452" s="105"/>
      <c r="L452" s="105"/>
      <c r="M452" s="106" t="s">
        <v>1255</v>
      </c>
      <c r="N452" s="106" t="s">
        <v>287</v>
      </c>
      <c r="O452" s="107"/>
      <c r="P452" s="106"/>
    </row>
    <row r="453" spans="1:16" outlineLevel="2" x14ac:dyDescent="0.3">
      <c r="A453" s="105" t="s">
        <v>1854</v>
      </c>
      <c r="B453" s="106"/>
      <c r="C453" s="106"/>
      <c r="D453" s="106"/>
      <c r="E453" s="106" t="s">
        <v>1855</v>
      </c>
      <c r="F453" s="106" t="s">
        <v>1856</v>
      </c>
      <c r="G453" s="105">
        <v>4</v>
      </c>
      <c r="H453" s="106" t="s">
        <v>7</v>
      </c>
      <c r="I453" s="105" t="s">
        <v>39</v>
      </c>
      <c r="J453" s="105"/>
      <c r="K453" s="105"/>
      <c r="L453" s="105"/>
      <c r="M453" s="106" t="s">
        <v>1857</v>
      </c>
      <c r="N453" s="106" t="s">
        <v>40</v>
      </c>
      <c r="O453" s="107"/>
      <c r="P453" s="106" t="s">
        <v>1858</v>
      </c>
    </row>
    <row r="454" spans="1:16" outlineLevel="2" x14ac:dyDescent="0.3">
      <c r="A454" s="105" t="s">
        <v>1859</v>
      </c>
      <c r="B454" s="106"/>
      <c r="C454" s="106"/>
      <c r="D454" s="106"/>
      <c r="E454" s="106" t="s">
        <v>1860</v>
      </c>
      <c r="F454" s="106" t="s">
        <v>1861</v>
      </c>
      <c r="G454" s="105">
        <v>4</v>
      </c>
      <c r="H454" s="106" t="s">
        <v>7</v>
      </c>
      <c r="I454" s="105" t="s">
        <v>39</v>
      </c>
      <c r="J454" s="105"/>
      <c r="K454" s="105"/>
      <c r="L454" s="105"/>
      <c r="M454" s="106"/>
      <c r="N454" s="106" t="s">
        <v>287</v>
      </c>
      <c r="O454" s="107"/>
      <c r="P454" s="106" t="s">
        <v>1862</v>
      </c>
    </row>
    <row r="455" spans="1:16" outlineLevel="2" x14ac:dyDescent="0.3">
      <c r="A455" s="105" t="s">
        <v>1863</v>
      </c>
      <c r="B455" s="106"/>
      <c r="C455" s="106"/>
      <c r="D455" s="106"/>
      <c r="E455" s="106" t="s">
        <v>1864</v>
      </c>
      <c r="F455" s="106" t="s">
        <v>1865</v>
      </c>
      <c r="G455" s="105">
        <v>4</v>
      </c>
      <c r="H455" s="106" t="s">
        <v>7</v>
      </c>
      <c r="I455" s="105" t="s">
        <v>39</v>
      </c>
      <c r="J455" s="105"/>
      <c r="K455" s="105"/>
      <c r="L455" s="105"/>
      <c r="M455" s="106" t="s">
        <v>1866</v>
      </c>
      <c r="N455" s="106" t="s">
        <v>223</v>
      </c>
      <c r="O455" s="107"/>
      <c r="P455" s="106" t="s">
        <v>1867</v>
      </c>
    </row>
    <row r="456" spans="1:16" outlineLevel="2" x14ac:dyDescent="0.3">
      <c r="A456" s="105" t="s">
        <v>1868</v>
      </c>
      <c r="B456" s="106"/>
      <c r="C456" s="106"/>
      <c r="D456" s="106"/>
      <c r="E456" s="106" t="s">
        <v>1869</v>
      </c>
      <c r="F456" s="106" t="s">
        <v>1870</v>
      </c>
      <c r="G456" s="105">
        <v>4</v>
      </c>
      <c r="H456" s="106" t="s">
        <v>7</v>
      </c>
      <c r="I456" s="105" t="s">
        <v>39</v>
      </c>
      <c r="J456" s="105"/>
      <c r="K456" s="105"/>
      <c r="L456" s="105"/>
      <c r="M456" s="106" t="s">
        <v>1871</v>
      </c>
      <c r="N456" s="106" t="s">
        <v>223</v>
      </c>
      <c r="O456" s="107"/>
      <c r="P456" s="106" t="s">
        <v>1872</v>
      </c>
    </row>
    <row r="457" spans="1:16" outlineLevel="2" x14ac:dyDescent="0.3">
      <c r="A457" s="105" t="s">
        <v>1873</v>
      </c>
      <c r="B457" s="106"/>
      <c r="C457" s="106"/>
      <c r="D457" s="106"/>
      <c r="E457" s="106" t="s">
        <v>1874</v>
      </c>
      <c r="F457" s="106" t="s">
        <v>1875</v>
      </c>
      <c r="G457" s="105">
        <v>4</v>
      </c>
      <c r="H457" s="106" t="s">
        <v>7</v>
      </c>
      <c r="I457" s="105" t="s">
        <v>39</v>
      </c>
      <c r="J457" s="105"/>
      <c r="K457" s="105"/>
      <c r="L457" s="105"/>
      <c r="M457" s="106" t="s">
        <v>1876</v>
      </c>
      <c r="N457" s="106" t="s">
        <v>40</v>
      </c>
      <c r="O457" s="107"/>
      <c r="P457" s="106" t="s">
        <v>1877</v>
      </c>
    </row>
    <row r="458" spans="1:16" outlineLevel="2" x14ac:dyDescent="0.3">
      <c r="A458" s="105" t="s">
        <v>1878</v>
      </c>
      <c r="B458" s="106"/>
      <c r="C458" s="106"/>
      <c r="D458" s="106"/>
      <c r="E458" s="106" t="s">
        <v>1879</v>
      </c>
      <c r="F458" s="106" t="s">
        <v>1880</v>
      </c>
      <c r="G458" s="105">
        <v>4</v>
      </c>
      <c r="H458" s="106" t="s">
        <v>7</v>
      </c>
      <c r="I458" s="105" t="s">
        <v>39</v>
      </c>
      <c r="J458" s="105"/>
      <c r="K458" s="105"/>
      <c r="L458" s="105"/>
      <c r="M458" s="106"/>
      <c r="N458" s="106" t="s">
        <v>287</v>
      </c>
      <c r="O458" s="107"/>
      <c r="P458" s="106"/>
    </row>
    <row r="459" spans="1:16" outlineLevel="2" x14ac:dyDescent="0.3">
      <c r="A459" s="105" t="s">
        <v>1881</v>
      </c>
      <c r="B459" s="106"/>
      <c r="C459" s="106"/>
      <c r="D459" s="106"/>
      <c r="E459" s="106" t="s">
        <v>1882</v>
      </c>
      <c r="F459" s="106" t="s">
        <v>1883</v>
      </c>
      <c r="G459" s="105">
        <v>4</v>
      </c>
      <c r="H459" s="106" t="s">
        <v>7</v>
      </c>
      <c r="I459" s="105" t="s">
        <v>39</v>
      </c>
      <c r="J459" s="105"/>
      <c r="K459" s="105"/>
      <c r="L459" s="105"/>
      <c r="M459" s="106" t="s">
        <v>1884</v>
      </c>
      <c r="N459" s="106" t="s">
        <v>40</v>
      </c>
      <c r="O459" s="107"/>
      <c r="P459" s="106" t="s">
        <v>1885</v>
      </c>
    </row>
    <row r="460" spans="1:16" outlineLevel="2" x14ac:dyDescent="0.3">
      <c r="A460" s="105" t="s">
        <v>1886</v>
      </c>
      <c r="B460" s="106"/>
      <c r="C460" s="106"/>
      <c r="D460" s="106"/>
      <c r="E460" s="106" t="s">
        <v>1887</v>
      </c>
      <c r="F460" s="106" t="s">
        <v>1888</v>
      </c>
      <c r="G460" s="105">
        <v>4</v>
      </c>
      <c r="H460" s="106" t="s">
        <v>7</v>
      </c>
      <c r="I460" s="105" t="s">
        <v>39</v>
      </c>
      <c r="J460" s="105"/>
      <c r="K460" s="105"/>
      <c r="L460" s="105"/>
      <c r="M460" s="106" t="s">
        <v>1889</v>
      </c>
      <c r="N460" s="106" t="s">
        <v>40</v>
      </c>
      <c r="O460" s="107"/>
      <c r="P460" s="106" t="s">
        <v>1890</v>
      </c>
    </row>
    <row r="461" spans="1:16" outlineLevel="2" x14ac:dyDescent="0.3">
      <c r="A461" s="105" t="s">
        <v>1891</v>
      </c>
      <c r="B461" s="106"/>
      <c r="C461" s="106"/>
      <c r="D461" s="106"/>
      <c r="E461" s="106" t="s">
        <v>1892</v>
      </c>
      <c r="F461" s="106" t="s">
        <v>1893</v>
      </c>
      <c r="G461" s="105">
        <v>4</v>
      </c>
      <c r="H461" s="106" t="s">
        <v>7</v>
      </c>
      <c r="I461" s="105" t="s">
        <v>39</v>
      </c>
      <c r="J461" s="105"/>
      <c r="K461" s="105"/>
      <c r="L461" s="105"/>
      <c r="M461" s="106" t="s">
        <v>1894</v>
      </c>
      <c r="N461" s="106" t="s">
        <v>40</v>
      </c>
      <c r="O461" s="107"/>
      <c r="P461" s="106" t="s">
        <v>1895</v>
      </c>
    </row>
    <row r="462" spans="1:16" outlineLevel="2" x14ac:dyDescent="0.3">
      <c r="A462" s="105" t="s">
        <v>1896</v>
      </c>
      <c r="B462" s="106"/>
      <c r="C462" s="106"/>
      <c r="D462" s="106"/>
      <c r="E462" s="106" t="s">
        <v>1897</v>
      </c>
      <c r="F462" s="106" t="s">
        <v>1898</v>
      </c>
      <c r="G462" s="105">
        <v>4</v>
      </c>
      <c r="H462" s="106" t="s">
        <v>7</v>
      </c>
      <c r="I462" s="105" t="s">
        <v>39</v>
      </c>
      <c r="J462" s="105"/>
      <c r="K462" s="105"/>
      <c r="L462" s="105"/>
      <c r="M462" s="106" t="s">
        <v>1899</v>
      </c>
      <c r="N462" s="106" t="s">
        <v>223</v>
      </c>
      <c r="O462" s="107"/>
      <c r="P462" s="106" t="s">
        <v>1900</v>
      </c>
    </row>
    <row r="463" spans="1:16" outlineLevel="2" x14ac:dyDescent="0.3">
      <c r="A463" s="105" t="s">
        <v>1901</v>
      </c>
      <c r="B463" s="106"/>
      <c r="C463" s="106"/>
      <c r="D463" s="106"/>
      <c r="E463" s="106" t="s">
        <v>1902</v>
      </c>
      <c r="F463" s="106" t="s">
        <v>1903</v>
      </c>
      <c r="G463" s="105">
        <v>4</v>
      </c>
      <c r="H463" s="106" t="s">
        <v>7</v>
      </c>
      <c r="I463" s="105" t="s">
        <v>39</v>
      </c>
      <c r="J463" s="105"/>
      <c r="K463" s="105"/>
      <c r="L463" s="105"/>
      <c r="M463" s="106" t="s">
        <v>1904</v>
      </c>
      <c r="N463" s="106" t="s">
        <v>223</v>
      </c>
      <c r="O463" s="107"/>
      <c r="P463" s="106" t="s">
        <v>1905</v>
      </c>
    </row>
    <row r="464" spans="1:16" outlineLevel="2" x14ac:dyDescent="0.3">
      <c r="A464" s="105" t="s">
        <v>1906</v>
      </c>
      <c r="B464" s="106"/>
      <c r="C464" s="106"/>
      <c r="D464" s="106"/>
      <c r="E464" s="106" t="s">
        <v>1907</v>
      </c>
      <c r="F464" s="106" t="s">
        <v>1908</v>
      </c>
      <c r="G464" s="105">
        <v>4</v>
      </c>
      <c r="H464" s="106" t="s">
        <v>7</v>
      </c>
      <c r="I464" s="105" t="s">
        <v>39</v>
      </c>
      <c r="J464" s="105"/>
      <c r="K464" s="105"/>
      <c r="L464" s="105"/>
      <c r="M464" s="106" t="s">
        <v>1909</v>
      </c>
      <c r="N464" s="106" t="s">
        <v>223</v>
      </c>
      <c r="O464" s="107"/>
      <c r="P464" s="106" t="s">
        <v>1910</v>
      </c>
    </row>
    <row r="465" spans="1:16" outlineLevel="2" x14ac:dyDescent="0.3">
      <c r="A465" s="105" t="s">
        <v>1911</v>
      </c>
      <c r="B465" s="106"/>
      <c r="C465" s="106"/>
      <c r="D465" s="106"/>
      <c r="E465" s="106" t="s">
        <v>1912</v>
      </c>
      <c r="F465" s="106" t="s">
        <v>1913</v>
      </c>
      <c r="G465" s="105">
        <v>4</v>
      </c>
      <c r="H465" s="106" t="s">
        <v>7</v>
      </c>
      <c r="I465" s="105" t="s">
        <v>39</v>
      </c>
      <c r="J465" s="105"/>
      <c r="K465" s="105"/>
      <c r="L465" s="105"/>
      <c r="M465" s="106"/>
      <c r="N465" s="106" t="s">
        <v>287</v>
      </c>
      <c r="O465" s="107"/>
      <c r="P465" s="106"/>
    </row>
    <row r="466" spans="1:16" outlineLevel="2" x14ac:dyDescent="0.3">
      <c r="A466" s="105" t="s">
        <v>1914</v>
      </c>
      <c r="B466" s="106"/>
      <c r="C466" s="106"/>
      <c r="D466" s="106"/>
      <c r="E466" s="106" t="s">
        <v>1915</v>
      </c>
      <c r="F466" s="106" t="s">
        <v>1916</v>
      </c>
      <c r="G466" s="105">
        <v>4</v>
      </c>
      <c r="H466" s="106" t="s">
        <v>7</v>
      </c>
      <c r="I466" s="105" t="s">
        <v>39</v>
      </c>
      <c r="J466" s="105"/>
      <c r="K466" s="105"/>
      <c r="L466" s="105"/>
      <c r="M466" s="106" t="s">
        <v>1917</v>
      </c>
      <c r="N466" s="106" t="s">
        <v>40</v>
      </c>
      <c r="O466" s="107"/>
      <c r="P466" s="106" t="s">
        <v>1918</v>
      </c>
    </row>
    <row r="467" spans="1:16" outlineLevel="2" x14ac:dyDescent="0.3">
      <c r="A467" s="105" t="s">
        <v>1919</v>
      </c>
      <c r="B467" s="106"/>
      <c r="C467" s="106"/>
      <c r="D467" s="106"/>
      <c r="E467" s="106" t="s">
        <v>1920</v>
      </c>
      <c r="F467" s="106" t="s">
        <v>1921</v>
      </c>
      <c r="G467" s="105">
        <v>4</v>
      </c>
      <c r="H467" s="106" t="s">
        <v>7</v>
      </c>
      <c r="I467" s="105" t="s">
        <v>39</v>
      </c>
      <c r="J467" s="105"/>
      <c r="K467" s="105"/>
      <c r="L467" s="105"/>
      <c r="M467" s="106" t="s">
        <v>1922</v>
      </c>
      <c r="N467" s="106" t="s">
        <v>223</v>
      </c>
      <c r="O467" s="107"/>
      <c r="P467" s="106" t="s">
        <v>1923</v>
      </c>
    </row>
    <row r="468" spans="1:16" outlineLevel="2" x14ac:dyDescent="0.3">
      <c r="A468" s="105" t="s">
        <v>1924</v>
      </c>
      <c r="B468" s="106"/>
      <c r="C468" s="106"/>
      <c r="D468" s="106"/>
      <c r="E468" s="106" t="s">
        <v>1925</v>
      </c>
      <c r="F468" s="106" t="s">
        <v>1926</v>
      </c>
      <c r="G468" s="105">
        <v>4</v>
      </c>
      <c r="H468" s="106" t="s">
        <v>7</v>
      </c>
      <c r="I468" s="105" t="s">
        <v>39</v>
      </c>
      <c r="J468" s="105"/>
      <c r="K468" s="105"/>
      <c r="L468" s="105"/>
      <c r="M468" s="106" t="s">
        <v>1927</v>
      </c>
      <c r="N468" s="106" t="s">
        <v>223</v>
      </c>
      <c r="O468" s="107"/>
      <c r="P468" s="106" t="s">
        <v>1928</v>
      </c>
    </row>
    <row r="469" spans="1:16" outlineLevel="2" x14ac:dyDescent="0.3">
      <c r="A469" s="105" t="s">
        <v>1929</v>
      </c>
      <c r="B469" s="106"/>
      <c r="C469" s="106"/>
      <c r="D469" s="106"/>
      <c r="E469" s="106" t="s">
        <v>1930</v>
      </c>
      <c r="F469" s="106" t="s">
        <v>1931</v>
      </c>
      <c r="G469" s="105">
        <v>4</v>
      </c>
      <c r="H469" s="106" t="s">
        <v>7</v>
      </c>
      <c r="I469" s="105" t="s">
        <v>39</v>
      </c>
      <c r="J469" s="105"/>
      <c r="K469" s="105"/>
      <c r="L469" s="105"/>
      <c r="M469" s="106" t="s">
        <v>1932</v>
      </c>
      <c r="N469" s="106" t="s">
        <v>287</v>
      </c>
      <c r="O469" s="107"/>
      <c r="P469" s="106"/>
    </row>
    <row r="470" spans="1:16" outlineLevel="2" x14ac:dyDescent="0.3">
      <c r="A470" s="105" t="s">
        <v>1933</v>
      </c>
      <c r="B470" s="106"/>
      <c r="C470" s="106"/>
      <c r="D470" s="106"/>
      <c r="E470" s="106" t="s">
        <v>1934</v>
      </c>
      <c r="F470" s="106" t="s">
        <v>1935</v>
      </c>
      <c r="G470" s="105">
        <v>4</v>
      </c>
      <c r="H470" s="106" t="s">
        <v>7</v>
      </c>
      <c r="I470" s="105" t="s">
        <v>39</v>
      </c>
      <c r="J470" s="105"/>
      <c r="K470" s="105"/>
      <c r="L470" s="105"/>
      <c r="M470" s="106" t="s">
        <v>1936</v>
      </c>
      <c r="N470" s="106" t="s">
        <v>40</v>
      </c>
      <c r="O470" s="107"/>
      <c r="P470" s="106" t="s">
        <v>1937</v>
      </c>
    </row>
    <row r="471" spans="1:16" outlineLevel="2" x14ac:dyDescent="0.3">
      <c r="A471" s="105" t="s">
        <v>1938</v>
      </c>
      <c r="B471" s="106"/>
      <c r="C471" s="106"/>
      <c r="D471" s="106"/>
      <c r="E471" s="106" t="s">
        <v>1939</v>
      </c>
      <c r="F471" s="106" t="s">
        <v>1940</v>
      </c>
      <c r="G471" s="105">
        <v>4</v>
      </c>
      <c r="H471" s="106" t="s">
        <v>7</v>
      </c>
      <c r="I471" s="105" t="s">
        <v>39</v>
      </c>
      <c r="J471" s="105"/>
      <c r="K471" s="105"/>
      <c r="L471" s="105"/>
      <c r="M471" s="106"/>
      <c r="N471" s="106" t="s">
        <v>287</v>
      </c>
      <c r="O471" s="107"/>
      <c r="P471" s="106"/>
    </row>
    <row r="472" spans="1:16" outlineLevel="2" x14ac:dyDescent="0.3">
      <c r="A472" s="105" t="s">
        <v>1941</v>
      </c>
      <c r="B472" s="106"/>
      <c r="C472" s="106"/>
      <c r="D472" s="106"/>
      <c r="E472" s="106" t="s">
        <v>1942</v>
      </c>
      <c r="F472" s="106" t="s">
        <v>1943</v>
      </c>
      <c r="G472" s="105">
        <v>4</v>
      </c>
      <c r="H472" s="106" t="s">
        <v>7</v>
      </c>
      <c r="I472" s="105" t="s">
        <v>39</v>
      </c>
      <c r="J472" s="105"/>
      <c r="K472" s="105"/>
      <c r="L472" s="105"/>
      <c r="M472" s="106" t="s">
        <v>1944</v>
      </c>
      <c r="N472" s="106" t="s">
        <v>223</v>
      </c>
      <c r="O472" s="107"/>
      <c r="P472" s="106" t="s">
        <v>1945</v>
      </c>
    </row>
    <row r="473" spans="1:16" outlineLevel="2" x14ac:dyDescent="0.3">
      <c r="A473" s="105" t="s">
        <v>1946</v>
      </c>
      <c r="B473" s="106"/>
      <c r="C473" s="106"/>
      <c r="D473" s="106"/>
      <c r="E473" s="106" t="s">
        <v>1947</v>
      </c>
      <c r="F473" s="106" t="s">
        <v>1948</v>
      </c>
      <c r="G473" s="105">
        <v>4</v>
      </c>
      <c r="H473" s="106" t="s">
        <v>7</v>
      </c>
      <c r="I473" s="105" t="s">
        <v>39</v>
      </c>
      <c r="J473" s="105"/>
      <c r="K473" s="105"/>
      <c r="L473" s="105"/>
      <c r="M473" s="106" t="s">
        <v>1949</v>
      </c>
      <c r="N473" s="106" t="s">
        <v>40</v>
      </c>
      <c r="O473" s="107"/>
      <c r="P473" s="106" t="s">
        <v>1950</v>
      </c>
    </row>
    <row r="474" spans="1:16" outlineLevel="2" x14ac:dyDescent="0.3">
      <c r="A474" s="105" t="s">
        <v>1951</v>
      </c>
      <c r="B474" s="106"/>
      <c r="C474" s="106"/>
      <c r="D474" s="106"/>
      <c r="E474" s="106" t="s">
        <v>1952</v>
      </c>
      <c r="F474" s="106" t="s">
        <v>1953</v>
      </c>
      <c r="G474" s="105">
        <v>4</v>
      </c>
      <c r="H474" s="106" t="s">
        <v>7</v>
      </c>
      <c r="I474" s="105" t="s">
        <v>39</v>
      </c>
      <c r="J474" s="105"/>
      <c r="K474" s="105"/>
      <c r="L474" s="105"/>
      <c r="M474" s="106" t="s">
        <v>1954</v>
      </c>
      <c r="N474" s="106" t="s">
        <v>40</v>
      </c>
      <c r="O474" s="107"/>
      <c r="P474" s="106" t="s">
        <v>1955</v>
      </c>
    </row>
    <row r="475" spans="1:16" outlineLevel="2" x14ac:dyDescent="0.3">
      <c r="A475" s="105" t="s">
        <v>1956</v>
      </c>
      <c r="B475" s="106"/>
      <c r="C475" s="106"/>
      <c r="D475" s="106"/>
      <c r="E475" s="106" t="s">
        <v>1957</v>
      </c>
      <c r="F475" s="106" t="s">
        <v>1958</v>
      </c>
      <c r="G475" s="105">
        <v>4</v>
      </c>
      <c r="H475" s="106" t="s">
        <v>7</v>
      </c>
      <c r="I475" s="105" t="s">
        <v>39</v>
      </c>
      <c r="J475" s="105"/>
      <c r="K475" s="105"/>
      <c r="L475" s="105"/>
      <c r="M475" s="106" t="s">
        <v>1959</v>
      </c>
      <c r="N475" s="106" t="s">
        <v>223</v>
      </c>
      <c r="O475" s="107"/>
      <c r="P475" s="106" t="s">
        <v>1960</v>
      </c>
    </row>
    <row r="476" spans="1:16" outlineLevel="2" x14ac:dyDescent="0.3">
      <c r="A476" s="105" t="s">
        <v>1961</v>
      </c>
      <c r="B476" s="106"/>
      <c r="C476" s="106"/>
      <c r="D476" s="106"/>
      <c r="E476" s="106" t="s">
        <v>1962</v>
      </c>
      <c r="F476" s="106" t="s">
        <v>1963</v>
      </c>
      <c r="G476" s="105">
        <v>4</v>
      </c>
      <c r="H476" s="106" t="s">
        <v>7</v>
      </c>
      <c r="I476" s="105" t="s">
        <v>39</v>
      </c>
      <c r="J476" s="105"/>
      <c r="K476" s="105"/>
      <c r="L476" s="105"/>
      <c r="M476" s="106" t="s">
        <v>1128</v>
      </c>
      <c r="N476" s="106" t="s">
        <v>287</v>
      </c>
      <c r="O476" s="107"/>
      <c r="P476" s="106" t="s">
        <v>1964</v>
      </c>
    </row>
    <row r="477" spans="1:16" outlineLevel="2" x14ac:dyDescent="0.3">
      <c r="A477" s="105" t="s">
        <v>1965</v>
      </c>
      <c r="B477" s="106"/>
      <c r="C477" s="106"/>
      <c r="D477" s="106"/>
      <c r="E477" s="106" t="s">
        <v>1966</v>
      </c>
      <c r="F477" s="106" t="s">
        <v>1967</v>
      </c>
      <c r="G477" s="105">
        <v>4</v>
      </c>
      <c r="H477" s="106" t="s">
        <v>7</v>
      </c>
      <c r="I477" s="105" t="s">
        <v>39</v>
      </c>
      <c r="J477" s="105"/>
      <c r="K477" s="105"/>
      <c r="L477" s="105"/>
      <c r="M477" s="106" t="s">
        <v>1968</v>
      </c>
      <c r="N477" s="106" t="s">
        <v>40</v>
      </c>
      <c r="O477" s="107"/>
      <c r="P477" s="106" t="s">
        <v>1969</v>
      </c>
    </row>
    <row r="478" spans="1:16" outlineLevel="2" x14ac:dyDescent="0.3">
      <c r="A478" s="105" t="s">
        <v>1970</v>
      </c>
      <c r="B478" s="106"/>
      <c r="C478" s="106"/>
      <c r="D478" s="106"/>
      <c r="E478" s="106" t="s">
        <v>1971</v>
      </c>
      <c r="F478" s="106" t="s">
        <v>1972</v>
      </c>
      <c r="G478" s="105">
        <v>4</v>
      </c>
      <c r="H478" s="106" t="s">
        <v>7</v>
      </c>
      <c r="I478" s="105" t="s">
        <v>39</v>
      </c>
      <c r="J478" s="105"/>
      <c r="K478" s="105"/>
      <c r="L478" s="105"/>
      <c r="M478" s="106" t="s">
        <v>1973</v>
      </c>
      <c r="N478" s="106" t="s">
        <v>223</v>
      </c>
      <c r="O478" s="107"/>
      <c r="P478" s="106" t="s">
        <v>1974</v>
      </c>
    </row>
    <row r="479" spans="1:16" outlineLevel="2" x14ac:dyDescent="0.3">
      <c r="A479" s="105" t="s">
        <v>1975</v>
      </c>
      <c r="B479" s="106"/>
      <c r="C479" s="106"/>
      <c r="D479" s="106"/>
      <c r="E479" s="106" t="s">
        <v>387</v>
      </c>
      <c r="F479" s="106" t="s">
        <v>388</v>
      </c>
      <c r="G479" s="105">
        <v>4</v>
      </c>
      <c r="H479" s="106" t="s">
        <v>7</v>
      </c>
      <c r="I479" s="105" t="s">
        <v>39</v>
      </c>
      <c r="J479" s="105"/>
      <c r="K479" s="105"/>
      <c r="L479" s="105"/>
      <c r="M479" s="106" t="s">
        <v>1976</v>
      </c>
      <c r="N479" s="106" t="s">
        <v>223</v>
      </c>
      <c r="O479" s="107"/>
      <c r="P479" s="106" t="s">
        <v>1977</v>
      </c>
    </row>
    <row r="480" spans="1:16" outlineLevel="2" x14ac:dyDescent="0.3">
      <c r="A480" s="105" t="s">
        <v>1978</v>
      </c>
      <c r="B480" s="106"/>
      <c r="C480" s="106"/>
      <c r="D480" s="106"/>
      <c r="E480" s="106" t="s">
        <v>1445</v>
      </c>
      <c r="F480" s="106" t="s">
        <v>392</v>
      </c>
      <c r="G480" s="105">
        <v>4</v>
      </c>
      <c r="H480" s="106" t="s">
        <v>7</v>
      </c>
      <c r="I480" s="105" t="s">
        <v>39</v>
      </c>
      <c r="J480" s="105"/>
      <c r="K480" s="105"/>
      <c r="L480" s="105"/>
      <c r="M480" s="106" t="s">
        <v>1979</v>
      </c>
      <c r="N480" s="106" t="s">
        <v>223</v>
      </c>
      <c r="O480" s="107"/>
      <c r="P480" s="106" t="s">
        <v>1980</v>
      </c>
    </row>
    <row r="481" spans="1:16" outlineLevel="2" x14ac:dyDescent="0.3">
      <c r="A481" s="105" t="s">
        <v>1981</v>
      </c>
      <c r="B481" s="106"/>
      <c r="C481" s="106"/>
      <c r="D481" s="106"/>
      <c r="E481" s="106" t="s">
        <v>1982</v>
      </c>
      <c r="F481" s="106" t="s">
        <v>1983</v>
      </c>
      <c r="G481" s="105">
        <v>4</v>
      </c>
      <c r="H481" s="106" t="s">
        <v>7</v>
      </c>
      <c r="I481" s="105" t="s">
        <v>39</v>
      </c>
      <c r="J481" s="105"/>
      <c r="K481" s="105"/>
      <c r="L481" s="105"/>
      <c r="M481" s="106" t="s">
        <v>1904</v>
      </c>
      <c r="N481" s="106" t="s">
        <v>223</v>
      </c>
      <c r="O481" s="107"/>
      <c r="P481" s="106" t="s">
        <v>1984</v>
      </c>
    </row>
    <row r="482" spans="1:16" outlineLevel="2" x14ac:dyDescent="0.3">
      <c r="A482" s="105" t="s">
        <v>1985</v>
      </c>
      <c r="B482" s="106"/>
      <c r="C482" s="106"/>
      <c r="D482" s="106"/>
      <c r="E482" s="106" t="s">
        <v>1986</v>
      </c>
      <c r="F482" s="106" t="s">
        <v>1987</v>
      </c>
      <c r="G482" s="105">
        <v>4</v>
      </c>
      <c r="H482" s="106" t="s">
        <v>7</v>
      </c>
      <c r="I482" s="105" t="s">
        <v>39</v>
      </c>
      <c r="J482" s="105"/>
      <c r="K482" s="105"/>
      <c r="L482" s="105"/>
      <c r="M482" s="106" t="s">
        <v>1988</v>
      </c>
      <c r="N482" s="106" t="s">
        <v>223</v>
      </c>
      <c r="O482" s="107"/>
      <c r="P482" s="106" t="s">
        <v>1989</v>
      </c>
    </row>
    <row r="483" spans="1:16" outlineLevel="2" x14ac:dyDescent="0.3">
      <c r="A483" s="105" t="s">
        <v>1990</v>
      </c>
      <c r="B483" s="106"/>
      <c r="C483" s="106"/>
      <c r="D483" s="106"/>
      <c r="E483" s="106" t="s">
        <v>1991</v>
      </c>
      <c r="F483" s="106" t="s">
        <v>1992</v>
      </c>
      <c r="G483" s="105">
        <v>4</v>
      </c>
      <c r="H483" s="106" t="s">
        <v>7</v>
      </c>
      <c r="I483" s="105" t="s">
        <v>39</v>
      </c>
      <c r="J483" s="105"/>
      <c r="K483" s="105"/>
      <c r="L483" s="105"/>
      <c r="M483" s="106"/>
      <c r="N483" s="106" t="s">
        <v>287</v>
      </c>
      <c r="O483" s="107"/>
      <c r="P483" s="106"/>
    </row>
    <row r="484" spans="1:16" ht="27.6" outlineLevel="1" x14ac:dyDescent="0.3">
      <c r="A484" s="139" t="s">
        <v>1993</v>
      </c>
      <c r="B484" s="140"/>
      <c r="C484" s="141" t="s">
        <v>1994</v>
      </c>
      <c r="D484" s="140"/>
      <c r="E484" s="140"/>
      <c r="F484" s="140"/>
      <c r="G484" s="139">
        <v>2</v>
      </c>
      <c r="H484" s="140" t="s">
        <v>25</v>
      </c>
      <c r="I484" s="139" t="s">
        <v>39</v>
      </c>
      <c r="J484" s="139">
        <v>16</v>
      </c>
      <c r="K484" s="139">
        <v>0</v>
      </c>
      <c r="L484" s="139">
        <v>16</v>
      </c>
      <c r="M484" s="142" t="s">
        <v>1995</v>
      </c>
      <c r="N484" s="142" t="s">
        <v>223</v>
      </c>
      <c r="O484" s="143"/>
      <c r="P484" s="142" t="s">
        <v>1996</v>
      </c>
    </row>
    <row r="485" spans="1:16" outlineLevel="2" x14ac:dyDescent="0.3">
      <c r="A485" s="105" t="s">
        <v>1997</v>
      </c>
      <c r="B485" s="106"/>
      <c r="C485" s="106"/>
      <c r="D485" s="106"/>
      <c r="E485" s="106" t="s">
        <v>1998</v>
      </c>
      <c r="F485" s="106" t="s">
        <v>1999</v>
      </c>
      <c r="G485" s="105">
        <v>4</v>
      </c>
      <c r="H485" s="106" t="s">
        <v>7</v>
      </c>
      <c r="I485" s="105" t="s">
        <v>39</v>
      </c>
      <c r="J485" s="105"/>
      <c r="K485" s="105"/>
      <c r="L485" s="105"/>
      <c r="M485" s="106" t="s">
        <v>2000</v>
      </c>
      <c r="N485" s="106" t="s">
        <v>40</v>
      </c>
      <c r="O485" s="107"/>
      <c r="P485" s="106" t="s">
        <v>2001</v>
      </c>
    </row>
    <row r="486" spans="1:16" outlineLevel="2" x14ac:dyDescent="0.3">
      <c r="A486" s="105" t="s">
        <v>2002</v>
      </c>
      <c r="B486" s="106"/>
      <c r="C486" s="106"/>
      <c r="D486" s="106"/>
      <c r="E486" s="106" t="s">
        <v>2003</v>
      </c>
      <c r="F486" s="106" t="s">
        <v>2004</v>
      </c>
      <c r="G486" s="105">
        <v>4</v>
      </c>
      <c r="H486" s="106" t="s">
        <v>7</v>
      </c>
      <c r="I486" s="105" t="s">
        <v>39</v>
      </c>
      <c r="J486" s="105"/>
      <c r="K486" s="105"/>
      <c r="L486" s="105"/>
      <c r="M486" s="106" t="s">
        <v>2005</v>
      </c>
      <c r="N486" s="106" t="s">
        <v>40</v>
      </c>
      <c r="O486" s="107"/>
      <c r="P486" s="106" t="s">
        <v>2006</v>
      </c>
    </row>
    <row r="487" spans="1:16" outlineLevel="2" x14ac:dyDescent="0.3">
      <c r="A487" s="105" t="s">
        <v>2007</v>
      </c>
      <c r="B487" s="106"/>
      <c r="C487" s="106"/>
      <c r="D487" s="106"/>
      <c r="E487" s="106" t="s">
        <v>2008</v>
      </c>
      <c r="F487" s="106" t="s">
        <v>2009</v>
      </c>
      <c r="G487" s="105">
        <v>4</v>
      </c>
      <c r="H487" s="106" t="s">
        <v>7</v>
      </c>
      <c r="I487" s="105" t="s">
        <v>39</v>
      </c>
      <c r="J487" s="105"/>
      <c r="K487" s="105"/>
      <c r="L487" s="105"/>
      <c r="M487" s="106" t="s">
        <v>2010</v>
      </c>
      <c r="N487" s="106" t="s">
        <v>40</v>
      </c>
      <c r="O487" s="107" t="s">
        <v>332</v>
      </c>
      <c r="P487" s="106" t="s">
        <v>2011</v>
      </c>
    </row>
    <row r="488" spans="1:16" outlineLevel="2" x14ac:dyDescent="0.3">
      <c r="A488" s="105" t="s">
        <v>2012</v>
      </c>
      <c r="B488" s="106"/>
      <c r="C488" s="106"/>
      <c r="D488" s="106"/>
      <c r="E488" s="106" t="s">
        <v>2013</v>
      </c>
      <c r="F488" s="106" t="s">
        <v>2014</v>
      </c>
      <c r="G488" s="105">
        <v>4</v>
      </c>
      <c r="H488" s="106" t="s">
        <v>7</v>
      </c>
      <c r="I488" s="105" t="s">
        <v>39</v>
      </c>
      <c r="J488" s="105"/>
      <c r="K488" s="105"/>
      <c r="L488" s="105"/>
      <c r="M488" s="106" t="s">
        <v>2015</v>
      </c>
      <c r="N488" s="106" t="s">
        <v>40</v>
      </c>
      <c r="O488" s="107"/>
      <c r="P488" s="106" t="s">
        <v>2016</v>
      </c>
    </row>
    <row r="489" spans="1:16" outlineLevel="2" x14ac:dyDescent="0.3">
      <c r="A489" s="105" t="s">
        <v>2017</v>
      </c>
      <c r="B489" s="106"/>
      <c r="C489" s="106"/>
      <c r="D489" s="106"/>
      <c r="E489" s="106" t="s">
        <v>2018</v>
      </c>
      <c r="F489" s="106" t="s">
        <v>2019</v>
      </c>
      <c r="G489" s="105">
        <v>4</v>
      </c>
      <c r="H489" s="106" t="s">
        <v>7</v>
      </c>
      <c r="I489" s="105" t="s">
        <v>39</v>
      </c>
      <c r="J489" s="105"/>
      <c r="K489" s="105"/>
      <c r="L489" s="105"/>
      <c r="M489" s="106" t="s">
        <v>2020</v>
      </c>
      <c r="N489" s="106" t="s">
        <v>40</v>
      </c>
      <c r="O489" s="107"/>
      <c r="P489" s="106" t="s">
        <v>2021</v>
      </c>
    </row>
    <row r="490" spans="1:16" outlineLevel="2" x14ac:dyDescent="0.3">
      <c r="A490" s="105" t="s">
        <v>2022</v>
      </c>
      <c r="B490" s="106"/>
      <c r="C490" s="106"/>
      <c r="D490" s="106"/>
      <c r="E490" s="106" t="s">
        <v>2023</v>
      </c>
      <c r="F490" s="106" t="s">
        <v>2024</v>
      </c>
      <c r="G490" s="105">
        <v>4</v>
      </c>
      <c r="H490" s="106" t="s">
        <v>7</v>
      </c>
      <c r="I490" s="105" t="s">
        <v>39</v>
      </c>
      <c r="J490" s="105"/>
      <c r="K490" s="105"/>
      <c r="L490" s="105"/>
      <c r="M490" s="106" t="s">
        <v>2025</v>
      </c>
      <c r="N490" s="106" t="s">
        <v>40</v>
      </c>
      <c r="O490" s="107"/>
      <c r="P490" s="106" t="s">
        <v>2026</v>
      </c>
    </row>
    <row r="491" spans="1:16" outlineLevel="2" x14ac:dyDescent="0.3">
      <c r="A491" s="105" t="s">
        <v>2027</v>
      </c>
      <c r="B491" s="106"/>
      <c r="C491" s="106"/>
      <c r="D491" s="106"/>
      <c r="E491" s="106" t="s">
        <v>2028</v>
      </c>
      <c r="F491" s="106" t="s">
        <v>2029</v>
      </c>
      <c r="G491" s="105">
        <v>4</v>
      </c>
      <c r="H491" s="106" t="s">
        <v>7</v>
      </c>
      <c r="I491" s="105" t="s">
        <v>39</v>
      </c>
      <c r="J491" s="105"/>
      <c r="K491" s="105"/>
      <c r="L491" s="105"/>
      <c r="M491" s="106" t="s">
        <v>2030</v>
      </c>
      <c r="N491" s="106" t="s">
        <v>40</v>
      </c>
      <c r="O491" s="107"/>
      <c r="P491" s="106" t="s">
        <v>2031</v>
      </c>
    </row>
    <row r="492" spans="1:16" outlineLevel="2" x14ac:dyDescent="0.3">
      <c r="A492" s="105" t="s">
        <v>2032</v>
      </c>
      <c r="B492" s="106"/>
      <c r="C492" s="106"/>
      <c r="D492" s="106"/>
      <c r="E492" s="106" t="s">
        <v>2033</v>
      </c>
      <c r="F492" s="106" t="s">
        <v>2034</v>
      </c>
      <c r="G492" s="105">
        <v>4</v>
      </c>
      <c r="H492" s="106" t="s">
        <v>7</v>
      </c>
      <c r="I492" s="105" t="s">
        <v>39</v>
      </c>
      <c r="J492" s="105"/>
      <c r="K492" s="105"/>
      <c r="L492" s="105"/>
      <c r="M492" s="106" t="s">
        <v>2035</v>
      </c>
      <c r="N492" s="106" t="s">
        <v>40</v>
      </c>
      <c r="O492" s="107"/>
      <c r="P492" s="106" t="s">
        <v>2036</v>
      </c>
    </row>
    <row r="493" spans="1:16" outlineLevel="2" x14ac:dyDescent="0.3">
      <c r="A493" s="105" t="s">
        <v>2037</v>
      </c>
      <c r="B493" s="106"/>
      <c r="C493" s="106"/>
      <c r="D493" s="106"/>
      <c r="E493" s="106" t="s">
        <v>2038</v>
      </c>
      <c r="F493" s="106" t="s">
        <v>2039</v>
      </c>
      <c r="G493" s="105">
        <v>4</v>
      </c>
      <c r="H493" s="106" t="s">
        <v>7</v>
      </c>
      <c r="I493" s="105" t="s">
        <v>39</v>
      </c>
      <c r="J493" s="105"/>
      <c r="K493" s="105"/>
      <c r="L493" s="105"/>
      <c r="M493" s="106" t="s">
        <v>2040</v>
      </c>
      <c r="N493" s="106" t="s">
        <v>40</v>
      </c>
      <c r="O493" s="107"/>
      <c r="P493" s="106" t="s">
        <v>2041</v>
      </c>
    </row>
    <row r="494" spans="1:16" outlineLevel="2" x14ac:dyDescent="0.3">
      <c r="A494" s="105" t="s">
        <v>2042</v>
      </c>
      <c r="B494" s="106"/>
      <c r="C494" s="106"/>
      <c r="D494" s="106"/>
      <c r="E494" s="106" t="s">
        <v>2043</v>
      </c>
      <c r="F494" s="106" t="s">
        <v>2044</v>
      </c>
      <c r="G494" s="105">
        <v>4</v>
      </c>
      <c r="H494" s="106" t="s">
        <v>7</v>
      </c>
      <c r="I494" s="105" t="s">
        <v>39</v>
      </c>
      <c r="J494" s="105"/>
      <c r="K494" s="105"/>
      <c r="L494" s="105"/>
      <c r="M494" s="106" t="s">
        <v>2045</v>
      </c>
      <c r="N494" s="106" t="s">
        <v>40</v>
      </c>
      <c r="O494" s="107"/>
      <c r="P494" s="106" t="s">
        <v>2046</v>
      </c>
    </row>
    <row r="495" spans="1:16" outlineLevel="2" x14ac:dyDescent="0.3">
      <c r="A495" s="105" t="s">
        <v>2047</v>
      </c>
      <c r="B495" s="106"/>
      <c r="C495" s="106"/>
      <c r="D495" s="106"/>
      <c r="E495" s="106" t="s">
        <v>2048</v>
      </c>
      <c r="F495" s="106" t="s">
        <v>2049</v>
      </c>
      <c r="G495" s="105">
        <v>4</v>
      </c>
      <c r="H495" s="106" t="s">
        <v>7</v>
      </c>
      <c r="I495" s="105" t="s">
        <v>39</v>
      </c>
      <c r="J495" s="105"/>
      <c r="K495" s="105"/>
      <c r="L495" s="105"/>
      <c r="M495" s="106" t="s">
        <v>2050</v>
      </c>
      <c r="N495" s="106" t="s">
        <v>40</v>
      </c>
      <c r="O495" s="107"/>
      <c r="P495" s="106" t="s">
        <v>2051</v>
      </c>
    </row>
    <row r="496" spans="1:16" outlineLevel="2" x14ac:dyDescent="0.3">
      <c r="A496" s="105" t="s">
        <v>2052</v>
      </c>
      <c r="B496" s="106"/>
      <c r="C496" s="106"/>
      <c r="D496" s="106"/>
      <c r="E496" s="106" t="s">
        <v>2053</v>
      </c>
      <c r="F496" s="106" t="s">
        <v>2054</v>
      </c>
      <c r="G496" s="105">
        <v>4</v>
      </c>
      <c r="H496" s="106" t="s">
        <v>7</v>
      </c>
      <c r="I496" s="105" t="s">
        <v>39</v>
      </c>
      <c r="J496" s="105"/>
      <c r="K496" s="105"/>
      <c r="L496" s="105"/>
      <c r="M496" s="106"/>
      <c r="N496" s="106" t="s">
        <v>40</v>
      </c>
      <c r="O496" s="107"/>
      <c r="P496" s="106" t="s">
        <v>2055</v>
      </c>
    </row>
    <row r="497" spans="1:16" outlineLevel="2" x14ac:dyDescent="0.3">
      <c r="A497" s="105" t="s">
        <v>2056</v>
      </c>
      <c r="B497" s="106"/>
      <c r="C497" s="106"/>
      <c r="D497" s="106"/>
      <c r="E497" s="106" t="s">
        <v>2057</v>
      </c>
      <c r="F497" s="106" t="s">
        <v>2058</v>
      </c>
      <c r="G497" s="105">
        <v>4</v>
      </c>
      <c r="H497" s="106" t="s">
        <v>7</v>
      </c>
      <c r="I497" s="105" t="s">
        <v>39</v>
      </c>
      <c r="J497" s="105"/>
      <c r="K497" s="105"/>
      <c r="L497" s="105"/>
      <c r="M497" s="106" t="s">
        <v>2059</v>
      </c>
      <c r="N497" s="106" t="s">
        <v>40</v>
      </c>
      <c r="O497" s="107"/>
      <c r="P497" s="106" t="s">
        <v>2060</v>
      </c>
    </row>
    <row r="498" spans="1:16" outlineLevel="2" x14ac:dyDescent="0.3">
      <c r="A498" s="105" t="s">
        <v>2061</v>
      </c>
      <c r="B498" s="106"/>
      <c r="C498" s="106"/>
      <c r="D498" s="106"/>
      <c r="E498" s="106" t="s">
        <v>2062</v>
      </c>
      <c r="F498" s="106" t="s">
        <v>2063</v>
      </c>
      <c r="G498" s="105">
        <v>4</v>
      </c>
      <c r="H498" s="106" t="s">
        <v>7</v>
      </c>
      <c r="I498" s="105" t="s">
        <v>39</v>
      </c>
      <c r="J498" s="105"/>
      <c r="K498" s="105"/>
      <c r="L498" s="105"/>
      <c r="M498" s="106" t="s">
        <v>2064</v>
      </c>
      <c r="N498" s="106" t="s">
        <v>40</v>
      </c>
      <c r="O498" s="107"/>
      <c r="P498" s="106" t="s">
        <v>2065</v>
      </c>
    </row>
    <row r="499" spans="1:16" outlineLevel="2" x14ac:dyDescent="0.3">
      <c r="A499" s="105" t="s">
        <v>2066</v>
      </c>
      <c r="B499" s="106"/>
      <c r="C499" s="106"/>
      <c r="D499" s="106"/>
      <c r="E499" s="106" t="s">
        <v>2067</v>
      </c>
      <c r="F499" s="106" t="s">
        <v>2068</v>
      </c>
      <c r="G499" s="105">
        <v>4</v>
      </c>
      <c r="H499" s="106" t="s">
        <v>7</v>
      </c>
      <c r="I499" s="105" t="s">
        <v>39</v>
      </c>
      <c r="J499" s="105"/>
      <c r="K499" s="105"/>
      <c r="L499" s="105"/>
      <c r="M499" s="106" t="s">
        <v>2069</v>
      </c>
      <c r="N499" s="106" t="s">
        <v>40</v>
      </c>
      <c r="O499" s="107"/>
      <c r="P499" s="106" t="s">
        <v>2070</v>
      </c>
    </row>
    <row r="500" spans="1:16" outlineLevel="2" x14ac:dyDescent="0.3">
      <c r="A500" s="105" t="s">
        <v>2071</v>
      </c>
      <c r="B500" s="106"/>
      <c r="C500" s="106"/>
      <c r="D500" s="106"/>
      <c r="E500" s="106" t="s">
        <v>2072</v>
      </c>
      <c r="F500" s="106" t="s">
        <v>2073</v>
      </c>
      <c r="G500" s="105">
        <v>4</v>
      </c>
      <c r="H500" s="106" t="s">
        <v>7</v>
      </c>
      <c r="I500" s="105" t="s">
        <v>39</v>
      </c>
      <c r="J500" s="105"/>
      <c r="K500" s="105"/>
      <c r="L500" s="105"/>
      <c r="M500" s="106" t="s">
        <v>2074</v>
      </c>
      <c r="N500" s="106" t="s">
        <v>40</v>
      </c>
      <c r="O500" s="107"/>
      <c r="P500" s="106" t="s">
        <v>2075</v>
      </c>
    </row>
    <row r="501" spans="1:16" ht="27.6" outlineLevel="1" x14ac:dyDescent="0.3">
      <c r="A501" s="139" t="s">
        <v>2076</v>
      </c>
      <c r="B501" s="140"/>
      <c r="C501" s="141" t="s">
        <v>2077</v>
      </c>
      <c r="D501" s="140"/>
      <c r="E501" s="140"/>
      <c r="F501" s="140"/>
      <c r="G501" s="139">
        <v>2</v>
      </c>
      <c r="H501" s="140" t="s">
        <v>25</v>
      </c>
      <c r="I501" s="139" t="s">
        <v>39</v>
      </c>
      <c r="J501" s="139">
        <v>13</v>
      </c>
      <c r="K501" s="139">
        <v>0</v>
      </c>
      <c r="L501" s="139">
        <v>12</v>
      </c>
      <c r="M501" s="142" t="s">
        <v>2078</v>
      </c>
      <c r="N501" s="142" t="s">
        <v>223</v>
      </c>
      <c r="O501" s="143"/>
      <c r="P501" s="142" t="s">
        <v>2079</v>
      </c>
    </row>
    <row r="502" spans="1:16" outlineLevel="2" x14ac:dyDescent="0.3">
      <c r="A502" s="105" t="s">
        <v>2080</v>
      </c>
      <c r="B502" s="106"/>
      <c r="C502" s="106"/>
      <c r="D502" s="106"/>
      <c r="E502" s="106" t="s">
        <v>2081</v>
      </c>
      <c r="F502" s="106" t="s">
        <v>2082</v>
      </c>
      <c r="G502" s="105">
        <v>4</v>
      </c>
      <c r="H502" s="106" t="s">
        <v>7</v>
      </c>
      <c r="I502" s="105" t="s">
        <v>39</v>
      </c>
      <c r="J502" s="105"/>
      <c r="K502" s="105"/>
      <c r="L502" s="105"/>
      <c r="M502" s="106" t="s">
        <v>2083</v>
      </c>
      <c r="N502" s="106" t="s">
        <v>40</v>
      </c>
      <c r="O502" s="107"/>
      <c r="P502" s="106" t="s">
        <v>2084</v>
      </c>
    </row>
    <row r="503" spans="1:16" outlineLevel="2" x14ac:dyDescent="0.3">
      <c r="A503" s="105" t="s">
        <v>2085</v>
      </c>
      <c r="B503" s="106"/>
      <c r="C503" s="106"/>
      <c r="D503" s="106"/>
      <c r="E503" s="106" t="s">
        <v>884</v>
      </c>
      <c r="F503" s="106" t="s">
        <v>885</v>
      </c>
      <c r="G503" s="105">
        <v>4</v>
      </c>
      <c r="H503" s="106" t="s">
        <v>7</v>
      </c>
      <c r="I503" s="105" t="s">
        <v>39</v>
      </c>
      <c r="J503" s="105"/>
      <c r="K503" s="105"/>
      <c r="L503" s="105"/>
      <c r="M503" s="106" t="s">
        <v>886</v>
      </c>
      <c r="N503" s="106" t="s">
        <v>223</v>
      </c>
      <c r="O503" s="107"/>
      <c r="P503" s="106" t="s">
        <v>887</v>
      </c>
    </row>
    <row r="504" spans="1:16" outlineLevel="2" x14ac:dyDescent="0.3">
      <c r="A504" s="105" t="s">
        <v>2086</v>
      </c>
      <c r="B504" s="106"/>
      <c r="C504" s="106"/>
      <c r="D504" s="106"/>
      <c r="E504" s="106" t="s">
        <v>2087</v>
      </c>
      <c r="F504" s="106" t="s">
        <v>2088</v>
      </c>
      <c r="G504" s="105">
        <v>4</v>
      </c>
      <c r="H504" s="106" t="s">
        <v>7</v>
      </c>
      <c r="I504" s="105" t="s">
        <v>39</v>
      </c>
      <c r="J504" s="105"/>
      <c r="K504" s="105"/>
      <c r="L504" s="105"/>
      <c r="M504" s="106" t="s">
        <v>2089</v>
      </c>
      <c r="N504" s="106" t="s">
        <v>223</v>
      </c>
      <c r="O504" s="107"/>
      <c r="P504" s="106" t="s">
        <v>2090</v>
      </c>
    </row>
    <row r="505" spans="1:16" outlineLevel="2" x14ac:dyDescent="0.3">
      <c r="A505" s="105" t="s">
        <v>2091</v>
      </c>
      <c r="B505" s="106"/>
      <c r="C505" s="106"/>
      <c r="D505" s="106"/>
      <c r="E505" s="106" t="s">
        <v>889</v>
      </c>
      <c r="F505" s="106" t="s">
        <v>890</v>
      </c>
      <c r="G505" s="105">
        <v>4</v>
      </c>
      <c r="H505" s="106" t="s">
        <v>7</v>
      </c>
      <c r="I505" s="105" t="s">
        <v>39</v>
      </c>
      <c r="J505" s="105"/>
      <c r="K505" s="105"/>
      <c r="L505" s="105"/>
      <c r="M505" s="106" t="s">
        <v>891</v>
      </c>
      <c r="N505" s="106" t="s">
        <v>40</v>
      </c>
      <c r="O505" s="107"/>
      <c r="P505" s="106" t="s">
        <v>892</v>
      </c>
    </row>
    <row r="506" spans="1:16" outlineLevel="2" x14ac:dyDescent="0.3">
      <c r="A506" s="105" t="s">
        <v>2092</v>
      </c>
      <c r="B506" s="106"/>
      <c r="C506" s="106"/>
      <c r="D506" s="106"/>
      <c r="E506" s="106" t="s">
        <v>2093</v>
      </c>
      <c r="F506" s="106" t="s">
        <v>2094</v>
      </c>
      <c r="G506" s="105">
        <v>4</v>
      </c>
      <c r="H506" s="106" t="s">
        <v>7</v>
      </c>
      <c r="I506" s="105" t="s">
        <v>39</v>
      </c>
      <c r="J506" s="105"/>
      <c r="K506" s="105"/>
      <c r="L506" s="105"/>
      <c r="M506" s="106" t="s">
        <v>2095</v>
      </c>
      <c r="N506" s="106" t="s">
        <v>40</v>
      </c>
      <c r="O506" s="107"/>
      <c r="P506" s="106" t="s">
        <v>2096</v>
      </c>
    </row>
    <row r="507" spans="1:16" outlineLevel="2" x14ac:dyDescent="0.3">
      <c r="A507" s="105" t="s">
        <v>2097</v>
      </c>
      <c r="B507" s="106"/>
      <c r="C507" s="106"/>
      <c r="D507" s="106"/>
      <c r="E507" s="106" t="s">
        <v>2098</v>
      </c>
      <c r="F507" s="106" t="s">
        <v>2099</v>
      </c>
      <c r="G507" s="105">
        <v>4</v>
      </c>
      <c r="H507" s="106" t="s">
        <v>7</v>
      </c>
      <c r="I507" s="105" t="s">
        <v>39</v>
      </c>
      <c r="J507" s="105"/>
      <c r="K507" s="105"/>
      <c r="L507" s="105"/>
      <c r="M507" s="106" t="s">
        <v>2100</v>
      </c>
      <c r="N507" s="106" t="s">
        <v>40</v>
      </c>
      <c r="O507" s="107"/>
      <c r="P507" s="106" t="s">
        <v>2101</v>
      </c>
    </row>
    <row r="508" spans="1:16" outlineLevel="2" x14ac:dyDescent="0.3">
      <c r="A508" s="105" t="s">
        <v>2102</v>
      </c>
      <c r="B508" s="106"/>
      <c r="C508" s="106"/>
      <c r="D508" s="106"/>
      <c r="E508" s="106" t="s">
        <v>2103</v>
      </c>
      <c r="F508" s="106" t="s">
        <v>2104</v>
      </c>
      <c r="G508" s="105">
        <v>4</v>
      </c>
      <c r="H508" s="106" t="s">
        <v>7</v>
      </c>
      <c r="I508" s="105" t="s">
        <v>39</v>
      </c>
      <c r="J508" s="105"/>
      <c r="K508" s="105"/>
      <c r="L508" s="105"/>
      <c r="M508" s="106" t="s">
        <v>2105</v>
      </c>
      <c r="N508" s="106" t="s">
        <v>40</v>
      </c>
      <c r="O508" s="107"/>
      <c r="P508" s="106" t="s">
        <v>2106</v>
      </c>
    </row>
    <row r="509" spans="1:16" outlineLevel="2" x14ac:dyDescent="0.3">
      <c r="A509" s="105" t="s">
        <v>2107</v>
      </c>
      <c r="B509" s="106"/>
      <c r="C509" s="106"/>
      <c r="D509" s="106"/>
      <c r="E509" s="106" t="s">
        <v>2108</v>
      </c>
      <c r="F509" s="106" t="s">
        <v>2109</v>
      </c>
      <c r="G509" s="105">
        <v>4</v>
      </c>
      <c r="H509" s="106" t="s">
        <v>7</v>
      </c>
      <c r="I509" s="105" t="s">
        <v>39</v>
      </c>
      <c r="J509" s="105"/>
      <c r="K509" s="105"/>
      <c r="L509" s="105"/>
      <c r="M509" s="106" t="s">
        <v>2110</v>
      </c>
      <c r="N509" s="106" t="s">
        <v>40</v>
      </c>
      <c r="O509" s="107"/>
      <c r="P509" s="106" t="s">
        <v>2111</v>
      </c>
    </row>
    <row r="510" spans="1:16" outlineLevel="2" x14ac:dyDescent="0.3">
      <c r="A510" s="105" t="s">
        <v>2112</v>
      </c>
      <c r="B510" s="106"/>
      <c r="C510" s="106"/>
      <c r="D510" s="106"/>
      <c r="E510" s="106" t="s">
        <v>2113</v>
      </c>
      <c r="F510" s="106" t="s">
        <v>2114</v>
      </c>
      <c r="G510" s="105">
        <v>4</v>
      </c>
      <c r="H510" s="106" t="s">
        <v>7</v>
      </c>
      <c r="I510" s="105" t="s">
        <v>39</v>
      </c>
      <c r="J510" s="105"/>
      <c r="K510" s="105"/>
      <c r="L510" s="105"/>
      <c r="M510" s="106"/>
      <c r="N510" s="106" t="s">
        <v>287</v>
      </c>
      <c r="O510" s="107"/>
      <c r="P510" s="106" t="s">
        <v>2115</v>
      </c>
    </row>
    <row r="511" spans="1:16" outlineLevel="2" x14ac:dyDescent="0.3">
      <c r="A511" s="105" t="s">
        <v>2116</v>
      </c>
      <c r="B511" s="106"/>
      <c r="C511" s="106"/>
      <c r="D511" s="106"/>
      <c r="E511" s="106" t="s">
        <v>2117</v>
      </c>
      <c r="F511" s="106" t="s">
        <v>2118</v>
      </c>
      <c r="G511" s="105">
        <v>4</v>
      </c>
      <c r="H511" s="106" t="s">
        <v>7</v>
      </c>
      <c r="I511" s="105" t="s">
        <v>39</v>
      </c>
      <c r="J511" s="105"/>
      <c r="K511" s="105"/>
      <c r="L511" s="105"/>
      <c r="M511" s="106" t="s">
        <v>2119</v>
      </c>
      <c r="N511" s="106" t="s">
        <v>40</v>
      </c>
      <c r="O511" s="107"/>
      <c r="P511" s="106" t="s">
        <v>2120</v>
      </c>
    </row>
    <row r="512" spans="1:16" outlineLevel="2" x14ac:dyDescent="0.3">
      <c r="A512" s="105" t="s">
        <v>2121</v>
      </c>
      <c r="B512" s="106"/>
      <c r="C512" s="106"/>
      <c r="D512" s="106"/>
      <c r="E512" s="106" t="s">
        <v>2122</v>
      </c>
      <c r="F512" s="106" t="s">
        <v>2123</v>
      </c>
      <c r="G512" s="105">
        <v>4</v>
      </c>
      <c r="H512" s="106" t="s">
        <v>7</v>
      </c>
      <c r="I512" s="105" t="s">
        <v>39</v>
      </c>
      <c r="J512" s="105"/>
      <c r="K512" s="105"/>
      <c r="L512" s="105"/>
      <c r="M512" s="106" t="s">
        <v>2124</v>
      </c>
      <c r="N512" s="106" t="s">
        <v>40</v>
      </c>
      <c r="O512" s="107"/>
      <c r="P512" s="106" t="s">
        <v>2125</v>
      </c>
    </row>
    <row r="513" spans="1:16" outlineLevel="2" x14ac:dyDescent="0.3">
      <c r="A513" s="105" t="s">
        <v>2126</v>
      </c>
      <c r="B513" s="106"/>
      <c r="C513" s="106"/>
      <c r="D513" s="106"/>
      <c r="E513" s="106" t="s">
        <v>924</v>
      </c>
      <c r="F513" s="106" t="s">
        <v>925</v>
      </c>
      <c r="G513" s="105">
        <v>4</v>
      </c>
      <c r="H513" s="106" t="s">
        <v>7</v>
      </c>
      <c r="I513" s="105" t="s">
        <v>39</v>
      </c>
      <c r="J513" s="105"/>
      <c r="K513" s="105"/>
      <c r="L513" s="105"/>
      <c r="M513" s="106" t="s">
        <v>926</v>
      </c>
      <c r="N513" s="106" t="s">
        <v>40</v>
      </c>
      <c r="O513" s="107"/>
      <c r="P513" s="106" t="s">
        <v>927</v>
      </c>
    </row>
    <row r="514" spans="1:16" outlineLevel="2" x14ac:dyDescent="0.3">
      <c r="A514" s="105" t="s">
        <v>2127</v>
      </c>
      <c r="B514" s="106"/>
      <c r="C514" s="106"/>
      <c r="D514" s="106"/>
      <c r="E514" s="106" t="s">
        <v>2128</v>
      </c>
      <c r="F514" s="106" t="s">
        <v>2129</v>
      </c>
      <c r="G514" s="105">
        <v>4</v>
      </c>
      <c r="H514" s="106" t="s">
        <v>7</v>
      </c>
      <c r="I514" s="105" t="s">
        <v>39</v>
      </c>
      <c r="J514" s="105"/>
      <c r="K514" s="105"/>
      <c r="L514" s="105"/>
      <c r="M514" s="106" t="s">
        <v>2130</v>
      </c>
      <c r="N514" s="106" t="s">
        <v>40</v>
      </c>
      <c r="O514" s="107"/>
      <c r="P514" s="106" t="s">
        <v>2131</v>
      </c>
    </row>
    <row r="515" spans="1:16" ht="27.6" outlineLevel="1" x14ac:dyDescent="0.3">
      <c r="A515" s="139" t="s">
        <v>2132</v>
      </c>
      <c r="B515" s="140"/>
      <c r="C515" s="141" t="s">
        <v>2133</v>
      </c>
      <c r="D515" s="140"/>
      <c r="E515" s="140"/>
      <c r="F515" s="140"/>
      <c r="G515" s="139">
        <v>2</v>
      </c>
      <c r="H515" s="140" t="s">
        <v>25</v>
      </c>
      <c r="I515" s="139" t="s">
        <v>39</v>
      </c>
      <c r="J515" s="139">
        <v>11</v>
      </c>
      <c r="K515" s="139">
        <v>0</v>
      </c>
      <c r="L515" s="139">
        <v>8</v>
      </c>
      <c r="M515" s="142" t="s">
        <v>2134</v>
      </c>
      <c r="N515" s="142" t="s">
        <v>223</v>
      </c>
      <c r="O515" s="143"/>
      <c r="P515" s="142" t="s">
        <v>2135</v>
      </c>
    </row>
    <row r="516" spans="1:16" outlineLevel="2" x14ac:dyDescent="0.3">
      <c r="A516" s="105" t="s">
        <v>2136</v>
      </c>
      <c r="B516" s="106"/>
      <c r="C516" s="106"/>
      <c r="D516" s="106"/>
      <c r="E516" s="106" t="s">
        <v>2137</v>
      </c>
      <c r="F516" s="106" t="s">
        <v>2138</v>
      </c>
      <c r="G516" s="105">
        <v>4</v>
      </c>
      <c r="H516" s="106" t="s">
        <v>7</v>
      </c>
      <c r="I516" s="105" t="s">
        <v>39</v>
      </c>
      <c r="J516" s="105"/>
      <c r="K516" s="105"/>
      <c r="L516" s="105"/>
      <c r="M516" s="106" t="s">
        <v>2139</v>
      </c>
      <c r="N516" s="106" t="s">
        <v>40</v>
      </c>
      <c r="O516" s="107"/>
      <c r="P516" s="106" t="s">
        <v>2140</v>
      </c>
    </row>
    <row r="517" spans="1:16" outlineLevel="2" x14ac:dyDescent="0.3">
      <c r="A517" s="105" t="s">
        <v>2141</v>
      </c>
      <c r="B517" s="106"/>
      <c r="C517" s="106"/>
      <c r="D517" s="106"/>
      <c r="E517" s="106" t="s">
        <v>2142</v>
      </c>
      <c r="F517" s="106" t="s">
        <v>2143</v>
      </c>
      <c r="G517" s="105">
        <v>4</v>
      </c>
      <c r="H517" s="106" t="s">
        <v>7</v>
      </c>
      <c r="I517" s="105" t="s">
        <v>39</v>
      </c>
      <c r="J517" s="105"/>
      <c r="K517" s="105"/>
      <c r="L517" s="105"/>
      <c r="M517" s="106" t="s">
        <v>2144</v>
      </c>
      <c r="N517" s="106" t="s">
        <v>40</v>
      </c>
      <c r="O517" s="107"/>
      <c r="P517" s="106" t="s">
        <v>2145</v>
      </c>
    </row>
    <row r="518" spans="1:16" outlineLevel="2" x14ac:dyDescent="0.3">
      <c r="A518" s="105" t="s">
        <v>2146</v>
      </c>
      <c r="B518" s="106"/>
      <c r="C518" s="106"/>
      <c r="D518" s="106"/>
      <c r="E518" s="106" t="s">
        <v>2147</v>
      </c>
      <c r="F518" s="106" t="s">
        <v>2148</v>
      </c>
      <c r="G518" s="105">
        <v>4</v>
      </c>
      <c r="H518" s="106" t="s">
        <v>7</v>
      </c>
      <c r="I518" s="105" t="s">
        <v>39</v>
      </c>
      <c r="J518" s="105"/>
      <c r="K518" s="105"/>
      <c r="L518" s="105"/>
      <c r="M518" s="106" t="s">
        <v>2149</v>
      </c>
      <c r="N518" s="106" t="s">
        <v>40</v>
      </c>
      <c r="O518" s="107"/>
      <c r="P518" s="106" t="s">
        <v>2150</v>
      </c>
    </row>
    <row r="519" spans="1:16" outlineLevel="2" x14ac:dyDescent="0.3">
      <c r="A519" s="105" t="s">
        <v>2151</v>
      </c>
      <c r="B519" s="106"/>
      <c r="C519" s="106"/>
      <c r="D519" s="106"/>
      <c r="E519" s="106" t="s">
        <v>2152</v>
      </c>
      <c r="F519" s="106" t="s">
        <v>2153</v>
      </c>
      <c r="G519" s="105">
        <v>4</v>
      </c>
      <c r="H519" s="106" t="s">
        <v>7</v>
      </c>
      <c r="I519" s="105" t="s">
        <v>39</v>
      </c>
      <c r="J519" s="105"/>
      <c r="K519" s="105"/>
      <c r="L519" s="105"/>
      <c r="M519" s="106"/>
      <c r="N519" s="106" t="s">
        <v>287</v>
      </c>
      <c r="O519" s="107"/>
      <c r="P519" s="106"/>
    </row>
    <row r="520" spans="1:16" outlineLevel="2" x14ac:dyDescent="0.3">
      <c r="A520" s="105" t="s">
        <v>2154</v>
      </c>
      <c r="B520" s="106"/>
      <c r="C520" s="106"/>
      <c r="D520" s="106"/>
      <c r="E520" s="106" t="s">
        <v>2018</v>
      </c>
      <c r="F520" s="106" t="s">
        <v>2155</v>
      </c>
      <c r="G520" s="105">
        <v>4</v>
      </c>
      <c r="H520" s="106" t="s">
        <v>7</v>
      </c>
      <c r="I520" s="105" t="s">
        <v>39</v>
      </c>
      <c r="J520" s="105"/>
      <c r="K520" s="105"/>
      <c r="L520" s="105"/>
      <c r="M520" s="106" t="s">
        <v>2156</v>
      </c>
      <c r="N520" s="106" t="s">
        <v>40</v>
      </c>
      <c r="O520" s="107"/>
      <c r="P520" s="106" t="s">
        <v>2157</v>
      </c>
    </row>
    <row r="521" spans="1:16" outlineLevel="2" x14ac:dyDescent="0.3">
      <c r="A521" s="105" t="s">
        <v>2158</v>
      </c>
      <c r="B521" s="106"/>
      <c r="C521" s="106"/>
      <c r="D521" s="106"/>
      <c r="E521" s="106" t="s">
        <v>2159</v>
      </c>
      <c r="F521" s="106" t="s">
        <v>2160</v>
      </c>
      <c r="G521" s="105">
        <v>4</v>
      </c>
      <c r="H521" s="106" t="s">
        <v>7</v>
      </c>
      <c r="I521" s="105" t="s">
        <v>39</v>
      </c>
      <c r="J521" s="105"/>
      <c r="K521" s="105"/>
      <c r="L521" s="105"/>
      <c r="M521" s="106"/>
      <c r="N521" s="106" t="s">
        <v>287</v>
      </c>
      <c r="O521" s="107"/>
      <c r="P521" s="106"/>
    </row>
    <row r="522" spans="1:16" outlineLevel="2" x14ac:dyDescent="0.3">
      <c r="A522" s="105" t="s">
        <v>2161</v>
      </c>
      <c r="B522" s="106"/>
      <c r="C522" s="106"/>
      <c r="D522" s="106"/>
      <c r="E522" s="106" t="s">
        <v>2162</v>
      </c>
      <c r="F522" s="106" t="s">
        <v>2163</v>
      </c>
      <c r="G522" s="105">
        <v>4</v>
      </c>
      <c r="H522" s="106" t="s">
        <v>7</v>
      </c>
      <c r="I522" s="105" t="s">
        <v>39</v>
      </c>
      <c r="J522" s="105"/>
      <c r="K522" s="105"/>
      <c r="L522" s="105"/>
      <c r="M522" s="106" t="s">
        <v>2164</v>
      </c>
      <c r="N522" s="106" t="s">
        <v>40</v>
      </c>
      <c r="O522" s="107"/>
      <c r="P522" s="106" t="s">
        <v>2165</v>
      </c>
    </row>
    <row r="523" spans="1:16" outlineLevel="2" x14ac:dyDescent="0.3">
      <c r="A523" s="105" t="s">
        <v>2166</v>
      </c>
      <c r="B523" s="106"/>
      <c r="C523" s="106"/>
      <c r="D523" s="106"/>
      <c r="E523" s="106" t="s">
        <v>2167</v>
      </c>
      <c r="F523" s="106" t="s">
        <v>2168</v>
      </c>
      <c r="G523" s="105">
        <v>4</v>
      </c>
      <c r="H523" s="106" t="s">
        <v>7</v>
      </c>
      <c r="I523" s="105" t="s">
        <v>39</v>
      </c>
      <c r="J523" s="105"/>
      <c r="K523" s="105"/>
      <c r="L523" s="105"/>
      <c r="M523" s="106" t="s">
        <v>2169</v>
      </c>
      <c r="N523" s="106" t="s">
        <v>40</v>
      </c>
      <c r="O523" s="107"/>
      <c r="P523" s="106" t="s">
        <v>2170</v>
      </c>
    </row>
    <row r="524" spans="1:16" outlineLevel="2" x14ac:dyDescent="0.3">
      <c r="A524" s="105" t="s">
        <v>2171</v>
      </c>
      <c r="B524" s="106"/>
      <c r="C524" s="106"/>
      <c r="D524" s="106"/>
      <c r="E524" s="106" t="s">
        <v>2172</v>
      </c>
      <c r="F524" s="106" t="s">
        <v>2173</v>
      </c>
      <c r="G524" s="105">
        <v>4</v>
      </c>
      <c r="H524" s="106" t="s">
        <v>7</v>
      </c>
      <c r="I524" s="105" t="s">
        <v>39</v>
      </c>
      <c r="J524" s="105"/>
      <c r="K524" s="105"/>
      <c r="L524" s="105"/>
      <c r="M524" s="106" t="s">
        <v>2174</v>
      </c>
      <c r="N524" s="106" t="s">
        <v>223</v>
      </c>
      <c r="O524" s="107"/>
      <c r="P524" s="106" t="s">
        <v>2175</v>
      </c>
    </row>
    <row r="525" spans="1:16" outlineLevel="2" x14ac:dyDescent="0.3">
      <c r="A525" s="105" t="s">
        <v>2176</v>
      </c>
      <c r="B525" s="106"/>
      <c r="C525" s="106"/>
      <c r="D525" s="106"/>
      <c r="E525" s="106" t="s">
        <v>2177</v>
      </c>
      <c r="F525" s="106" t="s">
        <v>2178</v>
      </c>
      <c r="G525" s="105">
        <v>4</v>
      </c>
      <c r="H525" s="106" t="s">
        <v>7</v>
      </c>
      <c r="I525" s="105" t="s">
        <v>39</v>
      </c>
      <c r="J525" s="105"/>
      <c r="K525" s="105"/>
      <c r="L525" s="105"/>
      <c r="M525" s="106" t="s">
        <v>2179</v>
      </c>
      <c r="N525" s="106" t="s">
        <v>40</v>
      </c>
      <c r="O525" s="107"/>
      <c r="P525" s="106" t="s">
        <v>2180</v>
      </c>
    </row>
    <row r="526" spans="1:16" outlineLevel="2" x14ac:dyDescent="0.3">
      <c r="A526" s="105" t="s">
        <v>2181</v>
      </c>
      <c r="B526" s="106"/>
      <c r="C526" s="106"/>
      <c r="D526" s="106"/>
      <c r="E526" s="106" t="s">
        <v>2182</v>
      </c>
      <c r="F526" s="106" t="s">
        <v>2183</v>
      </c>
      <c r="G526" s="105">
        <v>4</v>
      </c>
      <c r="H526" s="106" t="s">
        <v>7</v>
      </c>
      <c r="I526" s="105" t="s">
        <v>39</v>
      </c>
      <c r="J526" s="105"/>
      <c r="K526" s="105"/>
      <c r="L526" s="105"/>
      <c r="M526" s="106"/>
      <c r="N526" s="106" t="s">
        <v>287</v>
      </c>
      <c r="O526" s="107"/>
      <c r="P526" s="106"/>
    </row>
    <row r="527" spans="1:16" x14ac:dyDescent="0.3">
      <c r="A527" s="144" t="s">
        <v>2184</v>
      </c>
      <c r="B527" s="145" t="s">
        <v>2185</v>
      </c>
      <c r="C527" s="146" t="str">
        <f>COUNTIFS($G528:$G794,2)&amp;" subcapas"</f>
        <v>5 subcapas</v>
      </c>
      <c r="D527" s="145"/>
      <c r="E527" s="145"/>
      <c r="F527" s="145"/>
      <c r="G527" s="144">
        <v>1</v>
      </c>
      <c r="H527" s="145" t="s">
        <v>2</v>
      </c>
      <c r="I527" s="144"/>
      <c r="J527" s="147">
        <f>SUMIFS(J528:J794,$G528:$G794,2)</f>
        <v>247</v>
      </c>
      <c r="K527" s="147">
        <f>SUMIFS(K528:K794,$G528:$G794,2)</f>
        <v>0</v>
      </c>
      <c r="L527" s="147">
        <f>SUMIFS(L528:L794,$G528:$G794,2)</f>
        <v>152</v>
      </c>
      <c r="M527" s="148" t="s">
        <v>2186</v>
      </c>
      <c r="N527" s="145"/>
      <c r="O527" s="145"/>
      <c r="P527" s="145" t="s">
        <v>2187</v>
      </c>
    </row>
    <row r="528" spans="1:16" outlineLevel="1" x14ac:dyDescent="0.3">
      <c r="A528" s="149" t="s">
        <v>2188</v>
      </c>
      <c r="B528" s="150"/>
      <c r="C528" s="151" t="s">
        <v>2189</v>
      </c>
      <c r="D528" s="150"/>
      <c r="E528" s="150"/>
      <c r="F528" s="150"/>
      <c r="G528" s="149">
        <v>2</v>
      </c>
      <c r="H528" s="150" t="s">
        <v>25</v>
      </c>
      <c r="I528" s="149" t="s">
        <v>39</v>
      </c>
      <c r="J528" s="149">
        <v>150</v>
      </c>
      <c r="K528" s="149">
        <v>0</v>
      </c>
      <c r="L528" s="149">
        <v>93</v>
      </c>
      <c r="M528" s="152"/>
      <c r="N528" s="152"/>
      <c r="O528" s="153"/>
      <c r="P528" s="152"/>
    </row>
    <row r="529" spans="1:16" ht="27.6" outlineLevel="2" x14ac:dyDescent="0.3">
      <c r="A529" s="154" t="s">
        <v>2190</v>
      </c>
      <c r="B529" s="155"/>
      <c r="C529" s="155"/>
      <c r="D529" s="155" t="s">
        <v>2191</v>
      </c>
      <c r="E529" s="155"/>
      <c r="F529" s="155"/>
      <c r="G529" s="154">
        <v>3</v>
      </c>
      <c r="H529" s="155" t="s">
        <v>25</v>
      </c>
      <c r="I529" s="154" t="s">
        <v>39</v>
      </c>
      <c r="J529" s="154">
        <v>5</v>
      </c>
      <c r="K529" s="154">
        <v>0</v>
      </c>
      <c r="L529" s="154">
        <v>4</v>
      </c>
      <c r="M529" s="156" t="s">
        <v>2192</v>
      </c>
      <c r="N529" s="156" t="s">
        <v>2193</v>
      </c>
      <c r="O529" s="157"/>
      <c r="P529" s="156" t="s">
        <v>2194</v>
      </c>
    </row>
    <row r="530" spans="1:16" outlineLevel="3" x14ac:dyDescent="0.3">
      <c r="A530" s="105" t="s">
        <v>2195</v>
      </c>
      <c r="B530" s="106"/>
      <c r="C530" s="106"/>
      <c r="D530" s="106"/>
      <c r="E530" s="106" t="s">
        <v>2196</v>
      </c>
      <c r="F530" s="106" t="s">
        <v>2197</v>
      </c>
      <c r="G530" s="105">
        <v>4</v>
      </c>
      <c r="H530" s="106" t="s">
        <v>7</v>
      </c>
      <c r="I530" s="105" t="s">
        <v>39</v>
      </c>
      <c r="J530" s="105"/>
      <c r="K530" s="105"/>
      <c r="L530" s="105"/>
      <c r="M530" s="106" t="s">
        <v>2198</v>
      </c>
      <c r="N530" s="106" t="s">
        <v>2193</v>
      </c>
      <c r="O530" s="107"/>
      <c r="P530" s="106" t="s">
        <v>2199</v>
      </c>
    </row>
    <row r="531" spans="1:16" outlineLevel="3" x14ac:dyDescent="0.3">
      <c r="A531" s="105" t="s">
        <v>2200</v>
      </c>
      <c r="B531" s="106"/>
      <c r="C531" s="106"/>
      <c r="D531" s="106"/>
      <c r="E531" s="106" t="s">
        <v>2201</v>
      </c>
      <c r="F531" s="106" t="s">
        <v>2202</v>
      </c>
      <c r="G531" s="105">
        <v>4</v>
      </c>
      <c r="H531" s="106" t="s">
        <v>7</v>
      </c>
      <c r="I531" s="105" t="s">
        <v>39</v>
      </c>
      <c r="J531" s="105"/>
      <c r="K531" s="105"/>
      <c r="L531" s="105"/>
      <c r="M531" s="106" t="s">
        <v>2203</v>
      </c>
      <c r="N531" s="106" t="s">
        <v>2193</v>
      </c>
      <c r="O531" s="107"/>
      <c r="P531" s="106" t="s">
        <v>2204</v>
      </c>
    </row>
    <row r="532" spans="1:16" outlineLevel="3" x14ac:dyDescent="0.3">
      <c r="A532" s="105" t="s">
        <v>2205</v>
      </c>
      <c r="B532" s="106"/>
      <c r="C532" s="106"/>
      <c r="D532" s="106"/>
      <c r="E532" s="106" t="s">
        <v>2206</v>
      </c>
      <c r="F532" s="106" t="s">
        <v>2207</v>
      </c>
      <c r="G532" s="105">
        <v>4</v>
      </c>
      <c r="H532" s="106" t="s">
        <v>7</v>
      </c>
      <c r="I532" s="105" t="s">
        <v>39</v>
      </c>
      <c r="J532" s="105"/>
      <c r="K532" s="105"/>
      <c r="L532" s="105"/>
      <c r="M532" s="106" t="s">
        <v>2208</v>
      </c>
      <c r="N532" s="106" t="s">
        <v>513</v>
      </c>
      <c r="O532" s="107"/>
      <c r="P532" s="106"/>
    </row>
    <row r="533" spans="1:16" outlineLevel="3" x14ac:dyDescent="0.3">
      <c r="A533" s="105" t="s">
        <v>2209</v>
      </c>
      <c r="B533" s="106"/>
      <c r="C533" s="106"/>
      <c r="D533" s="106"/>
      <c r="E533" s="106" t="s">
        <v>2210</v>
      </c>
      <c r="F533" s="106" t="s">
        <v>1305</v>
      </c>
      <c r="G533" s="105">
        <v>4</v>
      </c>
      <c r="H533" s="106" t="s">
        <v>7</v>
      </c>
      <c r="I533" s="105" t="s">
        <v>39</v>
      </c>
      <c r="J533" s="105"/>
      <c r="K533" s="105"/>
      <c r="L533" s="105"/>
      <c r="M533" s="106" t="s">
        <v>2211</v>
      </c>
      <c r="N533" s="106" t="s">
        <v>223</v>
      </c>
      <c r="O533" s="107"/>
      <c r="P533" s="106" t="s">
        <v>2212</v>
      </c>
    </row>
    <row r="534" spans="1:16" outlineLevel="3" x14ac:dyDescent="0.3">
      <c r="A534" s="105" t="s">
        <v>2213</v>
      </c>
      <c r="B534" s="106"/>
      <c r="C534" s="106"/>
      <c r="D534" s="106"/>
      <c r="E534" s="106" t="s">
        <v>2214</v>
      </c>
      <c r="F534" s="106" t="s">
        <v>2215</v>
      </c>
      <c r="G534" s="105">
        <v>4</v>
      </c>
      <c r="H534" s="106" t="s">
        <v>7</v>
      </c>
      <c r="I534" s="105" t="s">
        <v>39</v>
      </c>
      <c r="J534" s="105"/>
      <c r="K534" s="105"/>
      <c r="L534" s="105"/>
      <c r="M534" s="106" t="s">
        <v>2216</v>
      </c>
      <c r="N534" s="106" t="s">
        <v>2193</v>
      </c>
      <c r="O534" s="107"/>
      <c r="P534" s="106" t="s">
        <v>2217</v>
      </c>
    </row>
    <row r="535" spans="1:16" ht="27.6" outlineLevel="2" x14ac:dyDescent="0.3">
      <c r="A535" s="154" t="s">
        <v>2218</v>
      </c>
      <c r="B535" s="155"/>
      <c r="C535" s="155"/>
      <c r="D535" s="155" t="s">
        <v>2219</v>
      </c>
      <c r="E535" s="155"/>
      <c r="F535" s="155"/>
      <c r="G535" s="154">
        <v>3</v>
      </c>
      <c r="H535" s="155" t="s">
        <v>25</v>
      </c>
      <c r="I535" s="154" t="s">
        <v>39</v>
      </c>
      <c r="J535" s="154">
        <v>11</v>
      </c>
      <c r="K535" s="154">
        <v>0</v>
      </c>
      <c r="L535" s="154">
        <v>8</v>
      </c>
      <c r="M535" s="156" t="s">
        <v>2220</v>
      </c>
      <c r="N535" s="156" t="s">
        <v>2193</v>
      </c>
      <c r="O535" s="157"/>
      <c r="P535" s="156" t="s">
        <v>2221</v>
      </c>
    </row>
    <row r="536" spans="1:16" outlineLevel="3" x14ac:dyDescent="0.3">
      <c r="A536" s="105" t="s">
        <v>2222</v>
      </c>
      <c r="B536" s="106"/>
      <c r="C536" s="106"/>
      <c r="D536" s="106"/>
      <c r="E536" s="106" t="s">
        <v>2223</v>
      </c>
      <c r="F536" s="106" t="s">
        <v>2224</v>
      </c>
      <c r="G536" s="105">
        <v>4</v>
      </c>
      <c r="H536" s="106" t="s">
        <v>7</v>
      </c>
      <c r="I536" s="105" t="s">
        <v>39</v>
      </c>
      <c r="J536" s="105"/>
      <c r="K536" s="105"/>
      <c r="L536" s="105"/>
      <c r="M536" s="106" t="s">
        <v>2225</v>
      </c>
      <c r="N536" s="106" t="s">
        <v>2193</v>
      </c>
      <c r="O536" s="107"/>
      <c r="P536" s="106" t="s">
        <v>2226</v>
      </c>
    </row>
    <row r="537" spans="1:16" outlineLevel="3" x14ac:dyDescent="0.3">
      <c r="A537" s="105" t="s">
        <v>2227</v>
      </c>
      <c r="B537" s="106"/>
      <c r="C537" s="106"/>
      <c r="D537" s="106"/>
      <c r="E537" s="106" t="s">
        <v>2228</v>
      </c>
      <c r="F537" s="106" t="s">
        <v>2229</v>
      </c>
      <c r="G537" s="105">
        <v>4</v>
      </c>
      <c r="H537" s="106" t="s">
        <v>7</v>
      </c>
      <c r="I537" s="105" t="s">
        <v>39</v>
      </c>
      <c r="J537" s="105"/>
      <c r="K537" s="105"/>
      <c r="L537" s="105"/>
      <c r="M537" s="106" t="s">
        <v>2230</v>
      </c>
      <c r="N537" s="106" t="s">
        <v>223</v>
      </c>
      <c r="O537" s="107"/>
      <c r="P537" s="106" t="s">
        <v>2231</v>
      </c>
    </row>
    <row r="538" spans="1:16" outlineLevel="3" x14ac:dyDescent="0.3">
      <c r="A538" s="105" t="s">
        <v>2232</v>
      </c>
      <c r="B538" s="106"/>
      <c r="C538" s="106"/>
      <c r="D538" s="106"/>
      <c r="E538" s="106" t="s">
        <v>2233</v>
      </c>
      <c r="F538" s="106" t="s">
        <v>2234</v>
      </c>
      <c r="G538" s="105">
        <v>4</v>
      </c>
      <c r="H538" s="106" t="s">
        <v>7</v>
      </c>
      <c r="I538" s="105" t="s">
        <v>39</v>
      </c>
      <c r="J538" s="105"/>
      <c r="K538" s="105"/>
      <c r="L538" s="105"/>
      <c r="M538" s="106" t="s">
        <v>2235</v>
      </c>
      <c r="N538" s="106" t="s">
        <v>2193</v>
      </c>
      <c r="O538" s="107"/>
      <c r="P538" s="106" t="s">
        <v>2236</v>
      </c>
    </row>
    <row r="539" spans="1:16" outlineLevel="3" x14ac:dyDescent="0.3">
      <c r="A539" s="105" t="s">
        <v>2237</v>
      </c>
      <c r="B539" s="106"/>
      <c r="C539" s="106"/>
      <c r="D539" s="106"/>
      <c r="E539" s="106" t="s">
        <v>2238</v>
      </c>
      <c r="F539" s="106" t="s">
        <v>2239</v>
      </c>
      <c r="G539" s="105">
        <v>4</v>
      </c>
      <c r="H539" s="106" t="s">
        <v>7</v>
      </c>
      <c r="I539" s="105" t="s">
        <v>39</v>
      </c>
      <c r="J539" s="105"/>
      <c r="K539" s="105"/>
      <c r="L539" s="105"/>
      <c r="M539" s="106" t="s">
        <v>2240</v>
      </c>
      <c r="N539" s="106" t="s">
        <v>40</v>
      </c>
      <c r="O539" s="107"/>
      <c r="P539" s="106" t="s">
        <v>2241</v>
      </c>
    </row>
    <row r="540" spans="1:16" outlineLevel="3" x14ac:dyDescent="0.3">
      <c r="A540" s="105" t="s">
        <v>2242</v>
      </c>
      <c r="B540" s="106"/>
      <c r="C540" s="106"/>
      <c r="D540" s="106"/>
      <c r="E540" s="106" t="s">
        <v>2243</v>
      </c>
      <c r="F540" s="106" t="s">
        <v>2244</v>
      </c>
      <c r="G540" s="105">
        <v>4</v>
      </c>
      <c r="H540" s="106" t="s">
        <v>7</v>
      </c>
      <c r="I540" s="105" t="s">
        <v>39</v>
      </c>
      <c r="J540" s="105"/>
      <c r="K540" s="105"/>
      <c r="L540" s="105"/>
      <c r="M540" s="106" t="s">
        <v>2245</v>
      </c>
      <c r="N540" s="106" t="s">
        <v>40</v>
      </c>
      <c r="O540" s="107"/>
      <c r="P540" s="106" t="s">
        <v>2246</v>
      </c>
    </row>
    <row r="541" spans="1:16" outlineLevel="3" x14ac:dyDescent="0.3">
      <c r="A541" s="105" t="s">
        <v>2247</v>
      </c>
      <c r="B541" s="106"/>
      <c r="C541" s="106"/>
      <c r="D541" s="106"/>
      <c r="E541" s="106" t="s">
        <v>2248</v>
      </c>
      <c r="F541" s="106" t="s">
        <v>2249</v>
      </c>
      <c r="G541" s="105">
        <v>4</v>
      </c>
      <c r="H541" s="106" t="s">
        <v>7</v>
      </c>
      <c r="I541" s="105" t="s">
        <v>39</v>
      </c>
      <c r="J541" s="105"/>
      <c r="K541" s="105"/>
      <c r="L541" s="105"/>
      <c r="M541" s="106" t="s">
        <v>2250</v>
      </c>
      <c r="N541" s="106" t="s">
        <v>513</v>
      </c>
      <c r="O541" s="107"/>
      <c r="P541" s="106"/>
    </row>
    <row r="542" spans="1:16" outlineLevel="3" x14ac:dyDescent="0.3">
      <c r="A542" s="105" t="s">
        <v>2251</v>
      </c>
      <c r="B542" s="106"/>
      <c r="C542" s="106"/>
      <c r="D542" s="106"/>
      <c r="E542" s="106" t="s">
        <v>2252</v>
      </c>
      <c r="F542" s="106" t="s">
        <v>2253</v>
      </c>
      <c r="G542" s="105">
        <v>4</v>
      </c>
      <c r="H542" s="106" t="s">
        <v>7</v>
      </c>
      <c r="I542" s="105" t="s">
        <v>39</v>
      </c>
      <c r="J542" s="105"/>
      <c r="K542" s="105"/>
      <c r="L542" s="105"/>
      <c r="M542" s="106" t="s">
        <v>2254</v>
      </c>
      <c r="N542" s="106" t="s">
        <v>513</v>
      </c>
      <c r="O542" s="107"/>
      <c r="P542" s="106"/>
    </row>
    <row r="543" spans="1:16" outlineLevel="3" x14ac:dyDescent="0.3">
      <c r="A543" s="105" t="s">
        <v>2255</v>
      </c>
      <c r="B543" s="106"/>
      <c r="C543" s="106"/>
      <c r="D543" s="106"/>
      <c r="E543" s="106" t="s">
        <v>2256</v>
      </c>
      <c r="F543" s="106" t="s">
        <v>2257</v>
      </c>
      <c r="G543" s="105">
        <v>4</v>
      </c>
      <c r="H543" s="106" t="s">
        <v>7</v>
      </c>
      <c r="I543" s="105" t="s">
        <v>39</v>
      </c>
      <c r="J543" s="105"/>
      <c r="K543" s="105"/>
      <c r="L543" s="105"/>
      <c r="M543" s="106" t="s">
        <v>2258</v>
      </c>
      <c r="N543" s="106" t="s">
        <v>2193</v>
      </c>
      <c r="O543" s="107"/>
      <c r="P543" s="106" t="s">
        <v>2259</v>
      </c>
    </row>
    <row r="544" spans="1:16" outlineLevel="3" x14ac:dyDescent="0.3">
      <c r="A544" s="105" t="s">
        <v>2260</v>
      </c>
      <c r="B544" s="106"/>
      <c r="C544" s="106"/>
      <c r="D544" s="106"/>
      <c r="E544" s="106" t="s">
        <v>2261</v>
      </c>
      <c r="F544" s="106" t="s">
        <v>2262</v>
      </c>
      <c r="G544" s="105">
        <v>4</v>
      </c>
      <c r="H544" s="106" t="s">
        <v>7</v>
      </c>
      <c r="I544" s="105" t="s">
        <v>39</v>
      </c>
      <c r="J544" s="105"/>
      <c r="K544" s="105"/>
      <c r="L544" s="105"/>
      <c r="M544" s="106" t="s">
        <v>2263</v>
      </c>
      <c r="N544" s="106" t="s">
        <v>40</v>
      </c>
      <c r="O544" s="107"/>
      <c r="P544" s="106" t="s">
        <v>2264</v>
      </c>
    </row>
    <row r="545" spans="1:16" outlineLevel="3" x14ac:dyDescent="0.3">
      <c r="A545" s="105" t="s">
        <v>2265</v>
      </c>
      <c r="B545" s="106"/>
      <c r="C545" s="106"/>
      <c r="D545" s="106"/>
      <c r="E545" s="106" t="s">
        <v>2266</v>
      </c>
      <c r="F545" s="106" t="s">
        <v>2267</v>
      </c>
      <c r="G545" s="105">
        <v>4</v>
      </c>
      <c r="H545" s="106" t="s">
        <v>7</v>
      </c>
      <c r="I545" s="105" t="s">
        <v>39</v>
      </c>
      <c r="J545" s="105"/>
      <c r="K545" s="105"/>
      <c r="L545" s="105"/>
      <c r="M545" s="106" t="s">
        <v>2268</v>
      </c>
      <c r="N545" s="106" t="s">
        <v>513</v>
      </c>
      <c r="O545" s="107"/>
      <c r="P545" s="106"/>
    </row>
    <row r="546" spans="1:16" outlineLevel="3" x14ac:dyDescent="0.3">
      <c r="A546" s="105" t="s">
        <v>2269</v>
      </c>
      <c r="B546" s="106"/>
      <c r="C546" s="106"/>
      <c r="D546" s="106"/>
      <c r="E546" s="106" t="s">
        <v>2270</v>
      </c>
      <c r="F546" s="106" t="s">
        <v>2271</v>
      </c>
      <c r="G546" s="105">
        <v>4</v>
      </c>
      <c r="H546" s="106" t="s">
        <v>7</v>
      </c>
      <c r="I546" s="105" t="s">
        <v>39</v>
      </c>
      <c r="J546" s="105"/>
      <c r="K546" s="105"/>
      <c r="L546" s="105"/>
      <c r="M546" s="106" t="s">
        <v>2272</v>
      </c>
      <c r="N546" s="106" t="s">
        <v>40</v>
      </c>
      <c r="O546" s="107"/>
      <c r="P546" s="106" t="s">
        <v>2273</v>
      </c>
    </row>
    <row r="547" spans="1:16" ht="27.6" outlineLevel="2" x14ac:dyDescent="0.3">
      <c r="A547" s="154" t="s">
        <v>2274</v>
      </c>
      <c r="B547" s="155"/>
      <c r="C547" s="155"/>
      <c r="D547" s="155" t="s">
        <v>2275</v>
      </c>
      <c r="E547" s="155"/>
      <c r="F547" s="155"/>
      <c r="G547" s="154">
        <v>3</v>
      </c>
      <c r="H547" s="155" t="s">
        <v>25</v>
      </c>
      <c r="I547" s="154" t="s">
        <v>39</v>
      </c>
      <c r="J547" s="154">
        <v>29</v>
      </c>
      <c r="K547" s="154">
        <v>0</v>
      </c>
      <c r="L547" s="154">
        <v>18</v>
      </c>
      <c r="M547" s="156" t="s">
        <v>2276</v>
      </c>
      <c r="N547" s="156" t="s">
        <v>2193</v>
      </c>
      <c r="O547" s="157"/>
      <c r="P547" s="156" t="s">
        <v>2277</v>
      </c>
    </row>
    <row r="548" spans="1:16" outlineLevel="3" x14ac:dyDescent="0.3">
      <c r="A548" s="105" t="s">
        <v>2278</v>
      </c>
      <c r="B548" s="106"/>
      <c r="C548" s="106"/>
      <c r="D548" s="106"/>
      <c r="E548" s="106" t="s">
        <v>2279</v>
      </c>
      <c r="F548" s="106" t="s">
        <v>2280</v>
      </c>
      <c r="G548" s="105">
        <v>4</v>
      </c>
      <c r="H548" s="106" t="s">
        <v>7</v>
      </c>
      <c r="I548" s="105" t="s">
        <v>39</v>
      </c>
      <c r="J548" s="105"/>
      <c r="K548" s="105"/>
      <c r="L548" s="105"/>
      <c r="M548" s="106" t="s">
        <v>2281</v>
      </c>
      <c r="N548" s="106" t="s">
        <v>2193</v>
      </c>
      <c r="O548" s="107"/>
      <c r="P548" s="106" t="s">
        <v>2282</v>
      </c>
    </row>
    <row r="549" spans="1:16" outlineLevel="3" x14ac:dyDescent="0.3">
      <c r="A549" s="105" t="s">
        <v>2283</v>
      </c>
      <c r="B549" s="106"/>
      <c r="C549" s="106"/>
      <c r="D549" s="106"/>
      <c r="E549" s="106" t="s">
        <v>2284</v>
      </c>
      <c r="F549" s="106" t="s">
        <v>2285</v>
      </c>
      <c r="G549" s="105">
        <v>4</v>
      </c>
      <c r="H549" s="106" t="s">
        <v>7</v>
      </c>
      <c r="I549" s="105" t="s">
        <v>39</v>
      </c>
      <c r="J549" s="105"/>
      <c r="K549" s="105"/>
      <c r="L549" s="105"/>
      <c r="M549" s="106" t="s">
        <v>2286</v>
      </c>
      <c r="N549" s="106" t="s">
        <v>513</v>
      </c>
      <c r="O549" s="107"/>
      <c r="P549" s="106"/>
    </row>
    <row r="550" spans="1:16" outlineLevel="3" x14ac:dyDescent="0.3">
      <c r="A550" s="105" t="s">
        <v>2287</v>
      </c>
      <c r="B550" s="106"/>
      <c r="C550" s="106"/>
      <c r="D550" s="106"/>
      <c r="E550" s="106" t="s">
        <v>2288</v>
      </c>
      <c r="F550" s="106" t="s">
        <v>251</v>
      </c>
      <c r="G550" s="105">
        <v>4</v>
      </c>
      <c r="H550" s="106" t="s">
        <v>7</v>
      </c>
      <c r="I550" s="105" t="s">
        <v>39</v>
      </c>
      <c r="J550" s="105"/>
      <c r="K550" s="105"/>
      <c r="L550" s="105"/>
      <c r="M550" s="106" t="s">
        <v>252</v>
      </c>
      <c r="N550" s="106" t="s">
        <v>223</v>
      </c>
      <c r="O550" s="107"/>
      <c r="P550" s="106" t="s">
        <v>2289</v>
      </c>
    </row>
    <row r="551" spans="1:16" outlineLevel="3" x14ac:dyDescent="0.3">
      <c r="A551" s="105" t="s">
        <v>2290</v>
      </c>
      <c r="B551" s="106"/>
      <c r="C551" s="106"/>
      <c r="D551" s="106"/>
      <c r="E551" s="106" t="s">
        <v>2291</v>
      </c>
      <c r="F551" s="106" t="s">
        <v>2292</v>
      </c>
      <c r="G551" s="105">
        <v>4</v>
      </c>
      <c r="H551" s="106" t="s">
        <v>7</v>
      </c>
      <c r="I551" s="105" t="s">
        <v>39</v>
      </c>
      <c r="J551" s="105"/>
      <c r="K551" s="105"/>
      <c r="L551" s="105"/>
      <c r="M551" s="106" t="s">
        <v>2293</v>
      </c>
      <c r="N551" s="106" t="s">
        <v>40</v>
      </c>
      <c r="O551" s="107"/>
      <c r="P551" s="106" t="s">
        <v>2294</v>
      </c>
    </row>
    <row r="552" spans="1:16" outlineLevel="3" x14ac:dyDescent="0.3">
      <c r="A552" s="105" t="s">
        <v>2295</v>
      </c>
      <c r="B552" s="106"/>
      <c r="C552" s="106"/>
      <c r="D552" s="106"/>
      <c r="E552" s="106" t="s">
        <v>2296</v>
      </c>
      <c r="F552" s="106" t="s">
        <v>2297</v>
      </c>
      <c r="G552" s="105">
        <v>4</v>
      </c>
      <c r="H552" s="106" t="s">
        <v>7</v>
      </c>
      <c r="I552" s="105" t="s">
        <v>39</v>
      </c>
      <c r="J552" s="105"/>
      <c r="K552" s="105"/>
      <c r="L552" s="105"/>
      <c r="M552" s="106" t="s">
        <v>2298</v>
      </c>
      <c r="N552" s="106" t="s">
        <v>513</v>
      </c>
      <c r="O552" s="107"/>
      <c r="P552" s="106"/>
    </row>
    <row r="553" spans="1:16" outlineLevel="3" x14ac:dyDescent="0.3">
      <c r="A553" s="105" t="s">
        <v>2299</v>
      </c>
      <c r="B553" s="106"/>
      <c r="C553" s="106"/>
      <c r="D553" s="106"/>
      <c r="E553" s="106" t="s">
        <v>2300</v>
      </c>
      <c r="F553" s="106" t="s">
        <v>2301</v>
      </c>
      <c r="G553" s="105">
        <v>4</v>
      </c>
      <c r="H553" s="106" t="s">
        <v>7</v>
      </c>
      <c r="I553" s="105" t="s">
        <v>39</v>
      </c>
      <c r="J553" s="105"/>
      <c r="K553" s="105"/>
      <c r="L553" s="105"/>
      <c r="M553" s="106" t="s">
        <v>2302</v>
      </c>
      <c r="N553" s="106" t="s">
        <v>2193</v>
      </c>
      <c r="O553" s="107"/>
      <c r="P553" s="106" t="s">
        <v>2303</v>
      </c>
    </row>
    <row r="554" spans="1:16" outlineLevel="3" x14ac:dyDescent="0.3">
      <c r="A554" s="105" t="s">
        <v>2304</v>
      </c>
      <c r="B554" s="106"/>
      <c r="C554" s="106"/>
      <c r="D554" s="106"/>
      <c r="E554" s="106" t="s">
        <v>2305</v>
      </c>
      <c r="F554" s="106" t="s">
        <v>2306</v>
      </c>
      <c r="G554" s="105">
        <v>4</v>
      </c>
      <c r="H554" s="106" t="s">
        <v>7</v>
      </c>
      <c r="I554" s="105" t="s">
        <v>39</v>
      </c>
      <c r="J554" s="105"/>
      <c r="K554" s="105"/>
      <c r="L554" s="105"/>
      <c r="M554" s="106" t="s">
        <v>2307</v>
      </c>
      <c r="N554" s="106" t="s">
        <v>223</v>
      </c>
      <c r="O554" s="107"/>
      <c r="P554" s="106" t="s">
        <v>2308</v>
      </c>
    </row>
    <row r="555" spans="1:16" outlineLevel="3" x14ac:dyDescent="0.3">
      <c r="A555" s="105" t="s">
        <v>2309</v>
      </c>
      <c r="B555" s="106"/>
      <c r="C555" s="106"/>
      <c r="D555" s="106"/>
      <c r="E555" s="106" t="s">
        <v>2310</v>
      </c>
      <c r="F555" s="106" t="s">
        <v>2311</v>
      </c>
      <c r="G555" s="105">
        <v>4</v>
      </c>
      <c r="H555" s="106" t="s">
        <v>7</v>
      </c>
      <c r="I555" s="105" t="s">
        <v>39</v>
      </c>
      <c r="J555" s="105"/>
      <c r="K555" s="105"/>
      <c r="L555" s="105"/>
      <c r="M555" s="106" t="s">
        <v>2312</v>
      </c>
      <c r="N555" s="106" t="s">
        <v>513</v>
      </c>
      <c r="O555" s="107"/>
      <c r="P555" s="106"/>
    </row>
    <row r="556" spans="1:16" outlineLevel="3" x14ac:dyDescent="0.3">
      <c r="A556" s="105" t="s">
        <v>2313</v>
      </c>
      <c r="B556" s="106"/>
      <c r="C556" s="106"/>
      <c r="D556" s="106"/>
      <c r="E556" s="106" t="s">
        <v>2314</v>
      </c>
      <c r="F556" s="106" t="s">
        <v>2315</v>
      </c>
      <c r="G556" s="105">
        <v>4</v>
      </c>
      <c r="H556" s="106" t="s">
        <v>7</v>
      </c>
      <c r="I556" s="105" t="s">
        <v>39</v>
      </c>
      <c r="J556" s="105"/>
      <c r="K556" s="105"/>
      <c r="L556" s="105"/>
      <c r="M556" s="106" t="s">
        <v>2316</v>
      </c>
      <c r="N556" s="106" t="s">
        <v>2193</v>
      </c>
      <c r="O556" s="107"/>
      <c r="P556" s="106" t="s">
        <v>2317</v>
      </c>
    </row>
    <row r="557" spans="1:16" outlineLevel="3" x14ac:dyDescent="0.3">
      <c r="A557" s="105" t="s">
        <v>2318</v>
      </c>
      <c r="B557" s="106"/>
      <c r="C557" s="106"/>
      <c r="D557" s="106"/>
      <c r="E557" s="106" t="s">
        <v>2319</v>
      </c>
      <c r="F557" s="106" t="s">
        <v>2320</v>
      </c>
      <c r="G557" s="105">
        <v>4</v>
      </c>
      <c r="H557" s="106" t="s">
        <v>7</v>
      </c>
      <c r="I557" s="105" t="s">
        <v>39</v>
      </c>
      <c r="J557" s="105"/>
      <c r="K557" s="105"/>
      <c r="L557" s="105"/>
      <c r="M557" s="106" t="s">
        <v>2321</v>
      </c>
      <c r="N557" s="106" t="s">
        <v>513</v>
      </c>
      <c r="O557" s="107"/>
      <c r="P557" s="106"/>
    </row>
    <row r="558" spans="1:16" outlineLevel="3" x14ac:dyDescent="0.3">
      <c r="A558" s="105" t="s">
        <v>2322</v>
      </c>
      <c r="B558" s="106"/>
      <c r="C558" s="106"/>
      <c r="D558" s="106"/>
      <c r="E558" s="106" t="s">
        <v>2319</v>
      </c>
      <c r="F558" s="106" t="s">
        <v>2323</v>
      </c>
      <c r="G558" s="105">
        <v>4</v>
      </c>
      <c r="H558" s="106" t="s">
        <v>7</v>
      </c>
      <c r="I558" s="105" t="s">
        <v>39</v>
      </c>
      <c r="J558" s="105"/>
      <c r="K558" s="105"/>
      <c r="L558" s="105"/>
      <c r="M558" s="106" t="s">
        <v>2324</v>
      </c>
      <c r="N558" s="106" t="s">
        <v>223</v>
      </c>
      <c r="O558" s="107"/>
      <c r="P558" s="106" t="s">
        <v>2325</v>
      </c>
    </row>
    <row r="559" spans="1:16" outlineLevel="3" x14ac:dyDescent="0.3">
      <c r="A559" s="105" t="s">
        <v>2326</v>
      </c>
      <c r="B559" s="106"/>
      <c r="C559" s="106"/>
      <c r="D559" s="106"/>
      <c r="E559" s="106" t="s">
        <v>2327</v>
      </c>
      <c r="F559" s="106" t="s">
        <v>2328</v>
      </c>
      <c r="G559" s="105">
        <v>4</v>
      </c>
      <c r="H559" s="106" t="s">
        <v>7</v>
      </c>
      <c r="I559" s="105" t="s">
        <v>39</v>
      </c>
      <c r="J559" s="105"/>
      <c r="K559" s="105"/>
      <c r="L559" s="105"/>
      <c r="M559" s="106" t="s">
        <v>2329</v>
      </c>
      <c r="N559" s="106" t="s">
        <v>513</v>
      </c>
      <c r="O559" s="107" t="s">
        <v>332</v>
      </c>
      <c r="P559" s="106"/>
    </row>
    <row r="560" spans="1:16" outlineLevel="3" x14ac:dyDescent="0.3">
      <c r="A560" s="105" t="s">
        <v>2330</v>
      </c>
      <c r="B560" s="106"/>
      <c r="C560" s="106"/>
      <c r="D560" s="106"/>
      <c r="E560" s="106" t="s">
        <v>2327</v>
      </c>
      <c r="F560" s="106" t="s">
        <v>2331</v>
      </c>
      <c r="G560" s="105">
        <v>4</v>
      </c>
      <c r="H560" s="106" t="s">
        <v>7</v>
      </c>
      <c r="I560" s="105" t="s">
        <v>39</v>
      </c>
      <c r="J560" s="105"/>
      <c r="K560" s="105"/>
      <c r="L560" s="105"/>
      <c r="M560" s="106" t="s">
        <v>2332</v>
      </c>
      <c r="N560" s="106" t="s">
        <v>223</v>
      </c>
      <c r="O560" s="107"/>
      <c r="P560" s="106" t="s">
        <v>2333</v>
      </c>
    </row>
    <row r="561" spans="1:16" outlineLevel="3" x14ac:dyDescent="0.3">
      <c r="A561" s="105" t="s">
        <v>2334</v>
      </c>
      <c r="B561" s="106"/>
      <c r="C561" s="106"/>
      <c r="D561" s="106"/>
      <c r="E561" s="106" t="s">
        <v>2335</v>
      </c>
      <c r="F561" s="106" t="s">
        <v>2336</v>
      </c>
      <c r="G561" s="105">
        <v>4</v>
      </c>
      <c r="H561" s="106" t="s">
        <v>7</v>
      </c>
      <c r="I561" s="105" t="s">
        <v>39</v>
      </c>
      <c r="J561" s="105"/>
      <c r="K561" s="105"/>
      <c r="L561" s="105"/>
      <c r="M561" s="106" t="s">
        <v>2337</v>
      </c>
      <c r="N561" s="106" t="s">
        <v>513</v>
      </c>
      <c r="O561" s="107"/>
      <c r="P561" s="106"/>
    </row>
    <row r="562" spans="1:16" outlineLevel="3" x14ac:dyDescent="0.3">
      <c r="A562" s="105" t="s">
        <v>2338</v>
      </c>
      <c r="B562" s="106"/>
      <c r="C562" s="106"/>
      <c r="D562" s="106"/>
      <c r="E562" s="106" t="s">
        <v>1141</v>
      </c>
      <c r="F562" s="106" t="s">
        <v>1142</v>
      </c>
      <c r="G562" s="105">
        <v>4</v>
      </c>
      <c r="H562" s="106" t="s">
        <v>7</v>
      </c>
      <c r="I562" s="105" t="s">
        <v>39</v>
      </c>
      <c r="J562" s="105"/>
      <c r="K562" s="105"/>
      <c r="L562" s="105"/>
      <c r="M562" s="106" t="s">
        <v>1143</v>
      </c>
      <c r="N562" s="106" t="s">
        <v>223</v>
      </c>
      <c r="O562" s="107"/>
      <c r="P562" s="106" t="s">
        <v>2339</v>
      </c>
    </row>
    <row r="563" spans="1:16" outlineLevel="3" x14ac:dyDescent="0.3">
      <c r="A563" s="105" t="s">
        <v>2340</v>
      </c>
      <c r="B563" s="106"/>
      <c r="C563" s="106"/>
      <c r="D563" s="106"/>
      <c r="E563" s="106" t="s">
        <v>2341</v>
      </c>
      <c r="F563" s="106" t="s">
        <v>2342</v>
      </c>
      <c r="G563" s="105">
        <v>4</v>
      </c>
      <c r="H563" s="106" t="s">
        <v>7</v>
      </c>
      <c r="I563" s="105" t="s">
        <v>39</v>
      </c>
      <c r="J563" s="105"/>
      <c r="K563" s="105"/>
      <c r="L563" s="105"/>
      <c r="M563" s="106" t="s">
        <v>2343</v>
      </c>
      <c r="N563" s="106" t="s">
        <v>513</v>
      </c>
      <c r="O563" s="107"/>
      <c r="P563" s="106"/>
    </row>
    <row r="564" spans="1:16" outlineLevel="3" x14ac:dyDescent="0.3">
      <c r="A564" s="105" t="s">
        <v>2344</v>
      </c>
      <c r="B564" s="106"/>
      <c r="C564" s="106"/>
      <c r="D564" s="106"/>
      <c r="E564" s="106" t="s">
        <v>2345</v>
      </c>
      <c r="F564" s="106" t="s">
        <v>2346</v>
      </c>
      <c r="G564" s="105">
        <v>4</v>
      </c>
      <c r="H564" s="106" t="s">
        <v>7</v>
      </c>
      <c r="I564" s="105" t="s">
        <v>39</v>
      </c>
      <c r="J564" s="105"/>
      <c r="K564" s="105"/>
      <c r="L564" s="105"/>
      <c r="M564" s="106" t="s">
        <v>2347</v>
      </c>
      <c r="N564" s="106" t="s">
        <v>513</v>
      </c>
      <c r="O564" s="107"/>
      <c r="P564" s="106"/>
    </row>
    <row r="565" spans="1:16" outlineLevel="3" x14ac:dyDescent="0.3">
      <c r="A565" s="105" t="s">
        <v>2348</v>
      </c>
      <c r="B565" s="106"/>
      <c r="C565" s="106"/>
      <c r="D565" s="106"/>
      <c r="E565" s="106" t="s">
        <v>2349</v>
      </c>
      <c r="F565" s="106" t="s">
        <v>2350</v>
      </c>
      <c r="G565" s="105">
        <v>4</v>
      </c>
      <c r="H565" s="106" t="s">
        <v>7</v>
      </c>
      <c r="I565" s="105" t="s">
        <v>39</v>
      </c>
      <c r="J565" s="105"/>
      <c r="K565" s="105"/>
      <c r="L565" s="105"/>
      <c r="M565" s="106" t="s">
        <v>2351</v>
      </c>
      <c r="N565" s="106" t="s">
        <v>223</v>
      </c>
      <c r="O565" s="107"/>
      <c r="P565" s="106" t="s">
        <v>2352</v>
      </c>
    </row>
    <row r="566" spans="1:16" outlineLevel="3" x14ac:dyDescent="0.3">
      <c r="A566" s="105" t="s">
        <v>2353</v>
      </c>
      <c r="B566" s="106"/>
      <c r="C566" s="106"/>
      <c r="D566" s="106"/>
      <c r="E566" s="106" t="s">
        <v>2354</v>
      </c>
      <c r="F566" s="106" t="s">
        <v>2355</v>
      </c>
      <c r="G566" s="105">
        <v>4</v>
      </c>
      <c r="H566" s="106" t="s">
        <v>7</v>
      </c>
      <c r="I566" s="105" t="s">
        <v>39</v>
      </c>
      <c r="J566" s="105"/>
      <c r="K566" s="105"/>
      <c r="L566" s="105"/>
      <c r="M566" s="106" t="s">
        <v>2356</v>
      </c>
      <c r="N566" s="106" t="s">
        <v>513</v>
      </c>
      <c r="O566" s="107"/>
      <c r="P566" s="106"/>
    </row>
    <row r="567" spans="1:16" outlineLevel="3" x14ac:dyDescent="0.3">
      <c r="A567" s="105" t="s">
        <v>2357</v>
      </c>
      <c r="B567" s="106"/>
      <c r="C567" s="106"/>
      <c r="D567" s="106"/>
      <c r="E567" s="106" t="s">
        <v>2358</v>
      </c>
      <c r="F567" s="106" t="s">
        <v>2359</v>
      </c>
      <c r="G567" s="105">
        <v>4</v>
      </c>
      <c r="H567" s="106" t="s">
        <v>7</v>
      </c>
      <c r="I567" s="105" t="s">
        <v>39</v>
      </c>
      <c r="J567" s="105"/>
      <c r="K567" s="105"/>
      <c r="L567" s="105"/>
      <c r="M567" s="106" t="s">
        <v>2360</v>
      </c>
      <c r="N567" s="106" t="s">
        <v>223</v>
      </c>
      <c r="O567" s="107"/>
      <c r="P567" s="106" t="s">
        <v>2361</v>
      </c>
    </row>
    <row r="568" spans="1:16" outlineLevel="3" x14ac:dyDescent="0.3">
      <c r="A568" s="105" t="s">
        <v>2362</v>
      </c>
      <c r="B568" s="106"/>
      <c r="C568" s="106"/>
      <c r="D568" s="106"/>
      <c r="E568" s="106" t="s">
        <v>2363</v>
      </c>
      <c r="F568" s="106" t="s">
        <v>900</v>
      </c>
      <c r="G568" s="105">
        <v>4</v>
      </c>
      <c r="H568" s="106" t="s">
        <v>7</v>
      </c>
      <c r="I568" s="105" t="s">
        <v>39</v>
      </c>
      <c r="J568" s="105"/>
      <c r="K568" s="105"/>
      <c r="L568" s="105"/>
      <c r="M568" s="106" t="s">
        <v>2364</v>
      </c>
      <c r="N568" s="106" t="s">
        <v>40</v>
      </c>
      <c r="O568" s="107"/>
      <c r="P568" s="106" t="s">
        <v>2365</v>
      </c>
    </row>
    <row r="569" spans="1:16" outlineLevel="3" x14ac:dyDescent="0.3">
      <c r="A569" s="105" t="s">
        <v>2366</v>
      </c>
      <c r="B569" s="106"/>
      <c r="C569" s="106"/>
      <c r="D569" s="106"/>
      <c r="E569" s="106" t="s">
        <v>2367</v>
      </c>
      <c r="F569" s="106" t="s">
        <v>2368</v>
      </c>
      <c r="G569" s="105">
        <v>4</v>
      </c>
      <c r="H569" s="106" t="s">
        <v>7</v>
      </c>
      <c r="I569" s="105" t="s">
        <v>39</v>
      </c>
      <c r="J569" s="105"/>
      <c r="K569" s="105"/>
      <c r="L569" s="105"/>
      <c r="M569" s="106" t="s">
        <v>2369</v>
      </c>
      <c r="N569" s="106" t="s">
        <v>2193</v>
      </c>
      <c r="O569" s="107"/>
      <c r="P569" s="106" t="s">
        <v>2370</v>
      </c>
    </row>
    <row r="570" spans="1:16" outlineLevel="3" x14ac:dyDescent="0.3">
      <c r="A570" s="105" t="s">
        <v>2371</v>
      </c>
      <c r="B570" s="106"/>
      <c r="C570" s="106"/>
      <c r="D570" s="106"/>
      <c r="E570" s="106" t="s">
        <v>2372</v>
      </c>
      <c r="F570" s="106" t="s">
        <v>2373</v>
      </c>
      <c r="G570" s="105">
        <v>4</v>
      </c>
      <c r="H570" s="106" t="s">
        <v>7</v>
      </c>
      <c r="I570" s="105" t="s">
        <v>39</v>
      </c>
      <c r="J570" s="105"/>
      <c r="K570" s="105"/>
      <c r="L570" s="105"/>
      <c r="M570" s="106" t="s">
        <v>2374</v>
      </c>
      <c r="N570" s="106" t="s">
        <v>513</v>
      </c>
      <c r="O570" s="107"/>
      <c r="P570" s="106"/>
    </row>
    <row r="571" spans="1:16" outlineLevel="3" x14ac:dyDescent="0.3">
      <c r="A571" s="105" t="s">
        <v>2375</v>
      </c>
      <c r="B571" s="106"/>
      <c r="C571" s="106"/>
      <c r="D571" s="106"/>
      <c r="E571" s="106" t="s">
        <v>2376</v>
      </c>
      <c r="F571" s="106" t="s">
        <v>2377</v>
      </c>
      <c r="G571" s="105">
        <v>4</v>
      </c>
      <c r="H571" s="106" t="s">
        <v>7</v>
      </c>
      <c r="I571" s="105" t="s">
        <v>39</v>
      </c>
      <c r="J571" s="105"/>
      <c r="K571" s="105"/>
      <c r="L571" s="105"/>
      <c r="M571" s="106" t="s">
        <v>2378</v>
      </c>
      <c r="N571" s="106" t="s">
        <v>2193</v>
      </c>
      <c r="O571" s="107"/>
      <c r="P571" s="106" t="s">
        <v>2379</v>
      </c>
    </row>
    <row r="572" spans="1:16" outlineLevel="3" x14ac:dyDescent="0.3">
      <c r="A572" s="105" t="s">
        <v>2380</v>
      </c>
      <c r="B572" s="106"/>
      <c r="C572" s="106"/>
      <c r="D572" s="106"/>
      <c r="E572" s="106" t="s">
        <v>2381</v>
      </c>
      <c r="F572" s="106" t="s">
        <v>2382</v>
      </c>
      <c r="G572" s="105">
        <v>4</v>
      </c>
      <c r="H572" s="106" t="s">
        <v>7</v>
      </c>
      <c r="I572" s="105" t="s">
        <v>39</v>
      </c>
      <c r="J572" s="105"/>
      <c r="K572" s="105"/>
      <c r="L572" s="105"/>
      <c r="M572" s="106" t="s">
        <v>2383</v>
      </c>
      <c r="N572" s="106" t="s">
        <v>513</v>
      </c>
      <c r="O572" s="107"/>
      <c r="P572" s="106"/>
    </row>
    <row r="573" spans="1:16" outlineLevel="3" x14ac:dyDescent="0.3">
      <c r="A573" s="105" t="s">
        <v>2384</v>
      </c>
      <c r="B573" s="106"/>
      <c r="C573" s="106"/>
      <c r="D573" s="106"/>
      <c r="E573" s="106" t="s">
        <v>2385</v>
      </c>
      <c r="F573" s="106" t="s">
        <v>2386</v>
      </c>
      <c r="G573" s="105">
        <v>4</v>
      </c>
      <c r="H573" s="106" t="s">
        <v>7</v>
      </c>
      <c r="I573" s="105" t="s">
        <v>39</v>
      </c>
      <c r="J573" s="105"/>
      <c r="K573" s="105"/>
      <c r="L573" s="105"/>
      <c r="M573" s="106" t="s">
        <v>2387</v>
      </c>
      <c r="N573" s="106" t="s">
        <v>223</v>
      </c>
      <c r="O573" s="107"/>
      <c r="P573" s="106" t="s">
        <v>2388</v>
      </c>
    </row>
    <row r="574" spans="1:16" outlineLevel="3" x14ac:dyDescent="0.3">
      <c r="A574" s="105" t="s">
        <v>2389</v>
      </c>
      <c r="B574" s="106"/>
      <c r="C574" s="106"/>
      <c r="D574" s="106"/>
      <c r="E574" s="106" t="s">
        <v>2390</v>
      </c>
      <c r="F574" s="106" t="s">
        <v>2391</v>
      </c>
      <c r="G574" s="105">
        <v>4</v>
      </c>
      <c r="H574" s="106" t="s">
        <v>7</v>
      </c>
      <c r="I574" s="105" t="s">
        <v>39</v>
      </c>
      <c r="J574" s="105"/>
      <c r="K574" s="105"/>
      <c r="L574" s="105"/>
      <c r="M574" s="106" t="s">
        <v>2392</v>
      </c>
      <c r="N574" s="106" t="s">
        <v>2193</v>
      </c>
      <c r="O574" s="107"/>
      <c r="P574" s="106" t="s">
        <v>2393</v>
      </c>
    </row>
    <row r="575" spans="1:16" outlineLevel="3" x14ac:dyDescent="0.3">
      <c r="A575" s="105" t="s">
        <v>2394</v>
      </c>
      <c r="B575" s="106"/>
      <c r="C575" s="106"/>
      <c r="D575" s="106"/>
      <c r="E575" s="106" t="s">
        <v>2395</v>
      </c>
      <c r="F575" s="106" t="s">
        <v>2396</v>
      </c>
      <c r="G575" s="105">
        <v>4</v>
      </c>
      <c r="H575" s="106" t="s">
        <v>7</v>
      </c>
      <c r="I575" s="105" t="s">
        <v>39</v>
      </c>
      <c r="J575" s="105"/>
      <c r="K575" s="105"/>
      <c r="L575" s="105"/>
      <c r="M575" s="106" t="s">
        <v>2397</v>
      </c>
      <c r="N575" s="106" t="s">
        <v>2193</v>
      </c>
      <c r="O575" s="107"/>
      <c r="P575" s="106" t="s">
        <v>2398</v>
      </c>
    </row>
    <row r="576" spans="1:16" outlineLevel="3" x14ac:dyDescent="0.3">
      <c r="A576" s="105" t="s">
        <v>2399</v>
      </c>
      <c r="B576" s="106"/>
      <c r="C576" s="106"/>
      <c r="D576" s="106"/>
      <c r="E576" s="106" t="s">
        <v>2400</v>
      </c>
      <c r="F576" s="106" t="s">
        <v>2401</v>
      </c>
      <c r="G576" s="105">
        <v>4</v>
      </c>
      <c r="H576" s="106" t="s">
        <v>7</v>
      </c>
      <c r="I576" s="105" t="s">
        <v>39</v>
      </c>
      <c r="J576" s="105"/>
      <c r="K576" s="105"/>
      <c r="L576" s="105"/>
      <c r="M576" s="106" t="s">
        <v>2402</v>
      </c>
      <c r="N576" s="106" t="s">
        <v>2193</v>
      </c>
      <c r="O576" s="107"/>
      <c r="P576" s="106" t="s">
        <v>2403</v>
      </c>
    </row>
    <row r="577" spans="1:16" ht="27.6" outlineLevel="2" x14ac:dyDescent="0.3">
      <c r="A577" s="154" t="s">
        <v>2404</v>
      </c>
      <c r="B577" s="155"/>
      <c r="C577" s="155"/>
      <c r="D577" s="155" t="s">
        <v>2405</v>
      </c>
      <c r="E577" s="155"/>
      <c r="F577" s="155"/>
      <c r="G577" s="154">
        <v>3</v>
      </c>
      <c r="H577" s="155" t="s">
        <v>25</v>
      </c>
      <c r="I577" s="154" t="s">
        <v>39</v>
      </c>
      <c r="J577" s="154">
        <v>16</v>
      </c>
      <c r="K577" s="154">
        <v>0</v>
      </c>
      <c r="L577" s="154">
        <v>8</v>
      </c>
      <c r="M577" s="156" t="s">
        <v>2406</v>
      </c>
      <c r="N577" s="156" t="s">
        <v>2193</v>
      </c>
      <c r="O577" s="157"/>
      <c r="P577" s="156" t="s">
        <v>2407</v>
      </c>
    </row>
    <row r="578" spans="1:16" outlineLevel="3" x14ac:dyDescent="0.3">
      <c r="A578" s="105" t="s">
        <v>2408</v>
      </c>
      <c r="B578" s="106"/>
      <c r="C578" s="106"/>
      <c r="D578" s="106"/>
      <c r="E578" s="106" t="s">
        <v>2409</v>
      </c>
      <c r="F578" s="106" t="s">
        <v>2410</v>
      </c>
      <c r="G578" s="105">
        <v>4</v>
      </c>
      <c r="H578" s="106" t="s">
        <v>7</v>
      </c>
      <c r="I578" s="105" t="s">
        <v>39</v>
      </c>
      <c r="J578" s="105"/>
      <c r="K578" s="105"/>
      <c r="L578" s="105"/>
      <c r="M578" s="106" t="s">
        <v>2411</v>
      </c>
      <c r="N578" s="106" t="s">
        <v>2193</v>
      </c>
      <c r="O578" s="107"/>
      <c r="P578" s="106" t="s">
        <v>2412</v>
      </c>
    </row>
    <row r="579" spans="1:16" outlineLevel="3" x14ac:dyDescent="0.3">
      <c r="A579" s="105" t="s">
        <v>2413</v>
      </c>
      <c r="B579" s="106"/>
      <c r="C579" s="106"/>
      <c r="D579" s="106"/>
      <c r="E579" s="106" t="s">
        <v>2414</v>
      </c>
      <c r="F579" s="106" t="s">
        <v>2346</v>
      </c>
      <c r="G579" s="105">
        <v>4</v>
      </c>
      <c r="H579" s="106" t="s">
        <v>7</v>
      </c>
      <c r="I579" s="105" t="s">
        <v>39</v>
      </c>
      <c r="J579" s="105"/>
      <c r="K579" s="105"/>
      <c r="L579" s="105"/>
      <c r="M579" s="106" t="s">
        <v>2347</v>
      </c>
      <c r="N579" s="106" t="s">
        <v>2193</v>
      </c>
      <c r="O579" s="107"/>
      <c r="P579" s="106" t="s">
        <v>2415</v>
      </c>
    </row>
    <row r="580" spans="1:16" outlineLevel="3" x14ac:dyDescent="0.3">
      <c r="A580" s="105" t="s">
        <v>2416</v>
      </c>
      <c r="B580" s="106"/>
      <c r="C580" s="106"/>
      <c r="D580" s="106"/>
      <c r="E580" s="106" t="s">
        <v>48</v>
      </c>
      <c r="F580" s="106" t="s">
        <v>2417</v>
      </c>
      <c r="G580" s="105">
        <v>4</v>
      </c>
      <c r="H580" s="106" t="s">
        <v>7</v>
      </c>
      <c r="I580" s="105" t="s">
        <v>39</v>
      </c>
      <c r="J580" s="105"/>
      <c r="K580" s="105"/>
      <c r="L580" s="105"/>
      <c r="M580" s="106" t="s">
        <v>2418</v>
      </c>
      <c r="N580" s="106" t="s">
        <v>513</v>
      </c>
      <c r="O580" s="107"/>
      <c r="P580" s="106"/>
    </row>
    <row r="581" spans="1:16" outlineLevel="3" x14ac:dyDescent="0.3">
      <c r="A581" s="105" t="s">
        <v>2419</v>
      </c>
      <c r="B581" s="106"/>
      <c r="C581" s="106"/>
      <c r="D581" s="106"/>
      <c r="E581" s="106" t="s">
        <v>2420</v>
      </c>
      <c r="F581" s="106" t="s">
        <v>2421</v>
      </c>
      <c r="G581" s="105">
        <v>4</v>
      </c>
      <c r="H581" s="106" t="s">
        <v>7</v>
      </c>
      <c r="I581" s="105" t="s">
        <v>39</v>
      </c>
      <c r="J581" s="105"/>
      <c r="K581" s="105"/>
      <c r="L581" s="105"/>
      <c r="M581" s="106" t="s">
        <v>2422</v>
      </c>
      <c r="N581" s="106" t="s">
        <v>513</v>
      </c>
      <c r="O581" s="107"/>
      <c r="P581" s="106"/>
    </row>
    <row r="582" spans="1:16" outlineLevel="3" x14ac:dyDescent="0.3">
      <c r="A582" s="105" t="s">
        <v>2423</v>
      </c>
      <c r="B582" s="106"/>
      <c r="C582" s="106"/>
      <c r="D582" s="106"/>
      <c r="E582" s="106" t="s">
        <v>2424</v>
      </c>
      <c r="F582" s="106" t="s">
        <v>2425</v>
      </c>
      <c r="G582" s="105">
        <v>4</v>
      </c>
      <c r="H582" s="106" t="s">
        <v>7</v>
      </c>
      <c r="I582" s="105" t="s">
        <v>39</v>
      </c>
      <c r="J582" s="105"/>
      <c r="K582" s="105"/>
      <c r="L582" s="105"/>
      <c r="M582" s="106" t="s">
        <v>2426</v>
      </c>
      <c r="N582" s="106" t="s">
        <v>513</v>
      </c>
      <c r="O582" s="107"/>
      <c r="P582" s="106"/>
    </row>
    <row r="583" spans="1:16" outlineLevel="3" x14ac:dyDescent="0.3">
      <c r="A583" s="105" t="s">
        <v>2427</v>
      </c>
      <c r="B583" s="106"/>
      <c r="C583" s="106"/>
      <c r="D583" s="106"/>
      <c r="E583" s="106" t="s">
        <v>2428</v>
      </c>
      <c r="F583" s="106" t="s">
        <v>2429</v>
      </c>
      <c r="G583" s="105">
        <v>4</v>
      </c>
      <c r="H583" s="106" t="s">
        <v>7</v>
      </c>
      <c r="I583" s="105" t="s">
        <v>39</v>
      </c>
      <c r="J583" s="105"/>
      <c r="K583" s="105"/>
      <c r="L583" s="105"/>
      <c r="M583" s="106" t="s">
        <v>2430</v>
      </c>
      <c r="N583" s="106" t="s">
        <v>2193</v>
      </c>
      <c r="O583" s="107"/>
      <c r="P583" s="106" t="s">
        <v>2431</v>
      </c>
    </row>
    <row r="584" spans="1:16" outlineLevel="3" x14ac:dyDescent="0.3">
      <c r="A584" s="105" t="s">
        <v>2432</v>
      </c>
      <c r="B584" s="106"/>
      <c r="C584" s="106"/>
      <c r="D584" s="106"/>
      <c r="E584" s="106" t="s">
        <v>2433</v>
      </c>
      <c r="F584" s="106" t="s">
        <v>2434</v>
      </c>
      <c r="G584" s="105">
        <v>4</v>
      </c>
      <c r="H584" s="106" t="s">
        <v>7</v>
      </c>
      <c r="I584" s="105" t="s">
        <v>39</v>
      </c>
      <c r="J584" s="105"/>
      <c r="K584" s="105"/>
      <c r="L584" s="105"/>
      <c r="M584" s="106" t="s">
        <v>2435</v>
      </c>
      <c r="N584" s="106" t="s">
        <v>223</v>
      </c>
      <c r="O584" s="107"/>
      <c r="P584" s="106" t="s">
        <v>2436</v>
      </c>
    </row>
    <row r="585" spans="1:16" outlineLevel="3" x14ac:dyDescent="0.3">
      <c r="A585" s="105" t="s">
        <v>2437</v>
      </c>
      <c r="B585" s="106"/>
      <c r="C585" s="106"/>
      <c r="D585" s="106"/>
      <c r="E585" s="106" t="s">
        <v>2438</v>
      </c>
      <c r="F585" s="106" t="s">
        <v>2439</v>
      </c>
      <c r="G585" s="105">
        <v>4</v>
      </c>
      <c r="H585" s="106" t="s">
        <v>7</v>
      </c>
      <c r="I585" s="105" t="s">
        <v>39</v>
      </c>
      <c r="J585" s="105"/>
      <c r="K585" s="105"/>
      <c r="L585" s="105"/>
      <c r="M585" s="106" t="s">
        <v>2440</v>
      </c>
      <c r="N585" s="106" t="s">
        <v>513</v>
      </c>
      <c r="O585" s="107"/>
      <c r="P585" s="106"/>
    </row>
    <row r="586" spans="1:16" outlineLevel="3" x14ac:dyDescent="0.3">
      <c r="A586" s="105" t="s">
        <v>2441</v>
      </c>
      <c r="B586" s="106"/>
      <c r="C586" s="106"/>
      <c r="D586" s="106"/>
      <c r="E586" s="106" t="s">
        <v>2438</v>
      </c>
      <c r="F586" s="106" t="s">
        <v>2442</v>
      </c>
      <c r="G586" s="105">
        <v>4</v>
      </c>
      <c r="H586" s="106" t="s">
        <v>7</v>
      </c>
      <c r="I586" s="105" t="s">
        <v>39</v>
      </c>
      <c r="J586" s="105"/>
      <c r="K586" s="105"/>
      <c r="L586" s="105"/>
      <c r="M586" s="106" t="s">
        <v>2443</v>
      </c>
      <c r="N586" s="106" t="s">
        <v>223</v>
      </c>
      <c r="O586" s="107"/>
      <c r="P586" s="106" t="s">
        <v>2444</v>
      </c>
    </row>
    <row r="587" spans="1:16" outlineLevel="3" x14ac:dyDescent="0.3">
      <c r="A587" s="105" t="s">
        <v>2445</v>
      </c>
      <c r="B587" s="106"/>
      <c r="C587" s="106"/>
      <c r="D587" s="106"/>
      <c r="E587" s="106" t="s">
        <v>2446</v>
      </c>
      <c r="F587" s="106" t="s">
        <v>2447</v>
      </c>
      <c r="G587" s="105">
        <v>4</v>
      </c>
      <c r="H587" s="106" t="s">
        <v>7</v>
      </c>
      <c r="I587" s="105" t="s">
        <v>39</v>
      </c>
      <c r="J587" s="105"/>
      <c r="K587" s="105"/>
      <c r="L587" s="105"/>
      <c r="M587" s="106" t="s">
        <v>2448</v>
      </c>
      <c r="N587" s="106" t="s">
        <v>513</v>
      </c>
      <c r="O587" s="107"/>
      <c r="P587" s="106"/>
    </row>
    <row r="588" spans="1:16" outlineLevel="3" x14ac:dyDescent="0.3">
      <c r="A588" s="105" t="s">
        <v>2449</v>
      </c>
      <c r="B588" s="106"/>
      <c r="C588" s="106"/>
      <c r="D588" s="106"/>
      <c r="E588" s="106" t="s">
        <v>2450</v>
      </c>
      <c r="F588" s="106" t="s">
        <v>2451</v>
      </c>
      <c r="G588" s="105">
        <v>4</v>
      </c>
      <c r="H588" s="106" t="s">
        <v>7</v>
      </c>
      <c r="I588" s="105" t="s">
        <v>39</v>
      </c>
      <c r="J588" s="105"/>
      <c r="K588" s="105"/>
      <c r="L588" s="105"/>
      <c r="M588" s="106" t="s">
        <v>2452</v>
      </c>
      <c r="N588" s="106" t="s">
        <v>2193</v>
      </c>
      <c r="O588" s="107"/>
      <c r="P588" s="106" t="s">
        <v>2453</v>
      </c>
    </row>
    <row r="589" spans="1:16" outlineLevel="3" x14ac:dyDescent="0.3">
      <c r="A589" s="105" t="s">
        <v>2454</v>
      </c>
      <c r="B589" s="106"/>
      <c r="C589" s="106"/>
      <c r="D589" s="106"/>
      <c r="E589" s="106" t="s">
        <v>2455</v>
      </c>
      <c r="F589" s="106" t="s">
        <v>2456</v>
      </c>
      <c r="G589" s="105">
        <v>4</v>
      </c>
      <c r="H589" s="106" t="s">
        <v>7</v>
      </c>
      <c r="I589" s="105" t="s">
        <v>39</v>
      </c>
      <c r="J589" s="105"/>
      <c r="K589" s="105"/>
      <c r="L589" s="105"/>
      <c r="M589" s="106" t="s">
        <v>2457</v>
      </c>
      <c r="N589" s="106" t="s">
        <v>513</v>
      </c>
      <c r="O589" s="107"/>
      <c r="P589" s="106"/>
    </row>
    <row r="590" spans="1:16" outlineLevel="3" x14ac:dyDescent="0.3">
      <c r="A590" s="105" t="s">
        <v>2458</v>
      </c>
      <c r="B590" s="106"/>
      <c r="C590" s="106"/>
      <c r="D590" s="106"/>
      <c r="E590" s="106" t="s">
        <v>2459</v>
      </c>
      <c r="F590" s="106" t="s">
        <v>2460</v>
      </c>
      <c r="G590" s="105">
        <v>4</v>
      </c>
      <c r="H590" s="106" t="s">
        <v>7</v>
      </c>
      <c r="I590" s="105" t="s">
        <v>39</v>
      </c>
      <c r="J590" s="105"/>
      <c r="K590" s="105"/>
      <c r="L590" s="105"/>
      <c r="M590" s="106" t="s">
        <v>2461</v>
      </c>
      <c r="N590" s="106" t="s">
        <v>223</v>
      </c>
      <c r="O590" s="107"/>
      <c r="P590" s="106" t="s">
        <v>2462</v>
      </c>
    </row>
    <row r="591" spans="1:16" outlineLevel="3" x14ac:dyDescent="0.3">
      <c r="A591" s="105" t="s">
        <v>2463</v>
      </c>
      <c r="B591" s="106"/>
      <c r="C591" s="106"/>
      <c r="D591" s="106"/>
      <c r="E591" s="106" t="s">
        <v>2464</v>
      </c>
      <c r="F591" s="106" t="s">
        <v>2465</v>
      </c>
      <c r="G591" s="105">
        <v>4</v>
      </c>
      <c r="H591" s="106" t="s">
        <v>7</v>
      </c>
      <c r="I591" s="105" t="s">
        <v>39</v>
      </c>
      <c r="J591" s="105"/>
      <c r="K591" s="105"/>
      <c r="L591" s="105"/>
      <c r="M591" s="106" t="s">
        <v>2466</v>
      </c>
      <c r="N591" s="106" t="s">
        <v>513</v>
      </c>
      <c r="O591" s="107"/>
      <c r="P591" s="106"/>
    </row>
    <row r="592" spans="1:16" outlineLevel="3" x14ac:dyDescent="0.3">
      <c r="A592" s="105" t="s">
        <v>2467</v>
      </c>
      <c r="B592" s="106"/>
      <c r="C592" s="106"/>
      <c r="D592" s="106"/>
      <c r="E592" s="106" t="s">
        <v>2468</v>
      </c>
      <c r="F592" s="106" t="s">
        <v>2469</v>
      </c>
      <c r="G592" s="105">
        <v>4</v>
      </c>
      <c r="H592" s="106" t="s">
        <v>7</v>
      </c>
      <c r="I592" s="105" t="s">
        <v>39</v>
      </c>
      <c r="J592" s="105"/>
      <c r="K592" s="105"/>
      <c r="L592" s="105"/>
      <c r="M592" s="106" t="s">
        <v>2470</v>
      </c>
      <c r="N592" s="106" t="s">
        <v>513</v>
      </c>
      <c r="O592" s="107"/>
      <c r="P592" s="106"/>
    </row>
    <row r="593" spans="1:16" outlineLevel="3" x14ac:dyDescent="0.3">
      <c r="A593" s="105" t="s">
        <v>2471</v>
      </c>
      <c r="B593" s="106"/>
      <c r="C593" s="106"/>
      <c r="D593" s="106"/>
      <c r="E593" s="106" t="s">
        <v>2472</v>
      </c>
      <c r="F593" s="106" t="s">
        <v>2473</v>
      </c>
      <c r="G593" s="105">
        <v>4</v>
      </c>
      <c r="H593" s="106" t="s">
        <v>7</v>
      </c>
      <c r="I593" s="105" t="s">
        <v>39</v>
      </c>
      <c r="J593" s="105"/>
      <c r="K593" s="105"/>
      <c r="L593" s="105"/>
      <c r="M593" s="106" t="s">
        <v>2474</v>
      </c>
      <c r="N593" s="106" t="s">
        <v>2193</v>
      </c>
      <c r="O593" s="107"/>
      <c r="P593" s="106" t="s">
        <v>2475</v>
      </c>
    </row>
    <row r="594" spans="1:16" ht="27.6" outlineLevel="2" x14ac:dyDescent="0.3">
      <c r="A594" s="154" t="s">
        <v>2476</v>
      </c>
      <c r="B594" s="155"/>
      <c r="C594" s="155"/>
      <c r="D594" s="155" t="s">
        <v>2477</v>
      </c>
      <c r="E594" s="155"/>
      <c r="F594" s="155"/>
      <c r="G594" s="154">
        <v>3</v>
      </c>
      <c r="H594" s="155" t="s">
        <v>25</v>
      </c>
      <c r="I594" s="154" t="s">
        <v>39</v>
      </c>
      <c r="J594" s="154">
        <v>13</v>
      </c>
      <c r="K594" s="154">
        <v>0</v>
      </c>
      <c r="L594" s="154">
        <v>9</v>
      </c>
      <c r="M594" s="156" t="s">
        <v>2478</v>
      </c>
      <c r="N594" s="156" t="s">
        <v>2193</v>
      </c>
      <c r="O594" s="157"/>
      <c r="P594" s="156" t="s">
        <v>2479</v>
      </c>
    </row>
    <row r="595" spans="1:16" outlineLevel="3" x14ac:dyDescent="0.3">
      <c r="A595" s="105" t="s">
        <v>2480</v>
      </c>
      <c r="B595" s="106"/>
      <c r="C595" s="106"/>
      <c r="D595" s="106"/>
      <c r="E595" s="106" t="s">
        <v>2481</v>
      </c>
      <c r="F595" s="106" t="s">
        <v>2482</v>
      </c>
      <c r="G595" s="105">
        <v>4</v>
      </c>
      <c r="H595" s="106" t="s">
        <v>7</v>
      </c>
      <c r="I595" s="105" t="s">
        <v>39</v>
      </c>
      <c r="J595" s="105"/>
      <c r="K595" s="105"/>
      <c r="L595" s="105"/>
      <c r="M595" s="106" t="s">
        <v>2483</v>
      </c>
      <c r="N595" s="106" t="s">
        <v>513</v>
      </c>
      <c r="O595" s="107"/>
      <c r="P595" s="106"/>
    </row>
    <row r="596" spans="1:16" outlineLevel="3" x14ac:dyDescent="0.3">
      <c r="A596" s="105" t="s">
        <v>2484</v>
      </c>
      <c r="B596" s="106"/>
      <c r="C596" s="106"/>
      <c r="D596" s="106"/>
      <c r="E596" s="106" t="s">
        <v>2485</v>
      </c>
      <c r="F596" s="106" t="s">
        <v>2486</v>
      </c>
      <c r="G596" s="105">
        <v>4</v>
      </c>
      <c r="H596" s="106" t="s">
        <v>7</v>
      </c>
      <c r="I596" s="105" t="s">
        <v>39</v>
      </c>
      <c r="J596" s="105"/>
      <c r="K596" s="105"/>
      <c r="L596" s="105"/>
      <c r="M596" s="106" t="s">
        <v>2487</v>
      </c>
      <c r="N596" s="106" t="s">
        <v>40</v>
      </c>
      <c r="O596" s="107"/>
      <c r="P596" s="106" t="s">
        <v>2488</v>
      </c>
    </row>
    <row r="597" spans="1:16" outlineLevel="3" x14ac:dyDescent="0.3">
      <c r="A597" s="105" t="s">
        <v>2489</v>
      </c>
      <c r="B597" s="106"/>
      <c r="C597" s="106"/>
      <c r="D597" s="106"/>
      <c r="E597" s="106" t="s">
        <v>2490</v>
      </c>
      <c r="F597" s="106" t="s">
        <v>2491</v>
      </c>
      <c r="G597" s="105">
        <v>4</v>
      </c>
      <c r="H597" s="106" t="s">
        <v>7</v>
      </c>
      <c r="I597" s="105" t="s">
        <v>39</v>
      </c>
      <c r="J597" s="105"/>
      <c r="K597" s="105"/>
      <c r="L597" s="105"/>
      <c r="M597" s="106" t="s">
        <v>2492</v>
      </c>
      <c r="N597" s="106" t="s">
        <v>513</v>
      </c>
      <c r="O597" s="107"/>
      <c r="P597" s="106" t="s">
        <v>2493</v>
      </c>
    </row>
    <row r="598" spans="1:16" outlineLevel="3" x14ac:dyDescent="0.3">
      <c r="A598" s="105" t="s">
        <v>2494</v>
      </c>
      <c r="B598" s="106"/>
      <c r="C598" s="106"/>
      <c r="D598" s="106"/>
      <c r="E598" s="106" t="s">
        <v>2495</v>
      </c>
      <c r="F598" s="106" t="s">
        <v>2496</v>
      </c>
      <c r="G598" s="105">
        <v>4</v>
      </c>
      <c r="H598" s="106" t="s">
        <v>7</v>
      </c>
      <c r="I598" s="105" t="s">
        <v>39</v>
      </c>
      <c r="J598" s="105"/>
      <c r="K598" s="105"/>
      <c r="L598" s="105"/>
      <c r="M598" s="106" t="s">
        <v>2497</v>
      </c>
      <c r="N598" s="106" t="s">
        <v>2193</v>
      </c>
      <c r="O598" s="107"/>
      <c r="P598" s="106" t="s">
        <v>2498</v>
      </c>
    </row>
    <row r="599" spans="1:16" outlineLevel="3" x14ac:dyDescent="0.3">
      <c r="A599" s="105" t="s">
        <v>2499</v>
      </c>
      <c r="B599" s="106"/>
      <c r="C599" s="106"/>
      <c r="D599" s="106"/>
      <c r="E599" s="106" t="s">
        <v>2500</v>
      </c>
      <c r="F599" s="106" t="s">
        <v>2501</v>
      </c>
      <c r="G599" s="105">
        <v>4</v>
      </c>
      <c r="H599" s="106" t="s">
        <v>7</v>
      </c>
      <c r="I599" s="105" t="s">
        <v>39</v>
      </c>
      <c r="J599" s="105"/>
      <c r="K599" s="105"/>
      <c r="L599" s="105"/>
      <c r="M599" s="106" t="s">
        <v>2502</v>
      </c>
      <c r="N599" s="106" t="s">
        <v>513</v>
      </c>
      <c r="O599" s="107"/>
      <c r="P599" s="106"/>
    </row>
    <row r="600" spans="1:16" outlineLevel="3" x14ac:dyDescent="0.3">
      <c r="A600" s="105" t="s">
        <v>2503</v>
      </c>
      <c r="B600" s="106"/>
      <c r="C600" s="106"/>
      <c r="D600" s="106"/>
      <c r="E600" s="106" t="s">
        <v>2500</v>
      </c>
      <c r="F600" s="106" t="s">
        <v>2504</v>
      </c>
      <c r="G600" s="105">
        <v>4</v>
      </c>
      <c r="H600" s="106" t="s">
        <v>7</v>
      </c>
      <c r="I600" s="105" t="s">
        <v>39</v>
      </c>
      <c r="J600" s="105"/>
      <c r="K600" s="105"/>
      <c r="L600" s="105"/>
      <c r="M600" s="106" t="s">
        <v>2505</v>
      </c>
      <c r="N600" s="106" t="s">
        <v>223</v>
      </c>
      <c r="O600" s="107"/>
      <c r="P600" s="106" t="s">
        <v>2506</v>
      </c>
    </row>
    <row r="601" spans="1:16" outlineLevel="3" x14ac:dyDescent="0.3">
      <c r="A601" s="105" t="s">
        <v>2507</v>
      </c>
      <c r="B601" s="106"/>
      <c r="C601" s="106"/>
      <c r="D601" s="106"/>
      <c r="E601" s="106" t="s">
        <v>2508</v>
      </c>
      <c r="F601" s="106" t="s">
        <v>2509</v>
      </c>
      <c r="G601" s="105">
        <v>4</v>
      </c>
      <c r="H601" s="106" t="s">
        <v>7</v>
      </c>
      <c r="I601" s="105" t="s">
        <v>39</v>
      </c>
      <c r="J601" s="105"/>
      <c r="K601" s="105"/>
      <c r="L601" s="105"/>
      <c r="M601" s="106" t="s">
        <v>2510</v>
      </c>
      <c r="N601" s="106" t="s">
        <v>513</v>
      </c>
      <c r="O601" s="107"/>
      <c r="P601" s="106"/>
    </row>
    <row r="602" spans="1:16" outlineLevel="3" x14ac:dyDescent="0.3">
      <c r="A602" s="105" t="s">
        <v>2511</v>
      </c>
      <c r="B602" s="106"/>
      <c r="C602" s="106"/>
      <c r="D602" s="106"/>
      <c r="E602" s="106" t="s">
        <v>2512</v>
      </c>
      <c r="F602" s="106" t="s">
        <v>2513</v>
      </c>
      <c r="G602" s="105">
        <v>4</v>
      </c>
      <c r="H602" s="106" t="s">
        <v>7</v>
      </c>
      <c r="I602" s="105" t="s">
        <v>39</v>
      </c>
      <c r="J602" s="105"/>
      <c r="K602" s="105"/>
      <c r="L602" s="105"/>
      <c r="M602" s="106" t="s">
        <v>2514</v>
      </c>
      <c r="N602" s="106" t="s">
        <v>2193</v>
      </c>
      <c r="O602" s="107"/>
      <c r="P602" s="106" t="s">
        <v>2515</v>
      </c>
    </row>
    <row r="603" spans="1:16" outlineLevel="3" x14ac:dyDescent="0.3">
      <c r="A603" s="105" t="s">
        <v>2516</v>
      </c>
      <c r="B603" s="106"/>
      <c r="C603" s="106"/>
      <c r="D603" s="106"/>
      <c r="E603" s="106" t="s">
        <v>2517</v>
      </c>
      <c r="F603" s="106" t="s">
        <v>2518</v>
      </c>
      <c r="G603" s="105">
        <v>4</v>
      </c>
      <c r="H603" s="106" t="s">
        <v>7</v>
      </c>
      <c r="I603" s="105" t="s">
        <v>39</v>
      </c>
      <c r="J603" s="105"/>
      <c r="K603" s="105"/>
      <c r="L603" s="105"/>
      <c r="M603" s="106" t="s">
        <v>2519</v>
      </c>
      <c r="N603" s="106" t="s">
        <v>2193</v>
      </c>
      <c r="O603" s="107"/>
      <c r="P603" s="106" t="s">
        <v>2520</v>
      </c>
    </row>
    <row r="604" spans="1:16" outlineLevel="3" x14ac:dyDescent="0.3">
      <c r="A604" s="105" t="s">
        <v>2521</v>
      </c>
      <c r="B604" s="106"/>
      <c r="C604" s="106"/>
      <c r="D604" s="106"/>
      <c r="E604" s="106" t="s">
        <v>2522</v>
      </c>
      <c r="F604" s="106" t="s">
        <v>2523</v>
      </c>
      <c r="G604" s="105">
        <v>4</v>
      </c>
      <c r="H604" s="106" t="s">
        <v>7</v>
      </c>
      <c r="I604" s="105" t="s">
        <v>39</v>
      </c>
      <c r="J604" s="105"/>
      <c r="K604" s="105"/>
      <c r="L604" s="105"/>
      <c r="M604" s="106" t="s">
        <v>2524</v>
      </c>
      <c r="N604" s="106" t="s">
        <v>40</v>
      </c>
      <c r="O604" s="107"/>
      <c r="P604" s="106" t="s">
        <v>2525</v>
      </c>
    </row>
    <row r="605" spans="1:16" outlineLevel="3" x14ac:dyDescent="0.3">
      <c r="A605" s="105" t="s">
        <v>2526</v>
      </c>
      <c r="B605" s="106"/>
      <c r="C605" s="106"/>
      <c r="D605" s="106"/>
      <c r="E605" s="106" t="s">
        <v>2527</v>
      </c>
      <c r="F605" s="106" t="s">
        <v>2528</v>
      </c>
      <c r="G605" s="105">
        <v>4</v>
      </c>
      <c r="H605" s="106" t="s">
        <v>7</v>
      </c>
      <c r="I605" s="105" t="s">
        <v>39</v>
      </c>
      <c r="J605" s="105"/>
      <c r="K605" s="105"/>
      <c r="L605" s="105"/>
      <c r="M605" s="106" t="s">
        <v>2529</v>
      </c>
      <c r="N605" s="106" t="s">
        <v>2193</v>
      </c>
      <c r="O605" s="107"/>
      <c r="P605" s="106" t="s">
        <v>2530</v>
      </c>
    </row>
    <row r="606" spans="1:16" outlineLevel="3" x14ac:dyDescent="0.3">
      <c r="A606" s="105" t="s">
        <v>2531</v>
      </c>
      <c r="B606" s="106"/>
      <c r="C606" s="106"/>
      <c r="D606" s="106"/>
      <c r="E606" s="106" t="s">
        <v>2532</v>
      </c>
      <c r="F606" s="106" t="s">
        <v>2533</v>
      </c>
      <c r="G606" s="105">
        <v>4</v>
      </c>
      <c r="H606" s="106" t="s">
        <v>7</v>
      </c>
      <c r="I606" s="105" t="s">
        <v>39</v>
      </c>
      <c r="J606" s="105"/>
      <c r="K606" s="105"/>
      <c r="L606" s="105"/>
      <c r="M606" s="106" t="s">
        <v>2534</v>
      </c>
      <c r="N606" s="106" t="s">
        <v>223</v>
      </c>
      <c r="O606" s="107"/>
      <c r="P606" s="106" t="s">
        <v>2535</v>
      </c>
    </row>
    <row r="607" spans="1:16" outlineLevel="3" x14ac:dyDescent="0.3">
      <c r="A607" s="105" t="s">
        <v>2536</v>
      </c>
      <c r="B607" s="106"/>
      <c r="C607" s="106"/>
      <c r="D607" s="106"/>
      <c r="E607" s="106" t="s">
        <v>2537</v>
      </c>
      <c r="F607" s="106" t="s">
        <v>2538</v>
      </c>
      <c r="G607" s="105">
        <v>4</v>
      </c>
      <c r="H607" s="106" t="s">
        <v>7</v>
      </c>
      <c r="I607" s="105" t="s">
        <v>39</v>
      </c>
      <c r="J607" s="105"/>
      <c r="K607" s="105"/>
      <c r="L607" s="105"/>
      <c r="M607" s="106" t="s">
        <v>2539</v>
      </c>
      <c r="N607" s="106" t="s">
        <v>2193</v>
      </c>
      <c r="O607" s="107"/>
      <c r="P607" s="106" t="s">
        <v>2540</v>
      </c>
    </row>
    <row r="608" spans="1:16" ht="27.6" outlineLevel="2" x14ac:dyDescent="0.3">
      <c r="A608" s="154" t="s">
        <v>2541</v>
      </c>
      <c r="B608" s="155"/>
      <c r="C608" s="155"/>
      <c r="D608" s="155" t="s">
        <v>2542</v>
      </c>
      <c r="E608" s="155"/>
      <c r="F608" s="155"/>
      <c r="G608" s="154">
        <v>3</v>
      </c>
      <c r="H608" s="155" t="s">
        <v>25</v>
      </c>
      <c r="I608" s="154" t="s">
        <v>39</v>
      </c>
      <c r="J608" s="154">
        <v>8</v>
      </c>
      <c r="K608" s="154">
        <v>0</v>
      </c>
      <c r="L608" s="154">
        <v>4</v>
      </c>
      <c r="M608" s="156" t="s">
        <v>2543</v>
      </c>
      <c r="N608" s="156" t="s">
        <v>2193</v>
      </c>
      <c r="O608" s="157"/>
      <c r="P608" s="156" t="s">
        <v>2544</v>
      </c>
    </row>
    <row r="609" spans="1:16" outlineLevel="3" x14ac:dyDescent="0.3">
      <c r="A609" s="105" t="s">
        <v>2545</v>
      </c>
      <c r="B609" s="106"/>
      <c r="C609" s="106"/>
      <c r="D609" s="106"/>
      <c r="E609" s="106" t="s">
        <v>2546</v>
      </c>
      <c r="F609" s="106" t="s">
        <v>2547</v>
      </c>
      <c r="G609" s="105">
        <v>4</v>
      </c>
      <c r="H609" s="106" t="s">
        <v>7</v>
      </c>
      <c r="I609" s="105" t="s">
        <v>39</v>
      </c>
      <c r="J609" s="105"/>
      <c r="K609" s="105"/>
      <c r="L609" s="105"/>
      <c r="M609" s="106" t="s">
        <v>2548</v>
      </c>
      <c r="N609" s="106" t="s">
        <v>2193</v>
      </c>
      <c r="O609" s="107"/>
      <c r="P609" s="106" t="s">
        <v>2549</v>
      </c>
    </row>
    <row r="610" spans="1:16" outlineLevel="3" x14ac:dyDescent="0.3">
      <c r="A610" s="105" t="s">
        <v>2550</v>
      </c>
      <c r="B610" s="106"/>
      <c r="C610" s="106"/>
      <c r="D610" s="106"/>
      <c r="E610" s="106" t="s">
        <v>2551</v>
      </c>
      <c r="F610" s="106" t="s">
        <v>2552</v>
      </c>
      <c r="G610" s="105">
        <v>4</v>
      </c>
      <c r="H610" s="106" t="s">
        <v>7</v>
      </c>
      <c r="I610" s="105" t="s">
        <v>39</v>
      </c>
      <c r="J610" s="105"/>
      <c r="K610" s="105"/>
      <c r="L610" s="105"/>
      <c r="M610" s="106" t="s">
        <v>2553</v>
      </c>
      <c r="N610" s="106" t="s">
        <v>2193</v>
      </c>
      <c r="O610" s="107"/>
      <c r="P610" s="106" t="s">
        <v>2554</v>
      </c>
    </row>
    <row r="611" spans="1:16" outlineLevel="3" x14ac:dyDescent="0.3">
      <c r="A611" s="105" t="s">
        <v>2555</v>
      </c>
      <c r="B611" s="106"/>
      <c r="C611" s="106"/>
      <c r="D611" s="106"/>
      <c r="E611" s="106" t="s">
        <v>2556</v>
      </c>
      <c r="F611" s="106" t="s">
        <v>2557</v>
      </c>
      <c r="G611" s="105">
        <v>4</v>
      </c>
      <c r="H611" s="106" t="s">
        <v>7</v>
      </c>
      <c r="I611" s="105" t="s">
        <v>39</v>
      </c>
      <c r="J611" s="105"/>
      <c r="K611" s="105"/>
      <c r="L611" s="105"/>
      <c r="M611" s="106" t="s">
        <v>2558</v>
      </c>
      <c r="N611" s="106" t="s">
        <v>2193</v>
      </c>
      <c r="O611" s="107"/>
      <c r="P611" s="106" t="s">
        <v>2559</v>
      </c>
    </row>
    <row r="612" spans="1:16" outlineLevel="3" x14ac:dyDescent="0.3">
      <c r="A612" s="105" t="s">
        <v>2560</v>
      </c>
      <c r="B612" s="106"/>
      <c r="C612" s="106"/>
      <c r="D612" s="106"/>
      <c r="E612" s="106" t="s">
        <v>2561</v>
      </c>
      <c r="F612" s="106" t="s">
        <v>2562</v>
      </c>
      <c r="G612" s="105">
        <v>4</v>
      </c>
      <c r="H612" s="106" t="s">
        <v>7</v>
      </c>
      <c r="I612" s="105" t="s">
        <v>39</v>
      </c>
      <c r="J612" s="105"/>
      <c r="K612" s="105"/>
      <c r="L612" s="105"/>
      <c r="M612" s="106" t="s">
        <v>2563</v>
      </c>
      <c r="N612" s="106" t="s">
        <v>513</v>
      </c>
      <c r="O612" s="107"/>
      <c r="P612" s="106"/>
    </row>
    <row r="613" spans="1:16" outlineLevel="3" x14ac:dyDescent="0.3">
      <c r="A613" s="105" t="s">
        <v>2564</v>
      </c>
      <c r="B613" s="106"/>
      <c r="C613" s="106"/>
      <c r="D613" s="106"/>
      <c r="E613" s="106" t="s">
        <v>2565</v>
      </c>
      <c r="F613" s="106" t="s">
        <v>2566</v>
      </c>
      <c r="G613" s="105">
        <v>4</v>
      </c>
      <c r="H613" s="106" t="s">
        <v>7</v>
      </c>
      <c r="I613" s="105" t="s">
        <v>39</v>
      </c>
      <c r="J613" s="105"/>
      <c r="K613" s="105"/>
      <c r="L613" s="105"/>
      <c r="M613" s="106" t="s">
        <v>2567</v>
      </c>
      <c r="N613" s="106" t="s">
        <v>513</v>
      </c>
      <c r="O613" s="107"/>
      <c r="P613" s="106"/>
    </row>
    <row r="614" spans="1:16" outlineLevel="3" x14ac:dyDescent="0.3">
      <c r="A614" s="105" t="s">
        <v>2568</v>
      </c>
      <c r="B614" s="106"/>
      <c r="C614" s="106"/>
      <c r="D614" s="106"/>
      <c r="E614" s="106" t="s">
        <v>2569</v>
      </c>
      <c r="F614" s="106" t="s">
        <v>2570</v>
      </c>
      <c r="G614" s="105">
        <v>4</v>
      </c>
      <c r="H614" s="106" t="s">
        <v>7</v>
      </c>
      <c r="I614" s="105" t="s">
        <v>39</v>
      </c>
      <c r="J614" s="105"/>
      <c r="K614" s="105"/>
      <c r="L614" s="105"/>
      <c r="M614" s="106" t="s">
        <v>2571</v>
      </c>
      <c r="N614" s="106" t="s">
        <v>2193</v>
      </c>
      <c r="O614" s="107"/>
      <c r="P614" s="106" t="s">
        <v>2572</v>
      </c>
    </row>
    <row r="615" spans="1:16" outlineLevel="3" x14ac:dyDescent="0.3">
      <c r="A615" s="105" t="s">
        <v>2573</v>
      </c>
      <c r="B615" s="106"/>
      <c r="C615" s="106"/>
      <c r="D615" s="106"/>
      <c r="E615" s="106" t="s">
        <v>2574</v>
      </c>
      <c r="F615" s="106" t="s">
        <v>2575</v>
      </c>
      <c r="G615" s="105">
        <v>4</v>
      </c>
      <c r="H615" s="106" t="s">
        <v>7</v>
      </c>
      <c r="I615" s="105" t="s">
        <v>39</v>
      </c>
      <c r="J615" s="105"/>
      <c r="K615" s="105"/>
      <c r="L615" s="105"/>
      <c r="M615" s="106" t="s">
        <v>2576</v>
      </c>
      <c r="N615" s="106" t="s">
        <v>513</v>
      </c>
      <c r="O615" s="107"/>
      <c r="P615" s="106"/>
    </row>
    <row r="616" spans="1:16" outlineLevel="3" x14ac:dyDescent="0.3">
      <c r="A616" s="105" t="s">
        <v>2577</v>
      </c>
      <c r="B616" s="106"/>
      <c r="C616" s="106"/>
      <c r="D616" s="106"/>
      <c r="E616" s="106" t="s">
        <v>2578</v>
      </c>
      <c r="F616" s="106" t="s">
        <v>2579</v>
      </c>
      <c r="G616" s="105">
        <v>4</v>
      </c>
      <c r="H616" s="106" t="s">
        <v>7</v>
      </c>
      <c r="I616" s="105" t="s">
        <v>39</v>
      </c>
      <c r="J616" s="105"/>
      <c r="K616" s="105"/>
      <c r="L616" s="105"/>
      <c r="M616" s="106" t="s">
        <v>2580</v>
      </c>
      <c r="N616" s="106" t="s">
        <v>513</v>
      </c>
      <c r="O616" s="107"/>
      <c r="P616" s="106"/>
    </row>
    <row r="617" spans="1:16" ht="27.6" outlineLevel="2" x14ac:dyDescent="0.3">
      <c r="A617" s="154" t="s">
        <v>2581</v>
      </c>
      <c r="B617" s="155"/>
      <c r="C617" s="155"/>
      <c r="D617" s="155" t="s">
        <v>2582</v>
      </c>
      <c r="E617" s="155"/>
      <c r="F617" s="155"/>
      <c r="G617" s="154">
        <v>3</v>
      </c>
      <c r="H617" s="155" t="s">
        <v>25</v>
      </c>
      <c r="I617" s="154" t="s">
        <v>39</v>
      </c>
      <c r="J617" s="154">
        <v>8</v>
      </c>
      <c r="K617" s="154">
        <v>0</v>
      </c>
      <c r="L617" s="154">
        <v>5</v>
      </c>
      <c r="M617" s="156" t="s">
        <v>2583</v>
      </c>
      <c r="N617" s="156" t="s">
        <v>2193</v>
      </c>
      <c r="O617" s="157"/>
      <c r="P617" s="156" t="s">
        <v>2584</v>
      </c>
    </row>
    <row r="618" spans="1:16" outlineLevel="3" x14ac:dyDescent="0.3">
      <c r="A618" s="105" t="s">
        <v>2585</v>
      </c>
      <c r="B618" s="106"/>
      <c r="C618" s="106"/>
      <c r="D618" s="106"/>
      <c r="E618" s="106" t="s">
        <v>2586</v>
      </c>
      <c r="F618" s="106" t="s">
        <v>2587</v>
      </c>
      <c r="G618" s="105">
        <v>4</v>
      </c>
      <c r="H618" s="106" t="s">
        <v>7</v>
      </c>
      <c r="I618" s="105" t="s">
        <v>39</v>
      </c>
      <c r="J618" s="105"/>
      <c r="K618" s="105"/>
      <c r="L618" s="105"/>
      <c r="M618" s="106" t="s">
        <v>2588</v>
      </c>
      <c r="N618" s="106" t="s">
        <v>513</v>
      </c>
      <c r="O618" s="107"/>
      <c r="P618" s="106"/>
    </row>
    <row r="619" spans="1:16" outlineLevel="3" x14ac:dyDescent="0.3">
      <c r="A619" s="105" t="s">
        <v>2589</v>
      </c>
      <c r="B619" s="106"/>
      <c r="C619" s="106"/>
      <c r="D619" s="106"/>
      <c r="E619" s="106" t="s">
        <v>2590</v>
      </c>
      <c r="F619" s="106" t="s">
        <v>2591</v>
      </c>
      <c r="G619" s="105">
        <v>4</v>
      </c>
      <c r="H619" s="106" t="s">
        <v>7</v>
      </c>
      <c r="I619" s="105" t="s">
        <v>39</v>
      </c>
      <c r="J619" s="105"/>
      <c r="K619" s="105"/>
      <c r="L619" s="105"/>
      <c r="M619" s="106" t="s">
        <v>2592</v>
      </c>
      <c r="N619" s="106" t="s">
        <v>2193</v>
      </c>
      <c r="O619" s="107"/>
      <c r="P619" s="106" t="s">
        <v>2593</v>
      </c>
    </row>
    <row r="620" spans="1:16" outlineLevel="3" x14ac:dyDescent="0.3">
      <c r="A620" s="105" t="s">
        <v>2594</v>
      </c>
      <c r="B620" s="106"/>
      <c r="C620" s="106"/>
      <c r="D620" s="106"/>
      <c r="E620" s="106" t="s">
        <v>2595</v>
      </c>
      <c r="F620" s="106" t="s">
        <v>2596</v>
      </c>
      <c r="G620" s="105">
        <v>4</v>
      </c>
      <c r="H620" s="106" t="s">
        <v>7</v>
      </c>
      <c r="I620" s="105" t="s">
        <v>39</v>
      </c>
      <c r="J620" s="105"/>
      <c r="K620" s="105"/>
      <c r="L620" s="105"/>
      <c r="M620" s="106" t="s">
        <v>2597</v>
      </c>
      <c r="N620" s="106" t="s">
        <v>513</v>
      </c>
      <c r="O620" s="107"/>
      <c r="P620" s="106"/>
    </row>
    <row r="621" spans="1:16" outlineLevel="3" x14ac:dyDescent="0.3">
      <c r="A621" s="105" t="s">
        <v>2598</v>
      </c>
      <c r="B621" s="106"/>
      <c r="C621" s="106"/>
      <c r="D621" s="106"/>
      <c r="E621" s="106" t="s">
        <v>2599</v>
      </c>
      <c r="F621" s="106" t="s">
        <v>2600</v>
      </c>
      <c r="G621" s="105">
        <v>4</v>
      </c>
      <c r="H621" s="106" t="s">
        <v>7</v>
      </c>
      <c r="I621" s="105" t="s">
        <v>39</v>
      </c>
      <c r="J621" s="105"/>
      <c r="K621" s="105"/>
      <c r="L621" s="105"/>
      <c r="M621" s="106" t="s">
        <v>2601</v>
      </c>
      <c r="N621" s="106" t="s">
        <v>223</v>
      </c>
      <c r="O621" s="107"/>
      <c r="P621" s="106" t="s">
        <v>2602</v>
      </c>
    </row>
    <row r="622" spans="1:16" outlineLevel="3" x14ac:dyDescent="0.3">
      <c r="A622" s="105" t="s">
        <v>2603</v>
      </c>
      <c r="B622" s="106"/>
      <c r="C622" s="106"/>
      <c r="D622" s="106"/>
      <c r="E622" s="106" t="s">
        <v>2604</v>
      </c>
      <c r="F622" s="106" t="s">
        <v>2605</v>
      </c>
      <c r="G622" s="105">
        <v>4</v>
      </c>
      <c r="H622" s="106" t="s">
        <v>7</v>
      </c>
      <c r="I622" s="105" t="s">
        <v>39</v>
      </c>
      <c r="J622" s="105"/>
      <c r="K622" s="105"/>
      <c r="L622" s="105"/>
      <c r="M622" s="106" t="s">
        <v>2606</v>
      </c>
      <c r="N622" s="106" t="s">
        <v>2193</v>
      </c>
      <c r="O622" s="107"/>
      <c r="P622" s="106" t="s">
        <v>2607</v>
      </c>
    </row>
    <row r="623" spans="1:16" outlineLevel="3" x14ac:dyDescent="0.3">
      <c r="A623" s="105" t="s">
        <v>2608</v>
      </c>
      <c r="B623" s="106"/>
      <c r="C623" s="106"/>
      <c r="D623" s="106"/>
      <c r="E623" s="106" t="s">
        <v>2609</v>
      </c>
      <c r="F623" s="106" t="s">
        <v>2610</v>
      </c>
      <c r="G623" s="105">
        <v>4</v>
      </c>
      <c r="H623" s="106" t="s">
        <v>7</v>
      </c>
      <c r="I623" s="105" t="s">
        <v>39</v>
      </c>
      <c r="J623" s="105"/>
      <c r="K623" s="105"/>
      <c r="L623" s="105"/>
      <c r="M623" s="106" t="s">
        <v>2611</v>
      </c>
      <c r="N623" s="106" t="s">
        <v>223</v>
      </c>
      <c r="O623" s="107"/>
      <c r="P623" s="106" t="s">
        <v>2612</v>
      </c>
    </row>
    <row r="624" spans="1:16" outlineLevel="3" x14ac:dyDescent="0.3">
      <c r="A624" s="105" t="s">
        <v>2613</v>
      </c>
      <c r="B624" s="106"/>
      <c r="C624" s="106"/>
      <c r="D624" s="106"/>
      <c r="E624" s="106" t="s">
        <v>2614</v>
      </c>
      <c r="F624" s="106" t="s">
        <v>2615</v>
      </c>
      <c r="G624" s="105">
        <v>4</v>
      </c>
      <c r="H624" s="106" t="s">
        <v>7</v>
      </c>
      <c r="I624" s="105" t="s">
        <v>39</v>
      </c>
      <c r="J624" s="105"/>
      <c r="K624" s="105"/>
      <c r="L624" s="105"/>
      <c r="M624" s="106" t="s">
        <v>2616</v>
      </c>
      <c r="N624" s="106" t="s">
        <v>513</v>
      </c>
      <c r="O624" s="107"/>
      <c r="P624" s="106"/>
    </row>
    <row r="625" spans="1:16" outlineLevel="3" x14ac:dyDescent="0.3">
      <c r="A625" s="105" t="s">
        <v>2617</v>
      </c>
      <c r="B625" s="106"/>
      <c r="C625" s="106"/>
      <c r="D625" s="106"/>
      <c r="E625" s="106" t="s">
        <v>2618</v>
      </c>
      <c r="F625" s="106" t="s">
        <v>2619</v>
      </c>
      <c r="G625" s="105">
        <v>4</v>
      </c>
      <c r="H625" s="106" t="s">
        <v>7</v>
      </c>
      <c r="I625" s="105" t="s">
        <v>39</v>
      </c>
      <c r="J625" s="105"/>
      <c r="K625" s="105"/>
      <c r="L625" s="105"/>
      <c r="M625" s="106" t="s">
        <v>2620</v>
      </c>
      <c r="N625" s="106" t="s">
        <v>2193</v>
      </c>
      <c r="O625" s="107"/>
      <c r="P625" s="106" t="s">
        <v>2621</v>
      </c>
    </row>
    <row r="626" spans="1:16" ht="27.6" outlineLevel="2" x14ac:dyDescent="0.3">
      <c r="A626" s="154" t="s">
        <v>2622</v>
      </c>
      <c r="B626" s="155"/>
      <c r="C626" s="155"/>
      <c r="D626" s="155" t="s">
        <v>2623</v>
      </c>
      <c r="E626" s="155"/>
      <c r="F626" s="155"/>
      <c r="G626" s="154">
        <v>3</v>
      </c>
      <c r="H626" s="155" t="s">
        <v>25</v>
      </c>
      <c r="I626" s="154" t="s">
        <v>39</v>
      </c>
      <c r="J626" s="154">
        <v>4</v>
      </c>
      <c r="K626" s="154">
        <v>0</v>
      </c>
      <c r="L626" s="154">
        <v>2</v>
      </c>
      <c r="M626" s="156" t="s">
        <v>2624</v>
      </c>
      <c r="N626" s="156" t="s">
        <v>2193</v>
      </c>
      <c r="O626" s="157"/>
      <c r="P626" s="156" t="s">
        <v>2625</v>
      </c>
    </row>
    <row r="627" spans="1:16" outlineLevel="3" x14ac:dyDescent="0.3">
      <c r="A627" s="105" t="s">
        <v>2626</v>
      </c>
      <c r="B627" s="106"/>
      <c r="C627" s="106"/>
      <c r="D627" s="106"/>
      <c r="E627" s="106" t="s">
        <v>2627</v>
      </c>
      <c r="F627" s="106" t="s">
        <v>2628</v>
      </c>
      <c r="G627" s="105">
        <v>4</v>
      </c>
      <c r="H627" s="106" t="s">
        <v>7</v>
      </c>
      <c r="I627" s="105" t="s">
        <v>39</v>
      </c>
      <c r="J627" s="105"/>
      <c r="K627" s="105"/>
      <c r="L627" s="105"/>
      <c r="M627" s="106" t="s">
        <v>2629</v>
      </c>
      <c r="N627" s="106" t="s">
        <v>2193</v>
      </c>
      <c r="O627" s="107"/>
      <c r="P627" s="106" t="s">
        <v>2630</v>
      </c>
    </row>
    <row r="628" spans="1:16" outlineLevel="3" x14ac:dyDescent="0.3">
      <c r="A628" s="105" t="s">
        <v>2631</v>
      </c>
      <c r="B628" s="106"/>
      <c r="C628" s="106"/>
      <c r="D628" s="106"/>
      <c r="E628" s="106" t="s">
        <v>2632</v>
      </c>
      <c r="F628" s="106" t="s">
        <v>2633</v>
      </c>
      <c r="G628" s="105">
        <v>4</v>
      </c>
      <c r="H628" s="106" t="s">
        <v>7</v>
      </c>
      <c r="I628" s="105" t="s">
        <v>39</v>
      </c>
      <c r="J628" s="105"/>
      <c r="K628" s="105"/>
      <c r="L628" s="105"/>
      <c r="M628" s="106" t="s">
        <v>2634</v>
      </c>
      <c r="N628" s="106" t="s">
        <v>513</v>
      </c>
      <c r="O628" s="107"/>
      <c r="P628" s="106"/>
    </row>
    <row r="629" spans="1:16" outlineLevel="3" x14ac:dyDescent="0.3">
      <c r="A629" s="105" t="s">
        <v>2635</v>
      </c>
      <c r="B629" s="106"/>
      <c r="C629" s="106"/>
      <c r="D629" s="106"/>
      <c r="E629" s="106" t="s">
        <v>2636</v>
      </c>
      <c r="F629" s="106" t="s">
        <v>2637</v>
      </c>
      <c r="G629" s="105">
        <v>4</v>
      </c>
      <c r="H629" s="106" t="s">
        <v>7</v>
      </c>
      <c r="I629" s="105" t="s">
        <v>39</v>
      </c>
      <c r="J629" s="105"/>
      <c r="K629" s="105"/>
      <c r="L629" s="105"/>
      <c r="M629" s="106" t="s">
        <v>2638</v>
      </c>
      <c r="N629" s="106" t="s">
        <v>513</v>
      </c>
      <c r="O629" s="107"/>
      <c r="P629" s="106"/>
    </row>
    <row r="630" spans="1:16" outlineLevel="3" x14ac:dyDescent="0.3">
      <c r="A630" s="105" t="s">
        <v>2639</v>
      </c>
      <c r="B630" s="106"/>
      <c r="C630" s="106"/>
      <c r="D630" s="106"/>
      <c r="E630" s="106" t="s">
        <v>2640</v>
      </c>
      <c r="F630" s="106" t="s">
        <v>2641</v>
      </c>
      <c r="G630" s="105">
        <v>4</v>
      </c>
      <c r="H630" s="106" t="s">
        <v>7</v>
      </c>
      <c r="I630" s="105" t="s">
        <v>39</v>
      </c>
      <c r="J630" s="105"/>
      <c r="K630" s="105"/>
      <c r="L630" s="105"/>
      <c r="M630" s="106" t="s">
        <v>2642</v>
      </c>
      <c r="N630" s="106" t="s">
        <v>2193</v>
      </c>
      <c r="O630" s="107"/>
      <c r="P630" s="106" t="s">
        <v>2643</v>
      </c>
    </row>
    <row r="631" spans="1:16" ht="27.6" outlineLevel="2" x14ac:dyDescent="0.3">
      <c r="A631" s="154" t="s">
        <v>2644</v>
      </c>
      <c r="B631" s="155"/>
      <c r="C631" s="155"/>
      <c r="D631" s="155" t="s">
        <v>2645</v>
      </c>
      <c r="E631" s="155"/>
      <c r="F631" s="155"/>
      <c r="G631" s="154">
        <v>3</v>
      </c>
      <c r="H631" s="155" t="s">
        <v>25</v>
      </c>
      <c r="I631" s="154" t="s">
        <v>39</v>
      </c>
      <c r="J631" s="154">
        <v>6</v>
      </c>
      <c r="K631" s="154">
        <v>0</v>
      </c>
      <c r="L631" s="154">
        <v>3</v>
      </c>
      <c r="M631" s="156" t="s">
        <v>2646</v>
      </c>
      <c r="N631" s="156" t="s">
        <v>2193</v>
      </c>
      <c r="O631" s="157"/>
      <c r="P631" s="156" t="s">
        <v>2647</v>
      </c>
    </row>
    <row r="632" spans="1:16" outlineLevel="3" x14ac:dyDescent="0.3">
      <c r="A632" s="105" t="s">
        <v>2648</v>
      </c>
      <c r="B632" s="106"/>
      <c r="C632" s="106"/>
      <c r="D632" s="106"/>
      <c r="E632" s="106" t="s">
        <v>2649</v>
      </c>
      <c r="F632" s="106" t="s">
        <v>2650</v>
      </c>
      <c r="G632" s="105">
        <v>4</v>
      </c>
      <c r="H632" s="106" t="s">
        <v>7</v>
      </c>
      <c r="I632" s="105" t="s">
        <v>39</v>
      </c>
      <c r="J632" s="105"/>
      <c r="K632" s="105"/>
      <c r="L632" s="105"/>
      <c r="M632" s="106" t="s">
        <v>2651</v>
      </c>
      <c r="N632" s="106" t="s">
        <v>513</v>
      </c>
      <c r="O632" s="107"/>
      <c r="P632" s="106"/>
    </row>
    <row r="633" spans="1:16" outlineLevel="3" x14ac:dyDescent="0.3">
      <c r="A633" s="105" t="s">
        <v>2652</v>
      </c>
      <c r="B633" s="106"/>
      <c r="C633" s="106"/>
      <c r="D633" s="106"/>
      <c r="E633" s="106" t="s">
        <v>2653</v>
      </c>
      <c r="F633" s="106" t="s">
        <v>2654</v>
      </c>
      <c r="G633" s="105">
        <v>4</v>
      </c>
      <c r="H633" s="106" t="s">
        <v>7</v>
      </c>
      <c r="I633" s="105" t="s">
        <v>39</v>
      </c>
      <c r="J633" s="105"/>
      <c r="K633" s="105"/>
      <c r="L633" s="105"/>
      <c r="M633" s="106" t="s">
        <v>2655</v>
      </c>
      <c r="N633" s="106" t="s">
        <v>2193</v>
      </c>
      <c r="O633" s="107"/>
      <c r="P633" s="106" t="s">
        <v>2656</v>
      </c>
    </row>
    <row r="634" spans="1:16" outlineLevel="3" x14ac:dyDescent="0.3">
      <c r="A634" s="105" t="s">
        <v>2657</v>
      </c>
      <c r="B634" s="106"/>
      <c r="C634" s="106"/>
      <c r="D634" s="106"/>
      <c r="E634" s="106" t="s">
        <v>2658</v>
      </c>
      <c r="F634" s="106" t="s">
        <v>2659</v>
      </c>
      <c r="G634" s="105">
        <v>4</v>
      </c>
      <c r="H634" s="106" t="s">
        <v>7</v>
      </c>
      <c r="I634" s="105" t="s">
        <v>39</v>
      </c>
      <c r="J634" s="105"/>
      <c r="K634" s="105"/>
      <c r="L634" s="105"/>
      <c r="M634" s="106" t="s">
        <v>2660</v>
      </c>
      <c r="N634" s="106" t="s">
        <v>513</v>
      </c>
      <c r="O634" s="107"/>
      <c r="P634" s="106"/>
    </row>
    <row r="635" spans="1:16" outlineLevel="3" x14ac:dyDescent="0.3">
      <c r="A635" s="105" t="s">
        <v>2661</v>
      </c>
      <c r="B635" s="106"/>
      <c r="C635" s="106"/>
      <c r="D635" s="106"/>
      <c r="E635" s="106" t="s">
        <v>2662</v>
      </c>
      <c r="F635" s="106" t="s">
        <v>2663</v>
      </c>
      <c r="G635" s="105">
        <v>4</v>
      </c>
      <c r="H635" s="106" t="s">
        <v>7</v>
      </c>
      <c r="I635" s="105" t="s">
        <v>39</v>
      </c>
      <c r="J635" s="105"/>
      <c r="K635" s="105"/>
      <c r="L635" s="105"/>
      <c r="M635" s="106" t="s">
        <v>2664</v>
      </c>
      <c r="N635" s="106" t="s">
        <v>2193</v>
      </c>
      <c r="O635" s="107"/>
      <c r="P635" s="106" t="s">
        <v>2665</v>
      </c>
    </row>
    <row r="636" spans="1:16" outlineLevel="3" x14ac:dyDescent="0.3">
      <c r="A636" s="105" t="s">
        <v>2666</v>
      </c>
      <c r="B636" s="106"/>
      <c r="C636" s="106"/>
      <c r="D636" s="106"/>
      <c r="E636" s="106" t="s">
        <v>2667</v>
      </c>
      <c r="F636" s="106" t="s">
        <v>2668</v>
      </c>
      <c r="G636" s="105">
        <v>4</v>
      </c>
      <c r="H636" s="106" t="s">
        <v>7</v>
      </c>
      <c r="I636" s="105" t="s">
        <v>39</v>
      </c>
      <c r="J636" s="105"/>
      <c r="K636" s="105"/>
      <c r="L636" s="105"/>
      <c r="M636" s="106" t="s">
        <v>2669</v>
      </c>
      <c r="N636" s="106" t="s">
        <v>513</v>
      </c>
      <c r="O636" s="107"/>
      <c r="P636" s="106"/>
    </row>
    <row r="637" spans="1:16" outlineLevel="3" x14ac:dyDescent="0.3">
      <c r="A637" s="105" t="s">
        <v>2670</v>
      </c>
      <c r="B637" s="106"/>
      <c r="C637" s="106"/>
      <c r="D637" s="106"/>
      <c r="E637" s="106" t="s">
        <v>2667</v>
      </c>
      <c r="F637" s="106" t="s">
        <v>2671</v>
      </c>
      <c r="G637" s="105">
        <v>4</v>
      </c>
      <c r="H637" s="106" t="s">
        <v>7</v>
      </c>
      <c r="I637" s="105" t="s">
        <v>39</v>
      </c>
      <c r="J637" s="105"/>
      <c r="K637" s="105"/>
      <c r="L637" s="105"/>
      <c r="M637" s="106" t="s">
        <v>2672</v>
      </c>
      <c r="N637" s="106" t="s">
        <v>223</v>
      </c>
      <c r="O637" s="107"/>
      <c r="P637" s="106" t="s">
        <v>2673</v>
      </c>
    </row>
    <row r="638" spans="1:16" ht="27.6" outlineLevel="2" x14ac:dyDescent="0.3">
      <c r="A638" s="154" t="s">
        <v>2674</v>
      </c>
      <c r="B638" s="155"/>
      <c r="C638" s="155"/>
      <c r="D638" s="155" t="s">
        <v>2675</v>
      </c>
      <c r="E638" s="155"/>
      <c r="F638" s="155"/>
      <c r="G638" s="154">
        <v>3</v>
      </c>
      <c r="H638" s="155" t="s">
        <v>25</v>
      </c>
      <c r="I638" s="154" t="s">
        <v>39</v>
      </c>
      <c r="J638" s="154">
        <v>26</v>
      </c>
      <c r="K638" s="154">
        <v>0</v>
      </c>
      <c r="L638" s="154">
        <v>20</v>
      </c>
      <c r="M638" s="156" t="s">
        <v>2676</v>
      </c>
      <c r="N638" s="156" t="s">
        <v>2193</v>
      </c>
      <c r="O638" s="157"/>
      <c r="P638" s="156" t="s">
        <v>2677</v>
      </c>
    </row>
    <row r="639" spans="1:16" outlineLevel="3" x14ac:dyDescent="0.3">
      <c r="A639" s="105" t="s">
        <v>2678</v>
      </c>
      <c r="B639" s="106"/>
      <c r="C639" s="106"/>
      <c r="D639" s="106"/>
      <c r="E639" s="106" t="s">
        <v>2679</v>
      </c>
      <c r="F639" s="106" t="s">
        <v>2680</v>
      </c>
      <c r="G639" s="105">
        <v>4</v>
      </c>
      <c r="H639" s="106" t="s">
        <v>7</v>
      </c>
      <c r="I639" s="105" t="s">
        <v>39</v>
      </c>
      <c r="J639" s="105"/>
      <c r="K639" s="105"/>
      <c r="L639" s="105"/>
      <c r="M639" s="106" t="s">
        <v>2681</v>
      </c>
      <c r="N639" s="106" t="s">
        <v>513</v>
      </c>
      <c r="O639" s="107"/>
      <c r="P639" s="106"/>
    </row>
    <row r="640" spans="1:16" outlineLevel="3" x14ac:dyDescent="0.3">
      <c r="A640" s="105" t="s">
        <v>2682</v>
      </c>
      <c r="B640" s="106"/>
      <c r="C640" s="106"/>
      <c r="D640" s="106"/>
      <c r="E640" s="106" t="s">
        <v>2683</v>
      </c>
      <c r="F640" s="106" t="s">
        <v>2684</v>
      </c>
      <c r="G640" s="105">
        <v>4</v>
      </c>
      <c r="H640" s="106" t="s">
        <v>7</v>
      </c>
      <c r="I640" s="105" t="s">
        <v>39</v>
      </c>
      <c r="J640" s="105"/>
      <c r="K640" s="105"/>
      <c r="L640" s="105"/>
      <c r="M640" s="106" t="s">
        <v>2685</v>
      </c>
      <c r="N640" s="106" t="s">
        <v>2193</v>
      </c>
      <c r="O640" s="107"/>
      <c r="P640" s="106" t="s">
        <v>2686</v>
      </c>
    </row>
    <row r="641" spans="1:16" outlineLevel="3" x14ac:dyDescent="0.3">
      <c r="A641" s="105" t="s">
        <v>2687</v>
      </c>
      <c r="B641" s="106"/>
      <c r="C641" s="106"/>
      <c r="D641" s="106"/>
      <c r="E641" s="106" t="s">
        <v>2688</v>
      </c>
      <c r="F641" s="106" t="s">
        <v>2689</v>
      </c>
      <c r="G641" s="105">
        <v>4</v>
      </c>
      <c r="H641" s="106" t="s">
        <v>7</v>
      </c>
      <c r="I641" s="105" t="s">
        <v>39</v>
      </c>
      <c r="J641" s="105"/>
      <c r="K641" s="105"/>
      <c r="L641" s="105"/>
      <c r="M641" s="106" t="s">
        <v>2690</v>
      </c>
      <c r="N641" s="106" t="s">
        <v>2193</v>
      </c>
      <c r="O641" s="107"/>
      <c r="P641" s="106" t="s">
        <v>2691</v>
      </c>
    </row>
    <row r="642" spans="1:16" outlineLevel="3" x14ac:dyDescent="0.3">
      <c r="A642" s="105" t="s">
        <v>2692</v>
      </c>
      <c r="B642" s="106"/>
      <c r="C642" s="106"/>
      <c r="D642" s="106"/>
      <c r="E642" s="106" t="s">
        <v>2693</v>
      </c>
      <c r="F642" s="106" t="s">
        <v>2694</v>
      </c>
      <c r="G642" s="105">
        <v>4</v>
      </c>
      <c r="H642" s="106" t="s">
        <v>7</v>
      </c>
      <c r="I642" s="105" t="s">
        <v>39</v>
      </c>
      <c r="J642" s="105"/>
      <c r="K642" s="105"/>
      <c r="L642" s="105"/>
      <c r="M642" s="106" t="s">
        <v>2695</v>
      </c>
      <c r="N642" s="106" t="s">
        <v>2193</v>
      </c>
      <c r="O642" s="107"/>
      <c r="P642" s="106" t="s">
        <v>2696</v>
      </c>
    </row>
    <row r="643" spans="1:16" outlineLevel="3" x14ac:dyDescent="0.3">
      <c r="A643" s="105" t="s">
        <v>2697</v>
      </c>
      <c r="B643" s="106"/>
      <c r="C643" s="106"/>
      <c r="D643" s="106"/>
      <c r="E643" s="106" t="s">
        <v>2698</v>
      </c>
      <c r="F643" s="106" t="s">
        <v>2699</v>
      </c>
      <c r="G643" s="105">
        <v>4</v>
      </c>
      <c r="H643" s="106" t="s">
        <v>7</v>
      </c>
      <c r="I643" s="105" t="s">
        <v>39</v>
      </c>
      <c r="J643" s="105"/>
      <c r="K643" s="105"/>
      <c r="L643" s="105"/>
      <c r="M643" s="106" t="s">
        <v>2700</v>
      </c>
      <c r="N643" s="106" t="s">
        <v>2193</v>
      </c>
      <c r="O643" s="107" t="s">
        <v>332</v>
      </c>
      <c r="P643" s="106" t="s">
        <v>2701</v>
      </c>
    </row>
    <row r="644" spans="1:16" outlineLevel="3" x14ac:dyDescent="0.3">
      <c r="A644" s="105" t="s">
        <v>2702</v>
      </c>
      <c r="B644" s="106"/>
      <c r="C644" s="106"/>
      <c r="D644" s="106"/>
      <c r="E644" s="106" t="s">
        <v>2703</v>
      </c>
      <c r="F644" s="106" t="s">
        <v>2704</v>
      </c>
      <c r="G644" s="105">
        <v>4</v>
      </c>
      <c r="H644" s="106" t="s">
        <v>7</v>
      </c>
      <c r="I644" s="105" t="s">
        <v>39</v>
      </c>
      <c r="J644" s="105"/>
      <c r="K644" s="105"/>
      <c r="L644" s="105"/>
      <c r="M644" s="106" t="s">
        <v>2705</v>
      </c>
      <c r="N644" s="106" t="s">
        <v>2193</v>
      </c>
      <c r="O644" s="107"/>
      <c r="P644" s="106" t="s">
        <v>2706</v>
      </c>
    </row>
    <row r="645" spans="1:16" outlineLevel="3" x14ac:dyDescent="0.3">
      <c r="A645" s="105" t="s">
        <v>2707</v>
      </c>
      <c r="B645" s="106"/>
      <c r="C645" s="106"/>
      <c r="D645" s="106"/>
      <c r="E645" s="106" t="s">
        <v>2708</v>
      </c>
      <c r="F645" s="106" t="s">
        <v>2709</v>
      </c>
      <c r="G645" s="105">
        <v>4</v>
      </c>
      <c r="H645" s="106" t="s">
        <v>7</v>
      </c>
      <c r="I645" s="105" t="s">
        <v>39</v>
      </c>
      <c r="J645" s="105"/>
      <c r="K645" s="105"/>
      <c r="L645" s="105"/>
      <c r="M645" s="106" t="s">
        <v>2710</v>
      </c>
      <c r="N645" s="106" t="s">
        <v>2193</v>
      </c>
      <c r="O645" s="107"/>
      <c r="P645" s="106" t="s">
        <v>2711</v>
      </c>
    </row>
    <row r="646" spans="1:16" outlineLevel="3" x14ac:dyDescent="0.3">
      <c r="A646" s="105" t="s">
        <v>2712</v>
      </c>
      <c r="B646" s="106"/>
      <c r="C646" s="106"/>
      <c r="D646" s="106"/>
      <c r="E646" s="106" t="s">
        <v>2713</v>
      </c>
      <c r="F646" s="106" t="s">
        <v>2714</v>
      </c>
      <c r="G646" s="105">
        <v>4</v>
      </c>
      <c r="H646" s="106" t="s">
        <v>7</v>
      </c>
      <c r="I646" s="105" t="s">
        <v>39</v>
      </c>
      <c r="J646" s="105"/>
      <c r="K646" s="105"/>
      <c r="L646" s="105"/>
      <c r="M646" s="106" t="s">
        <v>2715</v>
      </c>
      <c r="N646" s="106" t="s">
        <v>2193</v>
      </c>
      <c r="O646" s="107"/>
      <c r="P646" s="106" t="s">
        <v>2716</v>
      </c>
    </row>
    <row r="647" spans="1:16" outlineLevel="3" x14ac:dyDescent="0.3">
      <c r="A647" s="105" t="s">
        <v>2717</v>
      </c>
      <c r="B647" s="106"/>
      <c r="C647" s="106"/>
      <c r="D647" s="106"/>
      <c r="E647" s="106" t="s">
        <v>2718</v>
      </c>
      <c r="F647" s="106" t="s">
        <v>2719</v>
      </c>
      <c r="G647" s="105">
        <v>4</v>
      </c>
      <c r="H647" s="106" t="s">
        <v>7</v>
      </c>
      <c r="I647" s="105" t="s">
        <v>39</v>
      </c>
      <c r="J647" s="105"/>
      <c r="K647" s="105"/>
      <c r="L647" s="105"/>
      <c r="M647" s="106" t="s">
        <v>2720</v>
      </c>
      <c r="N647" s="106" t="s">
        <v>2193</v>
      </c>
      <c r="O647" s="107"/>
      <c r="P647" s="106" t="s">
        <v>2721</v>
      </c>
    </row>
    <row r="648" spans="1:16" outlineLevel="3" x14ac:dyDescent="0.3">
      <c r="A648" s="105" t="s">
        <v>2722</v>
      </c>
      <c r="B648" s="106"/>
      <c r="C648" s="106"/>
      <c r="D648" s="106"/>
      <c r="E648" s="106" t="s">
        <v>2723</v>
      </c>
      <c r="F648" s="106" t="s">
        <v>2724</v>
      </c>
      <c r="G648" s="105">
        <v>4</v>
      </c>
      <c r="H648" s="106" t="s">
        <v>7</v>
      </c>
      <c r="I648" s="105" t="s">
        <v>39</v>
      </c>
      <c r="J648" s="105"/>
      <c r="K648" s="105"/>
      <c r="L648" s="105"/>
      <c r="M648" s="106" t="s">
        <v>2725</v>
      </c>
      <c r="N648" s="106" t="s">
        <v>2193</v>
      </c>
      <c r="O648" s="107"/>
      <c r="P648" s="106" t="s">
        <v>2726</v>
      </c>
    </row>
    <row r="649" spans="1:16" outlineLevel="3" x14ac:dyDescent="0.3">
      <c r="A649" s="105" t="s">
        <v>2727</v>
      </c>
      <c r="B649" s="106"/>
      <c r="C649" s="106"/>
      <c r="D649" s="106"/>
      <c r="E649" s="106" t="s">
        <v>2728</v>
      </c>
      <c r="F649" s="106" t="s">
        <v>2729</v>
      </c>
      <c r="G649" s="105">
        <v>4</v>
      </c>
      <c r="H649" s="106" t="s">
        <v>7</v>
      </c>
      <c r="I649" s="105" t="s">
        <v>39</v>
      </c>
      <c r="J649" s="105"/>
      <c r="K649" s="105"/>
      <c r="L649" s="105"/>
      <c r="M649" s="106" t="s">
        <v>2730</v>
      </c>
      <c r="N649" s="106" t="s">
        <v>2193</v>
      </c>
      <c r="O649" s="107"/>
      <c r="P649" s="106" t="s">
        <v>2731</v>
      </c>
    </row>
    <row r="650" spans="1:16" outlineLevel="3" x14ac:dyDescent="0.3">
      <c r="A650" s="105" t="s">
        <v>2732</v>
      </c>
      <c r="B650" s="106"/>
      <c r="C650" s="106"/>
      <c r="D650" s="106"/>
      <c r="E650" s="106" t="s">
        <v>2733</v>
      </c>
      <c r="F650" s="106" t="s">
        <v>2734</v>
      </c>
      <c r="G650" s="105">
        <v>4</v>
      </c>
      <c r="H650" s="106" t="s">
        <v>7</v>
      </c>
      <c r="I650" s="105" t="s">
        <v>39</v>
      </c>
      <c r="J650" s="105"/>
      <c r="K650" s="105"/>
      <c r="L650" s="105"/>
      <c r="M650" s="106" t="s">
        <v>2735</v>
      </c>
      <c r="N650" s="106" t="s">
        <v>513</v>
      </c>
      <c r="O650" s="107"/>
      <c r="P650" s="106"/>
    </row>
    <row r="651" spans="1:16" outlineLevel="3" x14ac:dyDescent="0.3">
      <c r="A651" s="105" t="s">
        <v>2736</v>
      </c>
      <c r="B651" s="106"/>
      <c r="C651" s="106"/>
      <c r="D651" s="106"/>
      <c r="E651" s="106" t="s">
        <v>2737</v>
      </c>
      <c r="F651" s="106" t="s">
        <v>2738</v>
      </c>
      <c r="G651" s="105">
        <v>4</v>
      </c>
      <c r="H651" s="106" t="s">
        <v>7</v>
      </c>
      <c r="I651" s="105" t="s">
        <v>39</v>
      </c>
      <c r="J651" s="105"/>
      <c r="K651" s="105"/>
      <c r="L651" s="105"/>
      <c r="M651" s="106" t="s">
        <v>2739</v>
      </c>
      <c r="N651" s="106" t="s">
        <v>2193</v>
      </c>
      <c r="O651" s="107"/>
      <c r="P651" s="106" t="s">
        <v>2740</v>
      </c>
    </row>
    <row r="652" spans="1:16" outlineLevel="3" x14ac:dyDescent="0.3">
      <c r="A652" s="105" t="s">
        <v>2741</v>
      </c>
      <c r="B652" s="106"/>
      <c r="C652" s="106"/>
      <c r="D652" s="106"/>
      <c r="E652" s="106" t="s">
        <v>2742</v>
      </c>
      <c r="F652" s="106" t="s">
        <v>2743</v>
      </c>
      <c r="G652" s="105">
        <v>4</v>
      </c>
      <c r="H652" s="106" t="s">
        <v>7</v>
      </c>
      <c r="I652" s="105" t="s">
        <v>39</v>
      </c>
      <c r="J652" s="105"/>
      <c r="K652" s="105"/>
      <c r="L652" s="105"/>
      <c r="M652" s="106" t="s">
        <v>2744</v>
      </c>
      <c r="N652" s="106" t="s">
        <v>513</v>
      </c>
      <c r="O652" s="107"/>
      <c r="P652" s="106"/>
    </row>
    <row r="653" spans="1:16" outlineLevel="3" x14ac:dyDescent="0.3">
      <c r="A653" s="105" t="s">
        <v>2745</v>
      </c>
      <c r="B653" s="106"/>
      <c r="C653" s="106"/>
      <c r="D653" s="106"/>
      <c r="E653" s="106" t="s">
        <v>2746</v>
      </c>
      <c r="F653" s="106" t="s">
        <v>2747</v>
      </c>
      <c r="G653" s="105">
        <v>4</v>
      </c>
      <c r="H653" s="106" t="s">
        <v>7</v>
      </c>
      <c r="I653" s="105" t="s">
        <v>39</v>
      </c>
      <c r="J653" s="105"/>
      <c r="K653" s="105"/>
      <c r="L653" s="105"/>
      <c r="M653" s="106" t="s">
        <v>2748</v>
      </c>
      <c r="N653" s="106" t="s">
        <v>2193</v>
      </c>
      <c r="O653" s="107"/>
      <c r="P653" s="106" t="s">
        <v>2749</v>
      </c>
    </row>
    <row r="654" spans="1:16" outlineLevel="3" x14ac:dyDescent="0.3">
      <c r="A654" s="105" t="s">
        <v>2750</v>
      </c>
      <c r="B654" s="106"/>
      <c r="C654" s="106"/>
      <c r="D654" s="106"/>
      <c r="E654" s="106" t="s">
        <v>2751</v>
      </c>
      <c r="F654" s="106" t="s">
        <v>2752</v>
      </c>
      <c r="G654" s="105">
        <v>4</v>
      </c>
      <c r="H654" s="106" t="s">
        <v>7</v>
      </c>
      <c r="I654" s="105" t="s">
        <v>39</v>
      </c>
      <c r="J654" s="105"/>
      <c r="K654" s="105"/>
      <c r="L654" s="105"/>
      <c r="M654" s="106" t="s">
        <v>2753</v>
      </c>
      <c r="N654" s="106" t="s">
        <v>2193</v>
      </c>
      <c r="O654" s="107"/>
      <c r="P654" s="106" t="s">
        <v>2754</v>
      </c>
    </row>
    <row r="655" spans="1:16" outlineLevel="3" x14ac:dyDescent="0.3">
      <c r="A655" s="105" t="s">
        <v>2755</v>
      </c>
      <c r="B655" s="106"/>
      <c r="C655" s="106"/>
      <c r="D655" s="106"/>
      <c r="E655" s="106" t="s">
        <v>2756</v>
      </c>
      <c r="F655" s="106" t="s">
        <v>2757</v>
      </c>
      <c r="G655" s="105">
        <v>4</v>
      </c>
      <c r="H655" s="106" t="s">
        <v>7</v>
      </c>
      <c r="I655" s="105" t="s">
        <v>39</v>
      </c>
      <c r="J655" s="105"/>
      <c r="K655" s="105"/>
      <c r="L655" s="105"/>
      <c r="M655" s="106" t="s">
        <v>2758</v>
      </c>
      <c r="N655" s="106" t="s">
        <v>513</v>
      </c>
      <c r="O655" s="107"/>
      <c r="P655" s="106"/>
    </row>
    <row r="656" spans="1:16" outlineLevel="3" x14ac:dyDescent="0.3">
      <c r="A656" s="105" t="s">
        <v>2759</v>
      </c>
      <c r="B656" s="106"/>
      <c r="C656" s="106"/>
      <c r="D656" s="106"/>
      <c r="E656" s="106" t="s">
        <v>2756</v>
      </c>
      <c r="F656" s="106" t="s">
        <v>2760</v>
      </c>
      <c r="G656" s="105">
        <v>4</v>
      </c>
      <c r="H656" s="106" t="s">
        <v>7</v>
      </c>
      <c r="I656" s="105" t="s">
        <v>39</v>
      </c>
      <c r="J656" s="105"/>
      <c r="K656" s="105"/>
      <c r="L656" s="105"/>
      <c r="M656" s="106" t="s">
        <v>2761</v>
      </c>
      <c r="N656" s="106" t="s">
        <v>223</v>
      </c>
      <c r="O656" s="107"/>
      <c r="P656" s="106" t="s">
        <v>2762</v>
      </c>
    </row>
    <row r="657" spans="1:16" outlineLevel="3" x14ac:dyDescent="0.3">
      <c r="A657" s="105" t="s">
        <v>2763</v>
      </c>
      <c r="B657" s="106"/>
      <c r="C657" s="106"/>
      <c r="D657" s="106"/>
      <c r="E657" s="106" t="s">
        <v>2764</v>
      </c>
      <c r="F657" s="106" t="s">
        <v>2765</v>
      </c>
      <c r="G657" s="105">
        <v>4</v>
      </c>
      <c r="H657" s="106" t="s">
        <v>7</v>
      </c>
      <c r="I657" s="105" t="s">
        <v>39</v>
      </c>
      <c r="J657" s="105"/>
      <c r="K657" s="105"/>
      <c r="L657" s="105"/>
      <c r="M657" s="106" t="s">
        <v>2766</v>
      </c>
      <c r="N657" s="106" t="s">
        <v>2193</v>
      </c>
      <c r="O657" s="107"/>
      <c r="P657" s="106" t="s">
        <v>2767</v>
      </c>
    </row>
    <row r="658" spans="1:16" outlineLevel="3" x14ac:dyDescent="0.3">
      <c r="A658" s="105" t="s">
        <v>2768</v>
      </c>
      <c r="B658" s="106"/>
      <c r="C658" s="106"/>
      <c r="D658" s="106"/>
      <c r="E658" s="106" t="s">
        <v>2769</v>
      </c>
      <c r="F658" s="106" t="s">
        <v>2770</v>
      </c>
      <c r="G658" s="105">
        <v>4</v>
      </c>
      <c r="H658" s="106" t="s">
        <v>7</v>
      </c>
      <c r="I658" s="105" t="s">
        <v>39</v>
      </c>
      <c r="J658" s="105"/>
      <c r="K658" s="105"/>
      <c r="L658" s="105"/>
      <c r="M658" s="106" t="s">
        <v>2771</v>
      </c>
      <c r="N658" s="106" t="s">
        <v>513</v>
      </c>
      <c r="O658" s="107"/>
      <c r="P658" s="106"/>
    </row>
    <row r="659" spans="1:16" outlineLevel="3" x14ac:dyDescent="0.3">
      <c r="A659" s="105" t="s">
        <v>2772</v>
      </c>
      <c r="B659" s="106"/>
      <c r="C659" s="106"/>
      <c r="D659" s="106"/>
      <c r="E659" s="106" t="s">
        <v>2773</v>
      </c>
      <c r="F659" s="106" t="s">
        <v>2774</v>
      </c>
      <c r="G659" s="105">
        <v>4</v>
      </c>
      <c r="H659" s="106" t="s">
        <v>7</v>
      </c>
      <c r="I659" s="105" t="s">
        <v>39</v>
      </c>
      <c r="J659" s="105"/>
      <c r="K659" s="105"/>
      <c r="L659" s="105"/>
      <c r="M659" s="106" t="s">
        <v>2775</v>
      </c>
      <c r="N659" s="106" t="s">
        <v>2193</v>
      </c>
      <c r="O659" s="107"/>
      <c r="P659" s="106" t="s">
        <v>2776</v>
      </c>
    </row>
    <row r="660" spans="1:16" outlineLevel="3" x14ac:dyDescent="0.3">
      <c r="A660" s="105" t="s">
        <v>2777</v>
      </c>
      <c r="B660" s="106"/>
      <c r="C660" s="106"/>
      <c r="D660" s="106"/>
      <c r="E660" s="106" t="s">
        <v>2778</v>
      </c>
      <c r="F660" s="106" t="s">
        <v>2779</v>
      </c>
      <c r="G660" s="105">
        <v>4</v>
      </c>
      <c r="H660" s="106" t="s">
        <v>7</v>
      </c>
      <c r="I660" s="105" t="s">
        <v>39</v>
      </c>
      <c r="J660" s="105"/>
      <c r="K660" s="105"/>
      <c r="L660" s="105"/>
      <c r="M660" s="106" t="s">
        <v>2780</v>
      </c>
      <c r="N660" s="106" t="s">
        <v>2193</v>
      </c>
      <c r="O660" s="107"/>
      <c r="P660" s="106" t="s">
        <v>2781</v>
      </c>
    </row>
    <row r="661" spans="1:16" outlineLevel="3" x14ac:dyDescent="0.3">
      <c r="A661" s="105" t="s">
        <v>2782</v>
      </c>
      <c r="B661" s="106"/>
      <c r="C661" s="106"/>
      <c r="D661" s="106"/>
      <c r="E661" s="106" t="s">
        <v>2783</v>
      </c>
      <c r="F661" s="106" t="s">
        <v>2784</v>
      </c>
      <c r="G661" s="105">
        <v>4</v>
      </c>
      <c r="H661" s="106" t="s">
        <v>7</v>
      </c>
      <c r="I661" s="105" t="s">
        <v>39</v>
      </c>
      <c r="J661" s="105"/>
      <c r="K661" s="105"/>
      <c r="L661" s="105"/>
      <c r="M661" s="106" t="s">
        <v>2785</v>
      </c>
      <c r="N661" s="106" t="s">
        <v>2193</v>
      </c>
      <c r="O661" s="107"/>
      <c r="P661" s="106" t="s">
        <v>2786</v>
      </c>
    </row>
    <row r="662" spans="1:16" outlineLevel="3" x14ac:dyDescent="0.3">
      <c r="A662" s="105" t="s">
        <v>2787</v>
      </c>
      <c r="B662" s="106"/>
      <c r="C662" s="106"/>
      <c r="D662" s="106"/>
      <c r="E662" s="106" t="s">
        <v>2788</v>
      </c>
      <c r="F662" s="106" t="s">
        <v>2789</v>
      </c>
      <c r="G662" s="105">
        <v>4</v>
      </c>
      <c r="H662" s="106" t="s">
        <v>7</v>
      </c>
      <c r="I662" s="105" t="s">
        <v>39</v>
      </c>
      <c r="J662" s="105"/>
      <c r="K662" s="105"/>
      <c r="L662" s="105"/>
      <c r="M662" s="106" t="s">
        <v>2790</v>
      </c>
      <c r="N662" s="106" t="s">
        <v>2193</v>
      </c>
      <c r="O662" s="107"/>
      <c r="P662" s="106" t="s">
        <v>2791</v>
      </c>
    </row>
    <row r="663" spans="1:16" outlineLevel="3" x14ac:dyDescent="0.3">
      <c r="A663" s="105" t="s">
        <v>2792</v>
      </c>
      <c r="B663" s="106"/>
      <c r="C663" s="106"/>
      <c r="D663" s="106"/>
      <c r="E663" s="106" t="s">
        <v>2793</v>
      </c>
      <c r="F663" s="106" t="s">
        <v>2794</v>
      </c>
      <c r="G663" s="105">
        <v>4</v>
      </c>
      <c r="H663" s="106" t="s">
        <v>7</v>
      </c>
      <c r="I663" s="105" t="s">
        <v>39</v>
      </c>
      <c r="J663" s="105"/>
      <c r="K663" s="105"/>
      <c r="L663" s="105"/>
      <c r="M663" s="106" t="s">
        <v>2795</v>
      </c>
      <c r="N663" s="106" t="s">
        <v>513</v>
      </c>
      <c r="O663" s="107"/>
      <c r="P663" s="106"/>
    </row>
    <row r="664" spans="1:16" outlineLevel="3" x14ac:dyDescent="0.3">
      <c r="A664" s="105" t="s">
        <v>2796</v>
      </c>
      <c r="B664" s="106"/>
      <c r="C664" s="106"/>
      <c r="D664" s="106"/>
      <c r="E664" s="106" t="s">
        <v>2797</v>
      </c>
      <c r="F664" s="106" t="s">
        <v>2798</v>
      </c>
      <c r="G664" s="105">
        <v>4</v>
      </c>
      <c r="H664" s="106" t="s">
        <v>7</v>
      </c>
      <c r="I664" s="105" t="s">
        <v>39</v>
      </c>
      <c r="J664" s="105"/>
      <c r="K664" s="105"/>
      <c r="L664" s="105"/>
      <c r="M664" s="106" t="s">
        <v>2799</v>
      </c>
      <c r="N664" s="106" t="s">
        <v>2193</v>
      </c>
      <c r="O664" s="107"/>
      <c r="P664" s="106" t="s">
        <v>2800</v>
      </c>
    </row>
    <row r="665" spans="1:16" ht="27.6" outlineLevel="2" x14ac:dyDescent="0.3">
      <c r="A665" s="154" t="s">
        <v>2801</v>
      </c>
      <c r="B665" s="155"/>
      <c r="C665" s="155"/>
      <c r="D665" s="155" t="s">
        <v>2802</v>
      </c>
      <c r="E665" s="155"/>
      <c r="F665" s="155"/>
      <c r="G665" s="154">
        <v>3</v>
      </c>
      <c r="H665" s="155" t="s">
        <v>25</v>
      </c>
      <c r="I665" s="154" t="s">
        <v>39</v>
      </c>
      <c r="J665" s="154">
        <v>24</v>
      </c>
      <c r="K665" s="154">
        <v>0</v>
      </c>
      <c r="L665" s="154">
        <v>12</v>
      </c>
      <c r="M665" s="156" t="s">
        <v>2803</v>
      </c>
      <c r="N665" s="156" t="s">
        <v>2193</v>
      </c>
      <c r="O665" s="157"/>
      <c r="P665" s="156" t="s">
        <v>2804</v>
      </c>
    </row>
    <row r="666" spans="1:16" outlineLevel="3" x14ac:dyDescent="0.3">
      <c r="A666" s="105" t="s">
        <v>2805</v>
      </c>
      <c r="B666" s="106"/>
      <c r="C666" s="106"/>
      <c r="D666" s="106"/>
      <c r="E666" s="106" t="s">
        <v>2806</v>
      </c>
      <c r="F666" s="106" t="s">
        <v>2807</v>
      </c>
      <c r="G666" s="105">
        <v>4</v>
      </c>
      <c r="H666" s="106" t="s">
        <v>7</v>
      </c>
      <c r="I666" s="105" t="s">
        <v>39</v>
      </c>
      <c r="J666" s="105"/>
      <c r="K666" s="105"/>
      <c r="L666" s="105"/>
      <c r="M666" s="106" t="s">
        <v>2808</v>
      </c>
      <c r="N666" s="106" t="s">
        <v>40</v>
      </c>
      <c r="O666" s="107"/>
      <c r="P666" s="106" t="s">
        <v>2809</v>
      </c>
    </row>
    <row r="667" spans="1:16" outlineLevel="3" x14ac:dyDescent="0.3">
      <c r="A667" s="105" t="s">
        <v>2810</v>
      </c>
      <c r="B667" s="106"/>
      <c r="C667" s="106"/>
      <c r="D667" s="106"/>
      <c r="E667" s="106" t="s">
        <v>2811</v>
      </c>
      <c r="F667" s="106" t="s">
        <v>2812</v>
      </c>
      <c r="G667" s="105">
        <v>4</v>
      </c>
      <c r="H667" s="106" t="s">
        <v>7</v>
      </c>
      <c r="I667" s="105" t="s">
        <v>39</v>
      </c>
      <c r="J667" s="105"/>
      <c r="K667" s="105"/>
      <c r="L667" s="105"/>
      <c r="M667" s="106" t="s">
        <v>2813</v>
      </c>
      <c r="N667" s="106" t="s">
        <v>513</v>
      </c>
      <c r="O667" s="107"/>
      <c r="P667" s="106"/>
    </row>
    <row r="668" spans="1:16" outlineLevel="3" x14ac:dyDescent="0.3">
      <c r="A668" s="105" t="s">
        <v>2814</v>
      </c>
      <c r="B668" s="106"/>
      <c r="C668" s="106"/>
      <c r="D668" s="106"/>
      <c r="E668" s="106" t="s">
        <v>2815</v>
      </c>
      <c r="F668" s="106" t="s">
        <v>2816</v>
      </c>
      <c r="G668" s="105">
        <v>4</v>
      </c>
      <c r="H668" s="106" t="s">
        <v>7</v>
      </c>
      <c r="I668" s="105" t="s">
        <v>39</v>
      </c>
      <c r="J668" s="105"/>
      <c r="K668" s="105"/>
      <c r="L668" s="105"/>
      <c r="M668" s="106" t="s">
        <v>2817</v>
      </c>
      <c r="N668" s="106" t="s">
        <v>513</v>
      </c>
      <c r="O668" s="107"/>
      <c r="P668" s="106"/>
    </row>
    <row r="669" spans="1:16" outlineLevel="3" x14ac:dyDescent="0.3">
      <c r="A669" s="105" t="s">
        <v>2818</v>
      </c>
      <c r="B669" s="106"/>
      <c r="C669" s="106"/>
      <c r="D669" s="106"/>
      <c r="E669" s="106" t="s">
        <v>2819</v>
      </c>
      <c r="F669" s="106" t="s">
        <v>2820</v>
      </c>
      <c r="G669" s="105">
        <v>4</v>
      </c>
      <c r="H669" s="106" t="s">
        <v>7</v>
      </c>
      <c r="I669" s="105" t="s">
        <v>39</v>
      </c>
      <c r="J669" s="105"/>
      <c r="K669" s="105"/>
      <c r="L669" s="105"/>
      <c r="M669" s="106" t="s">
        <v>2821</v>
      </c>
      <c r="N669" s="106" t="s">
        <v>513</v>
      </c>
      <c r="O669" s="107"/>
      <c r="P669" s="106"/>
    </row>
    <row r="670" spans="1:16" outlineLevel="3" x14ac:dyDescent="0.3">
      <c r="A670" s="105" t="s">
        <v>2822</v>
      </c>
      <c r="B670" s="106"/>
      <c r="C670" s="106"/>
      <c r="D670" s="106"/>
      <c r="E670" s="106" t="s">
        <v>2823</v>
      </c>
      <c r="F670" s="106" t="s">
        <v>2824</v>
      </c>
      <c r="G670" s="105">
        <v>4</v>
      </c>
      <c r="H670" s="106" t="s">
        <v>7</v>
      </c>
      <c r="I670" s="105" t="s">
        <v>39</v>
      </c>
      <c r="J670" s="105"/>
      <c r="K670" s="105"/>
      <c r="L670" s="105"/>
      <c r="M670" s="106" t="s">
        <v>2825</v>
      </c>
      <c r="N670" s="106" t="s">
        <v>2193</v>
      </c>
      <c r="O670" s="107"/>
      <c r="P670" s="106" t="s">
        <v>2826</v>
      </c>
    </row>
    <row r="671" spans="1:16" outlineLevel="3" x14ac:dyDescent="0.3">
      <c r="A671" s="105" t="s">
        <v>2827</v>
      </c>
      <c r="B671" s="106"/>
      <c r="C671" s="106"/>
      <c r="D671" s="106"/>
      <c r="E671" s="106" t="s">
        <v>2828</v>
      </c>
      <c r="F671" s="106" t="s">
        <v>2829</v>
      </c>
      <c r="G671" s="105">
        <v>4</v>
      </c>
      <c r="H671" s="106" t="s">
        <v>7</v>
      </c>
      <c r="I671" s="105" t="s">
        <v>39</v>
      </c>
      <c r="J671" s="105"/>
      <c r="K671" s="105"/>
      <c r="L671" s="105"/>
      <c r="M671" s="106" t="s">
        <v>2830</v>
      </c>
      <c r="N671" s="106" t="s">
        <v>40</v>
      </c>
      <c r="O671" s="107"/>
      <c r="P671" s="106" t="s">
        <v>2831</v>
      </c>
    </row>
    <row r="672" spans="1:16" outlineLevel="3" x14ac:dyDescent="0.3">
      <c r="A672" s="105" t="s">
        <v>2832</v>
      </c>
      <c r="B672" s="106"/>
      <c r="C672" s="106"/>
      <c r="D672" s="106"/>
      <c r="E672" s="106" t="s">
        <v>2833</v>
      </c>
      <c r="F672" s="106" t="s">
        <v>2834</v>
      </c>
      <c r="G672" s="105">
        <v>4</v>
      </c>
      <c r="H672" s="106" t="s">
        <v>7</v>
      </c>
      <c r="I672" s="105" t="s">
        <v>39</v>
      </c>
      <c r="J672" s="105"/>
      <c r="K672" s="105"/>
      <c r="L672" s="105"/>
      <c r="M672" s="106" t="s">
        <v>2835</v>
      </c>
      <c r="N672" s="106" t="s">
        <v>2193</v>
      </c>
      <c r="O672" s="107"/>
      <c r="P672" s="106" t="s">
        <v>2836</v>
      </c>
    </row>
    <row r="673" spans="1:16" outlineLevel="3" x14ac:dyDescent="0.3">
      <c r="A673" s="105" t="s">
        <v>2837</v>
      </c>
      <c r="B673" s="106"/>
      <c r="C673" s="106"/>
      <c r="D673" s="106"/>
      <c r="E673" s="106" t="s">
        <v>2838</v>
      </c>
      <c r="F673" s="106" t="s">
        <v>2839</v>
      </c>
      <c r="G673" s="105">
        <v>4</v>
      </c>
      <c r="H673" s="106" t="s">
        <v>7</v>
      </c>
      <c r="I673" s="105" t="s">
        <v>39</v>
      </c>
      <c r="J673" s="105"/>
      <c r="K673" s="105"/>
      <c r="L673" s="105"/>
      <c r="M673" s="106" t="s">
        <v>2840</v>
      </c>
      <c r="N673" s="106" t="s">
        <v>513</v>
      </c>
      <c r="O673" s="107"/>
      <c r="P673" s="106"/>
    </row>
    <row r="674" spans="1:16" outlineLevel="3" x14ac:dyDescent="0.3">
      <c r="A674" s="105" t="s">
        <v>2841</v>
      </c>
      <c r="B674" s="106"/>
      <c r="C674" s="106"/>
      <c r="D674" s="106"/>
      <c r="E674" s="106" t="s">
        <v>2842</v>
      </c>
      <c r="F674" s="106" t="s">
        <v>2843</v>
      </c>
      <c r="G674" s="105">
        <v>4</v>
      </c>
      <c r="H674" s="106" t="s">
        <v>7</v>
      </c>
      <c r="I674" s="105" t="s">
        <v>39</v>
      </c>
      <c r="J674" s="105"/>
      <c r="K674" s="105"/>
      <c r="L674" s="105"/>
      <c r="M674" s="106" t="s">
        <v>2844</v>
      </c>
      <c r="N674" s="106" t="s">
        <v>513</v>
      </c>
      <c r="O674" s="107"/>
      <c r="P674" s="106"/>
    </row>
    <row r="675" spans="1:16" outlineLevel="3" x14ac:dyDescent="0.3">
      <c r="A675" s="105" t="s">
        <v>2845</v>
      </c>
      <c r="B675" s="106"/>
      <c r="C675" s="106"/>
      <c r="D675" s="106"/>
      <c r="E675" s="106" t="s">
        <v>2846</v>
      </c>
      <c r="F675" s="106" t="s">
        <v>2847</v>
      </c>
      <c r="G675" s="105">
        <v>4</v>
      </c>
      <c r="H675" s="106" t="s">
        <v>7</v>
      </c>
      <c r="I675" s="105" t="s">
        <v>39</v>
      </c>
      <c r="J675" s="105"/>
      <c r="K675" s="105"/>
      <c r="L675" s="105"/>
      <c r="M675" s="106" t="s">
        <v>2848</v>
      </c>
      <c r="N675" s="106" t="s">
        <v>2193</v>
      </c>
      <c r="O675" s="107"/>
      <c r="P675" s="106" t="s">
        <v>2849</v>
      </c>
    </row>
    <row r="676" spans="1:16" outlineLevel="3" x14ac:dyDescent="0.3">
      <c r="A676" s="105" t="s">
        <v>2850</v>
      </c>
      <c r="B676" s="106"/>
      <c r="C676" s="106"/>
      <c r="D676" s="106"/>
      <c r="E676" s="106" t="s">
        <v>2851</v>
      </c>
      <c r="F676" s="106" t="s">
        <v>2852</v>
      </c>
      <c r="G676" s="105">
        <v>4</v>
      </c>
      <c r="H676" s="106" t="s">
        <v>7</v>
      </c>
      <c r="I676" s="105" t="s">
        <v>39</v>
      </c>
      <c r="J676" s="105"/>
      <c r="K676" s="105"/>
      <c r="L676" s="105"/>
      <c r="M676" s="106" t="s">
        <v>2853</v>
      </c>
      <c r="N676" s="106" t="s">
        <v>513</v>
      </c>
      <c r="O676" s="107"/>
      <c r="P676" s="106"/>
    </row>
    <row r="677" spans="1:16" outlineLevel="3" x14ac:dyDescent="0.3">
      <c r="A677" s="105" t="s">
        <v>2854</v>
      </c>
      <c r="B677" s="106"/>
      <c r="C677" s="106"/>
      <c r="D677" s="106"/>
      <c r="E677" s="106" t="s">
        <v>2855</v>
      </c>
      <c r="F677" s="106" t="s">
        <v>2856</v>
      </c>
      <c r="G677" s="105">
        <v>4</v>
      </c>
      <c r="H677" s="106" t="s">
        <v>7</v>
      </c>
      <c r="I677" s="105" t="s">
        <v>39</v>
      </c>
      <c r="J677" s="105"/>
      <c r="K677" s="105"/>
      <c r="L677" s="105"/>
      <c r="M677" s="106" t="s">
        <v>2857</v>
      </c>
      <c r="N677" s="106" t="s">
        <v>2193</v>
      </c>
      <c r="O677" s="107"/>
      <c r="P677" s="106" t="s">
        <v>2858</v>
      </c>
    </row>
    <row r="678" spans="1:16" outlineLevel="3" x14ac:dyDescent="0.3">
      <c r="A678" s="105" t="s">
        <v>2859</v>
      </c>
      <c r="B678" s="106"/>
      <c r="C678" s="106"/>
      <c r="D678" s="106"/>
      <c r="E678" s="106" t="s">
        <v>2860</v>
      </c>
      <c r="F678" s="106" t="s">
        <v>2861</v>
      </c>
      <c r="G678" s="105">
        <v>4</v>
      </c>
      <c r="H678" s="106" t="s">
        <v>7</v>
      </c>
      <c r="I678" s="105" t="s">
        <v>39</v>
      </c>
      <c r="J678" s="105"/>
      <c r="K678" s="105"/>
      <c r="L678" s="105"/>
      <c r="M678" s="106" t="s">
        <v>2862</v>
      </c>
      <c r="N678" s="106" t="s">
        <v>513</v>
      </c>
      <c r="O678" s="107"/>
      <c r="P678" s="106"/>
    </row>
    <row r="679" spans="1:16" outlineLevel="3" x14ac:dyDescent="0.3">
      <c r="A679" s="105" t="s">
        <v>2863</v>
      </c>
      <c r="B679" s="106"/>
      <c r="C679" s="106"/>
      <c r="D679" s="106"/>
      <c r="E679" s="106" t="s">
        <v>2864</v>
      </c>
      <c r="F679" s="106" t="s">
        <v>2865</v>
      </c>
      <c r="G679" s="105">
        <v>4</v>
      </c>
      <c r="H679" s="106" t="s">
        <v>7</v>
      </c>
      <c r="I679" s="105" t="s">
        <v>39</v>
      </c>
      <c r="J679" s="105"/>
      <c r="K679" s="105"/>
      <c r="L679" s="105"/>
      <c r="M679" s="106" t="s">
        <v>2866</v>
      </c>
      <c r="N679" s="106" t="s">
        <v>513</v>
      </c>
      <c r="O679" s="107"/>
      <c r="P679" s="106"/>
    </row>
    <row r="680" spans="1:16" outlineLevel="3" x14ac:dyDescent="0.3">
      <c r="A680" s="105" t="s">
        <v>2867</v>
      </c>
      <c r="B680" s="106"/>
      <c r="C680" s="106"/>
      <c r="D680" s="106"/>
      <c r="E680" s="106" t="s">
        <v>2868</v>
      </c>
      <c r="F680" s="106" t="s">
        <v>2869</v>
      </c>
      <c r="G680" s="105">
        <v>4</v>
      </c>
      <c r="H680" s="106" t="s">
        <v>7</v>
      </c>
      <c r="I680" s="105" t="s">
        <v>39</v>
      </c>
      <c r="J680" s="105"/>
      <c r="K680" s="105"/>
      <c r="L680" s="105"/>
      <c r="M680" s="106" t="s">
        <v>2870</v>
      </c>
      <c r="N680" s="106" t="s">
        <v>513</v>
      </c>
      <c r="O680" s="107"/>
      <c r="P680" s="106"/>
    </row>
    <row r="681" spans="1:16" outlineLevel="3" x14ac:dyDescent="0.3">
      <c r="A681" s="105" t="s">
        <v>2871</v>
      </c>
      <c r="B681" s="106"/>
      <c r="C681" s="106"/>
      <c r="D681" s="106"/>
      <c r="E681" s="106" t="s">
        <v>2872</v>
      </c>
      <c r="F681" s="106" t="s">
        <v>2873</v>
      </c>
      <c r="G681" s="105">
        <v>4</v>
      </c>
      <c r="H681" s="106" t="s">
        <v>7</v>
      </c>
      <c r="I681" s="105" t="s">
        <v>39</v>
      </c>
      <c r="J681" s="105"/>
      <c r="K681" s="105"/>
      <c r="L681" s="105"/>
      <c r="M681" s="106" t="s">
        <v>2874</v>
      </c>
      <c r="N681" s="106" t="s">
        <v>2193</v>
      </c>
      <c r="O681" s="107"/>
      <c r="P681" s="106" t="s">
        <v>2875</v>
      </c>
    </row>
    <row r="682" spans="1:16" outlineLevel="3" x14ac:dyDescent="0.3">
      <c r="A682" s="105" t="s">
        <v>2876</v>
      </c>
      <c r="B682" s="106"/>
      <c r="C682" s="106"/>
      <c r="D682" s="106"/>
      <c r="E682" s="106" t="s">
        <v>2877</v>
      </c>
      <c r="F682" s="106" t="s">
        <v>2878</v>
      </c>
      <c r="G682" s="105">
        <v>4</v>
      </c>
      <c r="H682" s="106" t="s">
        <v>7</v>
      </c>
      <c r="I682" s="105" t="s">
        <v>39</v>
      </c>
      <c r="J682" s="105"/>
      <c r="K682" s="105"/>
      <c r="L682" s="105"/>
      <c r="M682" s="106" t="s">
        <v>2879</v>
      </c>
      <c r="N682" s="106" t="s">
        <v>513</v>
      </c>
      <c r="O682" s="107"/>
      <c r="P682" s="106"/>
    </row>
    <row r="683" spans="1:16" outlineLevel="3" x14ac:dyDescent="0.3">
      <c r="A683" s="105" t="s">
        <v>2880</v>
      </c>
      <c r="B683" s="106"/>
      <c r="C683" s="106"/>
      <c r="D683" s="106"/>
      <c r="E683" s="106" t="s">
        <v>2881</v>
      </c>
      <c r="F683" s="106" t="s">
        <v>2882</v>
      </c>
      <c r="G683" s="105">
        <v>4</v>
      </c>
      <c r="H683" s="106" t="s">
        <v>7</v>
      </c>
      <c r="I683" s="105" t="s">
        <v>39</v>
      </c>
      <c r="J683" s="105"/>
      <c r="K683" s="105"/>
      <c r="L683" s="105"/>
      <c r="M683" s="106" t="s">
        <v>2883</v>
      </c>
      <c r="N683" s="106" t="s">
        <v>513</v>
      </c>
      <c r="O683" s="107"/>
      <c r="P683" s="106"/>
    </row>
    <row r="684" spans="1:16" outlineLevel="3" x14ac:dyDescent="0.3">
      <c r="A684" s="105" t="s">
        <v>2884</v>
      </c>
      <c r="B684" s="106"/>
      <c r="C684" s="106"/>
      <c r="D684" s="106"/>
      <c r="E684" s="106" t="s">
        <v>2885</v>
      </c>
      <c r="F684" s="106" t="s">
        <v>2886</v>
      </c>
      <c r="G684" s="105">
        <v>4</v>
      </c>
      <c r="H684" s="106" t="s">
        <v>7</v>
      </c>
      <c r="I684" s="105" t="s">
        <v>39</v>
      </c>
      <c r="J684" s="105"/>
      <c r="K684" s="105"/>
      <c r="L684" s="105"/>
      <c r="M684" s="106" t="s">
        <v>2887</v>
      </c>
      <c r="N684" s="106" t="s">
        <v>2193</v>
      </c>
      <c r="O684" s="107"/>
      <c r="P684" s="106" t="s">
        <v>2888</v>
      </c>
    </row>
    <row r="685" spans="1:16" outlineLevel="3" x14ac:dyDescent="0.3">
      <c r="A685" s="105" t="s">
        <v>2889</v>
      </c>
      <c r="B685" s="106"/>
      <c r="C685" s="106"/>
      <c r="D685" s="106"/>
      <c r="E685" s="106" t="s">
        <v>2890</v>
      </c>
      <c r="F685" s="106" t="s">
        <v>2891</v>
      </c>
      <c r="G685" s="105">
        <v>4</v>
      </c>
      <c r="H685" s="106" t="s">
        <v>7</v>
      </c>
      <c r="I685" s="105" t="s">
        <v>39</v>
      </c>
      <c r="J685" s="105"/>
      <c r="K685" s="105"/>
      <c r="L685" s="105"/>
      <c r="M685" s="106" t="s">
        <v>2892</v>
      </c>
      <c r="N685" s="106" t="s">
        <v>513</v>
      </c>
      <c r="O685" s="107"/>
      <c r="P685" s="106"/>
    </row>
    <row r="686" spans="1:16" outlineLevel="3" x14ac:dyDescent="0.3">
      <c r="A686" s="105" t="s">
        <v>2893</v>
      </c>
      <c r="B686" s="106"/>
      <c r="C686" s="106"/>
      <c r="D686" s="106"/>
      <c r="E686" s="106" t="s">
        <v>2894</v>
      </c>
      <c r="F686" s="106" t="s">
        <v>2895</v>
      </c>
      <c r="G686" s="105">
        <v>4</v>
      </c>
      <c r="H686" s="106" t="s">
        <v>7</v>
      </c>
      <c r="I686" s="105" t="s">
        <v>39</v>
      </c>
      <c r="J686" s="105"/>
      <c r="K686" s="105"/>
      <c r="L686" s="105"/>
      <c r="M686" s="106" t="s">
        <v>2896</v>
      </c>
      <c r="N686" s="106" t="s">
        <v>40</v>
      </c>
      <c r="O686" s="107"/>
      <c r="P686" s="106" t="s">
        <v>2897</v>
      </c>
    </row>
    <row r="687" spans="1:16" outlineLevel="3" x14ac:dyDescent="0.3">
      <c r="A687" s="105" t="s">
        <v>2898</v>
      </c>
      <c r="B687" s="106"/>
      <c r="C687" s="106"/>
      <c r="D687" s="106"/>
      <c r="E687" s="106" t="s">
        <v>2899</v>
      </c>
      <c r="F687" s="106" t="s">
        <v>2900</v>
      </c>
      <c r="G687" s="105">
        <v>4</v>
      </c>
      <c r="H687" s="106" t="s">
        <v>7</v>
      </c>
      <c r="I687" s="105" t="s">
        <v>39</v>
      </c>
      <c r="J687" s="105"/>
      <c r="K687" s="105"/>
      <c r="L687" s="105"/>
      <c r="M687" s="106" t="s">
        <v>2901</v>
      </c>
      <c r="N687" s="106" t="s">
        <v>2193</v>
      </c>
      <c r="O687" s="107"/>
      <c r="P687" s="106" t="s">
        <v>2902</v>
      </c>
    </row>
    <row r="688" spans="1:16" outlineLevel="3" x14ac:dyDescent="0.3">
      <c r="A688" s="105" t="s">
        <v>2903</v>
      </c>
      <c r="B688" s="106"/>
      <c r="C688" s="106"/>
      <c r="D688" s="106"/>
      <c r="E688" s="106" t="s">
        <v>2904</v>
      </c>
      <c r="F688" s="106" t="s">
        <v>2905</v>
      </c>
      <c r="G688" s="105">
        <v>4</v>
      </c>
      <c r="H688" s="106" t="s">
        <v>7</v>
      </c>
      <c r="I688" s="105" t="s">
        <v>39</v>
      </c>
      <c r="J688" s="105"/>
      <c r="K688" s="105"/>
      <c r="L688" s="105"/>
      <c r="M688" s="106" t="s">
        <v>2906</v>
      </c>
      <c r="N688" s="106" t="s">
        <v>2193</v>
      </c>
      <c r="O688" s="107"/>
      <c r="P688" s="106" t="s">
        <v>2907</v>
      </c>
    </row>
    <row r="689" spans="1:16" outlineLevel="3" x14ac:dyDescent="0.3">
      <c r="A689" s="105" t="s">
        <v>2908</v>
      </c>
      <c r="B689" s="106"/>
      <c r="C689" s="106"/>
      <c r="D689" s="106"/>
      <c r="E689" s="106" t="s">
        <v>2909</v>
      </c>
      <c r="F689" s="106" t="s">
        <v>2910</v>
      </c>
      <c r="G689" s="105">
        <v>4</v>
      </c>
      <c r="H689" s="106" t="s">
        <v>7</v>
      </c>
      <c r="I689" s="105" t="s">
        <v>39</v>
      </c>
      <c r="J689" s="105"/>
      <c r="K689" s="105"/>
      <c r="L689" s="105"/>
      <c r="M689" s="106" t="s">
        <v>2911</v>
      </c>
      <c r="N689" s="106" t="s">
        <v>2193</v>
      </c>
      <c r="O689" s="107"/>
      <c r="P689" s="106" t="s">
        <v>2912</v>
      </c>
    </row>
    <row r="690" spans="1:16" outlineLevel="1" x14ac:dyDescent="0.3">
      <c r="A690" s="149" t="s">
        <v>2913</v>
      </c>
      <c r="B690" s="150"/>
      <c r="C690" s="151" t="s">
        <v>2914</v>
      </c>
      <c r="D690" s="150"/>
      <c r="E690" s="150"/>
      <c r="F690" s="150"/>
      <c r="G690" s="149">
        <v>2</v>
      </c>
      <c r="H690" s="150" t="s">
        <v>25</v>
      </c>
      <c r="I690" s="149" t="s">
        <v>39</v>
      </c>
      <c r="J690" s="149">
        <v>81</v>
      </c>
      <c r="K690" s="149">
        <v>0</v>
      </c>
      <c r="L690" s="149">
        <v>53</v>
      </c>
      <c r="M690" s="152"/>
      <c r="N690" s="152"/>
      <c r="O690" s="153"/>
      <c r="P690" s="152"/>
    </row>
    <row r="691" spans="1:16" ht="27.6" outlineLevel="2" x14ac:dyDescent="0.3">
      <c r="A691" s="154" t="s">
        <v>2915</v>
      </c>
      <c r="B691" s="155"/>
      <c r="C691" s="155"/>
      <c r="D691" s="155" t="s">
        <v>2916</v>
      </c>
      <c r="E691" s="155"/>
      <c r="F691" s="155"/>
      <c r="G691" s="154">
        <v>3</v>
      </c>
      <c r="H691" s="155" t="s">
        <v>25</v>
      </c>
      <c r="I691" s="154" t="s">
        <v>39</v>
      </c>
      <c r="J691" s="154">
        <v>1</v>
      </c>
      <c r="K691" s="154">
        <v>0</v>
      </c>
      <c r="L691" s="154">
        <v>1</v>
      </c>
      <c r="M691" s="156" t="s">
        <v>2917</v>
      </c>
      <c r="N691" s="156" t="s">
        <v>2193</v>
      </c>
      <c r="O691" s="157"/>
      <c r="P691" s="156" t="s">
        <v>2918</v>
      </c>
    </row>
    <row r="692" spans="1:16" outlineLevel="3" x14ac:dyDescent="0.3">
      <c r="A692" s="105" t="s">
        <v>2919</v>
      </c>
      <c r="B692" s="106"/>
      <c r="C692" s="106"/>
      <c r="D692" s="106"/>
      <c r="E692" s="106" t="s">
        <v>2920</v>
      </c>
      <c r="F692" s="106" t="s">
        <v>2921</v>
      </c>
      <c r="G692" s="105">
        <v>4</v>
      </c>
      <c r="H692" s="106" t="s">
        <v>7</v>
      </c>
      <c r="I692" s="105" t="s">
        <v>39</v>
      </c>
      <c r="J692" s="105"/>
      <c r="K692" s="105"/>
      <c r="L692" s="105"/>
      <c r="M692" s="106" t="s">
        <v>2922</v>
      </c>
      <c r="N692" s="106" t="s">
        <v>223</v>
      </c>
      <c r="O692" s="107"/>
      <c r="P692" s="106" t="s">
        <v>2923</v>
      </c>
    </row>
    <row r="693" spans="1:16" ht="27.6" outlineLevel="2" x14ac:dyDescent="0.3">
      <c r="A693" s="154" t="s">
        <v>2924</v>
      </c>
      <c r="B693" s="155"/>
      <c r="C693" s="155"/>
      <c r="D693" s="155" t="s">
        <v>2925</v>
      </c>
      <c r="E693" s="155"/>
      <c r="F693" s="155"/>
      <c r="G693" s="154">
        <v>3</v>
      </c>
      <c r="H693" s="155" t="s">
        <v>25</v>
      </c>
      <c r="I693" s="154" t="s">
        <v>39</v>
      </c>
      <c r="J693" s="154">
        <v>8</v>
      </c>
      <c r="K693" s="154">
        <v>0</v>
      </c>
      <c r="L693" s="154">
        <v>8</v>
      </c>
      <c r="M693" s="156" t="s">
        <v>2926</v>
      </c>
      <c r="N693" s="156" t="s">
        <v>2193</v>
      </c>
      <c r="O693" s="157"/>
      <c r="P693" s="156" t="s">
        <v>2927</v>
      </c>
    </row>
    <row r="694" spans="1:16" outlineLevel="3" x14ac:dyDescent="0.3">
      <c r="A694" s="105" t="s">
        <v>2928</v>
      </c>
      <c r="B694" s="106"/>
      <c r="C694" s="106"/>
      <c r="D694" s="106"/>
      <c r="E694" s="106" t="s">
        <v>2929</v>
      </c>
      <c r="F694" s="106" t="s">
        <v>2930</v>
      </c>
      <c r="G694" s="105">
        <v>4</v>
      </c>
      <c r="H694" s="106" t="s">
        <v>7</v>
      </c>
      <c r="I694" s="105" t="s">
        <v>39</v>
      </c>
      <c r="J694" s="105"/>
      <c r="K694" s="105"/>
      <c r="L694" s="105"/>
      <c r="M694" s="106" t="s">
        <v>2931</v>
      </c>
      <c r="N694" s="106" t="s">
        <v>2193</v>
      </c>
      <c r="O694" s="107"/>
      <c r="P694" s="106" t="s">
        <v>2932</v>
      </c>
    </row>
    <row r="695" spans="1:16" outlineLevel="3" x14ac:dyDescent="0.3">
      <c r="A695" s="105" t="s">
        <v>2933</v>
      </c>
      <c r="B695" s="106"/>
      <c r="C695" s="106"/>
      <c r="D695" s="106"/>
      <c r="E695" s="106" t="s">
        <v>2934</v>
      </c>
      <c r="F695" s="106" t="s">
        <v>2935</v>
      </c>
      <c r="G695" s="105">
        <v>4</v>
      </c>
      <c r="H695" s="106" t="s">
        <v>7</v>
      </c>
      <c r="I695" s="105" t="s">
        <v>39</v>
      </c>
      <c r="J695" s="105"/>
      <c r="K695" s="105"/>
      <c r="L695" s="105"/>
      <c r="M695" s="106" t="s">
        <v>2936</v>
      </c>
      <c r="N695" s="106" t="s">
        <v>40</v>
      </c>
      <c r="O695" s="107"/>
      <c r="P695" s="106" t="s">
        <v>2937</v>
      </c>
    </row>
    <row r="696" spans="1:16" outlineLevel="3" x14ac:dyDescent="0.3">
      <c r="A696" s="105" t="s">
        <v>2938</v>
      </c>
      <c r="B696" s="106"/>
      <c r="C696" s="106"/>
      <c r="D696" s="106"/>
      <c r="E696" s="106" t="s">
        <v>127</v>
      </c>
      <c r="F696" s="106" t="s">
        <v>2939</v>
      </c>
      <c r="G696" s="105">
        <v>4</v>
      </c>
      <c r="H696" s="106" t="s">
        <v>7</v>
      </c>
      <c r="I696" s="105" t="s">
        <v>39</v>
      </c>
      <c r="J696" s="105"/>
      <c r="K696" s="105"/>
      <c r="L696" s="105"/>
      <c r="M696" s="106" t="s">
        <v>2940</v>
      </c>
      <c r="N696" s="106" t="s">
        <v>40</v>
      </c>
      <c r="O696" s="107"/>
      <c r="P696" s="106" t="s">
        <v>2941</v>
      </c>
    </row>
    <row r="697" spans="1:16" outlineLevel="3" x14ac:dyDescent="0.3">
      <c r="A697" s="105" t="s">
        <v>2942</v>
      </c>
      <c r="B697" s="106"/>
      <c r="C697" s="106"/>
      <c r="D697" s="106"/>
      <c r="E697" s="106" t="s">
        <v>2943</v>
      </c>
      <c r="F697" s="106" t="s">
        <v>2944</v>
      </c>
      <c r="G697" s="105">
        <v>4</v>
      </c>
      <c r="H697" s="106" t="s">
        <v>7</v>
      </c>
      <c r="I697" s="105" t="s">
        <v>39</v>
      </c>
      <c r="J697" s="105"/>
      <c r="K697" s="105"/>
      <c r="L697" s="105"/>
      <c r="M697" s="106" t="s">
        <v>2945</v>
      </c>
      <c r="N697" s="106" t="s">
        <v>223</v>
      </c>
      <c r="O697" s="107"/>
      <c r="P697" s="106" t="s">
        <v>2946</v>
      </c>
    </row>
    <row r="698" spans="1:16" outlineLevel="3" x14ac:dyDescent="0.3">
      <c r="A698" s="105" t="s">
        <v>2947</v>
      </c>
      <c r="B698" s="106"/>
      <c r="C698" s="106"/>
      <c r="D698" s="106"/>
      <c r="E698" s="106" t="s">
        <v>2948</v>
      </c>
      <c r="F698" s="106" t="s">
        <v>2949</v>
      </c>
      <c r="G698" s="105">
        <v>4</v>
      </c>
      <c r="H698" s="106" t="s">
        <v>7</v>
      </c>
      <c r="I698" s="105" t="s">
        <v>39</v>
      </c>
      <c r="J698" s="105"/>
      <c r="K698" s="105"/>
      <c r="L698" s="105"/>
      <c r="M698" s="106" t="s">
        <v>2950</v>
      </c>
      <c r="N698" s="106" t="s">
        <v>40</v>
      </c>
      <c r="O698" s="107"/>
      <c r="P698" s="106" t="s">
        <v>2951</v>
      </c>
    </row>
    <row r="699" spans="1:16" outlineLevel="3" x14ac:dyDescent="0.3">
      <c r="A699" s="105" t="s">
        <v>2952</v>
      </c>
      <c r="B699" s="106"/>
      <c r="C699" s="106"/>
      <c r="D699" s="106"/>
      <c r="E699" s="106" t="s">
        <v>2953</v>
      </c>
      <c r="F699" s="106" t="s">
        <v>2954</v>
      </c>
      <c r="G699" s="105">
        <v>4</v>
      </c>
      <c r="H699" s="106" t="s">
        <v>7</v>
      </c>
      <c r="I699" s="105" t="s">
        <v>39</v>
      </c>
      <c r="J699" s="105"/>
      <c r="K699" s="105"/>
      <c r="L699" s="105"/>
      <c r="M699" s="106" t="s">
        <v>2955</v>
      </c>
      <c r="N699" s="106" t="s">
        <v>40</v>
      </c>
      <c r="O699" s="107"/>
      <c r="P699" s="106" t="s">
        <v>2956</v>
      </c>
    </row>
    <row r="700" spans="1:16" outlineLevel="3" x14ac:dyDescent="0.3">
      <c r="A700" s="105" t="s">
        <v>2957</v>
      </c>
      <c r="B700" s="106"/>
      <c r="C700" s="106"/>
      <c r="D700" s="106"/>
      <c r="E700" s="106" t="s">
        <v>2958</v>
      </c>
      <c r="F700" s="106" t="s">
        <v>2959</v>
      </c>
      <c r="G700" s="105">
        <v>4</v>
      </c>
      <c r="H700" s="106" t="s">
        <v>7</v>
      </c>
      <c r="I700" s="105" t="s">
        <v>39</v>
      </c>
      <c r="J700" s="105"/>
      <c r="K700" s="105"/>
      <c r="L700" s="105"/>
      <c r="M700" s="106" t="s">
        <v>2960</v>
      </c>
      <c r="N700" s="106" t="s">
        <v>40</v>
      </c>
      <c r="O700" s="107"/>
      <c r="P700" s="106" t="s">
        <v>2961</v>
      </c>
    </row>
    <row r="701" spans="1:16" outlineLevel="3" x14ac:dyDescent="0.3">
      <c r="A701" s="105" t="s">
        <v>2962</v>
      </c>
      <c r="B701" s="106"/>
      <c r="C701" s="106"/>
      <c r="D701" s="106"/>
      <c r="E701" s="106" t="s">
        <v>2963</v>
      </c>
      <c r="F701" s="106" t="s">
        <v>2964</v>
      </c>
      <c r="G701" s="105">
        <v>4</v>
      </c>
      <c r="H701" s="106" t="s">
        <v>7</v>
      </c>
      <c r="I701" s="105" t="s">
        <v>39</v>
      </c>
      <c r="J701" s="105"/>
      <c r="K701" s="105"/>
      <c r="L701" s="105"/>
      <c r="M701" s="106" t="s">
        <v>2965</v>
      </c>
      <c r="N701" s="106" t="s">
        <v>2193</v>
      </c>
      <c r="O701" s="107"/>
      <c r="P701" s="106" t="s">
        <v>2966</v>
      </c>
    </row>
    <row r="702" spans="1:16" ht="27.6" outlineLevel="2" x14ac:dyDescent="0.3">
      <c r="A702" s="154" t="s">
        <v>2967</v>
      </c>
      <c r="B702" s="155"/>
      <c r="C702" s="155"/>
      <c r="D702" s="155" t="s">
        <v>2968</v>
      </c>
      <c r="E702" s="155"/>
      <c r="F702" s="155"/>
      <c r="G702" s="154">
        <v>3</v>
      </c>
      <c r="H702" s="155" t="s">
        <v>25</v>
      </c>
      <c r="I702" s="154" t="s">
        <v>39</v>
      </c>
      <c r="J702" s="154">
        <v>47</v>
      </c>
      <c r="K702" s="154">
        <v>0</v>
      </c>
      <c r="L702" s="154">
        <v>30</v>
      </c>
      <c r="M702" s="156" t="s">
        <v>2969</v>
      </c>
      <c r="N702" s="156" t="s">
        <v>2193</v>
      </c>
      <c r="O702" s="157"/>
      <c r="P702" s="156" t="s">
        <v>2970</v>
      </c>
    </row>
    <row r="703" spans="1:16" outlineLevel="3" x14ac:dyDescent="0.3">
      <c r="A703" s="105" t="s">
        <v>2971</v>
      </c>
      <c r="B703" s="106"/>
      <c r="C703" s="106"/>
      <c r="D703" s="106"/>
      <c r="E703" s="106" t="s">
        <v>2972</v>
      </c>
      <c r="F703" s="106" t="s">
        <v>2973</v>
      </c>
      <c r="G703" s="105">
        <v>4</v>
      </c>
      <c r="H703" s="106" t="s">
        <v>7</v>
      </c>
      <c r="I703" s="105" t="s">
        <v>39</v>
      </c>
      <c r="J703" s="105"/>
      <c r="K703" s="105"/>
      <c r="L703" s="105"/>
      <c r="M703" s="106" t="s">
        <v>2974</v>
      </c>
      <c r="N703" s="106" t="s">
        <v>513</v>
      </c>
      <c r="O703" s="107"/>
      <c r="P703" s="106"/>
    </row>
    <row r="704" spans="1:16" outlineLevel="3" x14ac:dyDescent="0.3">
      <c r="A704" s="105" t="s">
        <v>2975</v>
      </c>
      <c r="B704" s="106"/>
      <c r="C704" s="106"/>
      <c r="D704" s="106"/>
      <c r="E704" s="106" t="s">
        <v>2976</v>
      </c>
      <c r="F704" s="106" t="s">
        <v>2977</v>
      </c>
      <c r="G704" s="105">
        <v>4</v>
      </c>
      <c r="H704" s="106" t="s">
        <v>7</v>
      </c>
      <c r="I704" s="105" t="s">
        <v>39</v>
      </c>
      <c r="J704" s="105"/>
      <c r="K704" s="105"/>
      <c r="L704" s="105"/>
      <c r="M704" s="106" t="s">
        <v>2978</v>
      </c>
      <c r="N704" s="106" t="s">
        <v>2193</v>
      </c>
      <c r="O704" s="107"/>
      <c r="P704" s="106" t="s">
        <v>2979</v>
      </c>
    </row>
    <row r="705" spans="1:16" outlineLevel="3" x14ac:dyDescent="0.3">
      <c r="A705" s="105" t="s">
        <v>2980</v>
      </c>
      <c r="B705" s="106"/>
      <c r="C705" s="106"/>
      <c r="D705" s="106"/>
      <c r="E705" s="106" t="s">
        <v>2981</v>
      </c>
      <c r="F705" s="106" t="s">
        <v>2982</v>
      </c>
      <c r="G705" s="105">
        <v>4</v>
      </c>
      <c r="H705" s="106" t="s">
        <v>7</v>
      </c>
      <c r="I705" s="105" t="s">
        <v>39</v>
      </c>
      <c r="J705" s="105"/>
      <c r="K705" s="105"/>
      <c r="L705" s="105"/>
      <c r="M705" s="106" t="s">
        <v>2983</v>
      </c>
      <c r="N705" s="106" t="s">
        <v>513</v>
      </c>
      <c r="O705" s="107"/>
      <c r="P705" s="106" t="s">
        <v>2984</v>
      </c>
    </row>
    <row r="706" spans="1:16" outlineLevel="3" x14ac:dyDescent="0.3">
      <c r="A706" s="105" t="s">
        <v>2985</v>
      </c>
      <c r="B706" s="106"/>
      <c r="C706" s="106"/>
      <c r="D706" s="106"/>
      <c r="E706" s="106" t="s">
        <v>2986</v>
      </c>
      <c r="F706" s="106" t="s">
        <v>2987</v>
      </c>
      <c r="G706" s="105">
        <v>4</v>
      </c>
      <c r="H706" s="106" t="s">
        <v>7</v>
      </c>
      <c r="I706" s="105" t="s">
        <v>39</v>
      </c>
      <c r="J706" s="105"/>
      <c r="K706" s="105"/>
      <c r="L706" s="105"/>
      <c r="M706" s="106" t="s">
        <v>2988</v>
      </c>
      <c r="N706" s="106" t="s">
        <v>2193</v>
      </c>
      <c r="O706" s="107"/>
      <c r="P706" s="106" t="s">
        <v>2989</v>
      </c>
    </row>
    <row r="707" spans="1:16" outlineLevel="3" x14ac:dyDescent="0.3">
      <c r="A707" s="105" t="s">
        <v>2990</v>
      </c>
      <c r="B707" s="106"/>
      <c r="C707" s="106"/>
      <c r="D707" s="106"/>
      <c r="E707" s="106" t="s">
        <v>2991</v>
      </c>
      <c r="F707" s="106" t="s">
        <v>2992</v>
      </c>
      <c r="G707" s="105">
        <v>4</v>
      </c>
      <c r="H707" s="106" t="s">
        <v>7</v>
      </c>
      <c r="I707" s="105" t="s">
        <v>39</v>
      </c>
      <c r="J707" s="105"/>
      <c r="K707" s="105"/>
      <c r="L707" s="105"/>
      <c r="M707" s="106" t="s">
        <v>2993</v>
      </c>
      <c r="N707" s="106" t="s">
        <v>40</v>
      </c>
      <c r="O707" s="107"/>
      <c r="P707" s="106" t="s">
        <v>2994</v>
      </c>
    </row>
    <row r="708" spans="1:16" outlineLevel="3" x14ac:dyDescent="0.3">
      <c r="A708" s="105" t="s">
        <v>2995</v>
      </c>
      <c r="B708" s="106"/>
      <c r="C708" s="106"/>
      <c r="D708" s="106"/>
      <c r="E708" s="106" t="s">
        <v>2996</v>
      </c>
      <c r="F708" s="106" t="s">
        <v>2997</v>
      </c>
      <c r="G708" s="105">
        <v>4</v>
      </c>
      <c r="H708" s="106" t="s">
        <v>7</v>
      </c>
      <c r="I708" s="105" t="s">
        <v>39</v>
      </c>
      <c r="J708" s="105"/>
      <c r="K708" s="105"/>
      <c r="L708" s="105"/>
      <c r="M708" s="106" t="s">
        <v>2998</v>
      </c>
      <c r="N708" s="106" t="s">
        <v>2193</v>
      </c>
      <c r="O708" s="107"/>
      <c r="P708" s="106" t="s">
        <v>2999</v>
      </c>
    </row>
    <row r="709" spans="1:16" outlineLevel="3" x14ac:dyDescent="0.3">
      <c r="A709" s="105" t="s">
        <v>3000</v>
      </c>
      <c r="B709" s="106"/>
      <c r="C709" s="106"/>
      <c r="D709" s="106"/>
      <c r="E709" s="106" t="s">
        <v>3001</v>
      </c>
      <c r="F709" s="106" t="s">
        <v>3002</v>
      </c>
      <c r="G709" s="105">
        <v>4</v>
      </c>
      <c r="H709" s="106" t="s">
        <v>7</v>
      </c>
      <c r="I709" s="105" t="s">
        <v>39</v>
      </c>
      <c r="J709" s="105"/>
      <c r="K709" s="105"/>
      <c r="L709" s="105"/>
      <c r="M709" s="106" t="s">
        <v>3003</v>
      </c>
      <c r="N709" s="106" t="s">
        <v>2193</v>
      </c>
      <c r="O709" s="107"/>
      <c r="P709" s="106" t="s">
        <v>3004</v>
      </c>
    </row>
    <row r="710" spans="1:16" outlineLevel="3" x14ac:dyDescent="0.3">
      <c r="A710" s="105" t="s">
        <v>3005</v>
      </c>
      <c r="B710" s="106"/>
      <c r="C710" s="106"/>
      <c r="D710" s="106"/>
      <c r="E710" s="106" t="s">
        <v>3006</v>
      </c>
      <c r="F710" s="106" t="s">
        <v>3007</v>
      </c>
      <c r="G710" s="105">
        <v>4</v>
      </c>
      <c r="H710" s="106" t="s">
        <v>7</v>
      </c>
      <c r="I710" s="105" t="s">
        <v>39</v>
      </c>
      <c r="J710" s="105"/>
      <c r="K710" s="105"/>
      <c r="L710" s="105"/>
      <c r="M710" s="106" t="s">
        <v>3008</v>
      </c>
      <c r="N710" s="106" t="s">
        <v>2193</v>
      </c>
      <c r="O710" s="107"/>
      <c r="P710" s="106" t="s">
        <v>3009</v>
      </c>
    </row>
    <row r="711" spans="1:16" outlineLevel="3" x14ac:dyDescent="0.3">
      <c r="A711" s="105" t="s">
        <v>3010</v>
      </c>
      <c r="B711" s="106"/>
      <c r="C711" s="106"/>
      <c r="D711" s="106"/>
      <c r="E711" s="106" t="s">
        <v>962</v>
      </c>
      <c r="F711" s="106" t="s">
        <v>3011</v>
      </c>
      <c r="G711" s="105">
        <v>4</v>
      </c>
      <c r="H711" s="106" t="s">
        <v>7</v>
      </c>
      <c r="I711" s="105" t="s">
        <v>39</v>
      </c>
      <c r="J711" s="105"/>
      <c r="K711" s="105"/>
      <c r="L711" s="105"/>
      <c r="M711" s="106" t="s">
        <v>3012</v>
      </c>
      <c r="N711" s="106" t="s">
        <v>40</v>
      </c>
      <c r="O711" s="107"/>
      <c r="P711" s="106" t="s">
        <v>3013</v>
      </c>
    </row>
    <row r="712" spans="1:16" outlineLevel="3" x14ac:dyDescent="0.3">
      <c r="A712" s="105" t="s">
        <v>3014</v>
      </c>
      <c r="B712" s="106"/>
      <c r="C712" s="106"/>
      <c r="D712" s="106"/>
      <c r="E712" s="106" t="s">
        <v>3015</v>
      </c>
      <c r="F712" s="106" t="s">
        <v>3016</v>
      </c>
      <c r="G712" s="105">
        <v>4</v>
      </c>
      <c r="H712" s="106" t="s">
        <v>7</v>
      </c>
      <c r="I712" s="105" t="s">
        <v>39</v>
      </c>
      <c r="J712" s="105"/>
      <c r="K712" s="105"/>
      <c r="L712" s="105"/>
      <c r="M712" s="106" t="s">
        <v>3017</v>
      </c>
      <c r="N712" s="106" t="s">
        <v>513</v>
      </c>
      <c r="O712" s="107"/>
      <c r="P712" s="106"/>
    </row>
    <row r="713" spans="1:16" outlineLevel="3" x14ac:dyDescent="0.3">
      <c r="A713" s="105" t="s">
        <v>3018</v>
      </c>
      <c r="B713" s="106"/>
      <c r="C713" s="106"/>
      <c r="D713" s="106"/>
      <c r="E713" s="106" t="s">
        <v>3019</v>
      </c>
      <c r="F713" s="106" t="s">
        <v>3020</v>
      </c>
      <c r="G713" s="105">
        <v>4</v>
      </c>
      <c r="H713" s="106" t="s">
        <v>7</v>
      </c>
      <c r="I713" s="105" t="s">
        <v>39</v>
      </c>
      <c r="J713" s="105"/>
      <c r="K713" s="105"/>
      <c r="L713" s="105"/>
      <c r="M713" s="106" t="s">
        <v>3021</v>
      </c>
      <c r="N713" s="106" t="s">
        <v>513</v>
      </c>
      <c r="O713" s="107"/>
      <c r="P713" s="106"/>
    </row>
    <row r="714" spans="1:16" outlineLevel="3" x14ac:dyDescent="0.3">
      <c r="A714" s="105" t="s">
        <v>3022</v>
      </c>
      <c r="B714" s="106"/>
      <c r="C714" s="106"/>
      <c r="D714" s="106"/>
      <c r="E714" s="106" t="s">
        <v>3023</v>
      </c>
      <c r="F714" s="106" t="s">
        <v>3024</v>
      </c>
      <c r="G714" s="105">
        <v>4</v>
      </c>
      <c r="H714" s="106" t="s">
        <v>7</v>
      </c>
      <c r="I714" s="105" t="s">
        <v>39</v>
      </c>
      <c r="J714" s="105"/>
      <c r="K714" s="105"/>
      <c r="L714" s="105"/>
      <c r="M714" s="106" t="s">
        <v>3025</v>
      </c>
      <c r="N714" s="106" t="s">
        <v>40</v>
      </c>
      <c r="O714" s="107"/>
      <c r="P714" s="106" t="s">
        <v>3026</v>
      </c>
    </row>
    <row r="715" spans="1:16" outlineLevel="3" x14ac:dyDescent="0.3">
      <c r="A715" s="105" t="s">
        <v>3027</v>
      </c>
      <c r="B715" s="106"/>
      <c r="C715" s="106"/>
      <c r="D715" s="106"/>
      <c r="E715" s="106" t="s">
        <v>3028</v>
      </c>
      <c r="F715" s="106" t="s">
        <v>3029</v>
      </c>
      <c r="G715" s="105">
        <v>4</v>
      </c>
      <c r="H715" s="106" t="s">
        <v>7</v>
      </c>
      <c r="I715" s="105" t="s">
        <v>39</v>
      </c>
      <c r="J715" s="105"/>
      <c r="K715" s="105"/>
      <c r="L715" s="105"/>
      <c r="M715" s="106" t="s">
        <v>3030</v>
      </c>
      <c r="N715" s="106" t="s">
        <v>2193</v>
      </c>
      <c r="O715" s="107"/>
      <c r="P715" s="106" t="s">
        <v>3031</v>
      </c>
    </row>
    <row r="716" spans="1:16" outlineLevel="3" x14ac:dyDescent="0.3">
      <c r="A716" s="105" t="s">
        <v>3032</v>
      </c>
      <c r="B716" s="106"/>
      <c r="C716" s="106"/>
      <c r="D716" s="106"/>
      <c r="E716" s="106" t="s">
        <v>3033</v>
      </c>
      <c r="F716" s="106" t="s">
        <v>2930</v>
      </c>
      <c r="G716" s="105">
        <v>4</v>
      </c>
      <c r="H716" s="106" t="s">
        <v>7</v>
      </c>
      <c r="I716" s="105" t="s">
        <v>39</v>
      </c>
      <c r="J716" s="105"/>
      <c r="K716" s="105"/>
      <c r="L716" s="105"/>
      <c r="M716" s="106" t="s">
        <v>2931</v>
      </c>
      <c r="N716" s="106" t="s">
        <v>513</v>
      </c>
      <c r="O716" s="107"/>
      <c r="P716" s="106"/>
    </row>
    <row r="717" spans="1:16" outlineLevel="3" x14ac:dyDescent="0.3">
      <c r="A717" s="105" t="s">
        <v>3034</v>
      </c>
      <c r="B717" s="106"/>
      <c r="C717" s="106"/>
      <c r="D717" s="106"/>
      <c r="E717" s="106" t="s">
        <v>3035</v>
      </c>
      <c r="F717" s="106" t="s">
        <v>3036</v>
      </c>
      <c r="G717" s="105">
        <v>4</v>
      </c>
      <c r="H717" s="106" t="s">
        <v>7</v>
      </c>
      <c r="I717" s="105" t="s">
        <v>39</v>
      </c>
      <c r="J717" s="105"/>
      <c r="K717" s="105"/>
      <c r="L717" s="105"/>
      <c r="M717" s="106" t="s">
        <v>3037</v>
      </c>
      <c r="N717" s="106" t="s">
        <v>40</v>
      </c>
      <c r="O717" s="107"/>
      <c r="P717" s="106" t="s">
        <v>3038</v>
      </c>
    </row>
    <row r="718" spans="1:16" outlineLevel="3" x14ac:dyDescent="0.3">
      <c r="A718" s="105" t="s">
        <v>3039</v>
      </c>
      <c r="B718" s="106"/>
      <c r="C718" s="106"/>
      <c r="D718" s="106"/>
      <c r="E718" s="106" t="s">
        <v>3040</v>
      </c>
      <c r="F718" s="106" t="s">
        <v>3041</v>
      </c>
      <c r="G718" s="105">
        <v>4</v>
      </c>
      <c r="H718" s="106" t="s">
        <v>7</v>
      </c>
      <c r="I718" s="105" t="s">
        <v>39</v>
      </c>
      <c r="J718" s="105"/>
      <c r="K718" s="105"/>
      <c r="L718" s="105"/>
      <c r="M718" s="106" t="s">
        <v>3042</v>
      </c>
      <c r="N718" s="106" t="s">
        <v>513</v>
      </c>
      <c r="O718" s="107"/>
      <c r="P718" s="106"/>
    </row>
    <row r="719" spans="1:16" outlineLevel="3" x14ac:dyDescent="0.3">
      <c r="A719" s="105" t="s">
        <v>3043</v>
      </c>
      <c r="B719" s="106"/>
      <c r="C719" s="106"/>
      <c r="D719" s="106"/>
      <c r="E719" s="106" t="s">
        <v>3044</v>
      </c>
      <c r="F719" s="106" t="s">
        <v>3045</v>
      </c>
      <c r="G719" s="105">
        <v>4</v>
      </c>
      <c r="H719" s="106" t="s">
        <v>7</v>
      </c>
      <c r="I719" s="105" t="s">
        <v>39</v>
      </c>
      <c r="J719" s="105"/>
      <c r="K719" s="105"/>
      <c r="L719" s="105"/>
      <c r="M719" s="106" t="s">
        <v>3046</v>
      </c>
      <c r="N719" s="106" t="s">
        <v>40</v>
      </c>
      <c r="O719" s="107"/>
      <c r="P719" s="106" t="s">
        <v>3047</v>
      </c>
    </row>
    <row r="720" spans="1:16" outlineLevel="3" x14ac:dyDescent="0.3">
      <c r="A720" s="105" t="s">
        <v>3048</v>
      </c>
      <c r="B720" s="106"/>
      <c r="C720" s="106"/>
      <c r="D720" s="106"/>
      <c r="E720" s="106" t="s">
        <v>3049</v>
      </c>
      <c r="F720" s="106" t="s">
        <v>3050</v>
      </c>
      <c r="G720" s="105">
        <v>4</v>
      </c>
      <c r="H720" s="106" t="s">
        <v>7</v>
      </c>
      <c r="I720" s="105" t="s">
        <v>39</v>
      </c>
      <c r="J720" s="105"/>
      <c r="K720" s="105"/>
      <c r="L720" s="105"/>
      <c r="M720" s="106" t="s">
        <v>3046</v>
      </c>
      <c r="N720" s="106" t="s">
        <v>223</v>
      </c>
      <c r="O720" s="107"/>
      <c r="P720" s="106" t="s">
        <v>3051</v>
      </c>
    </row>
    <row r="721" spans="1:16" outlineLevel="3" x14ac:dyDescent="0.3">
      <c r="A721" s="105" t="s">
        <v>3052</v>
      </c>
      <c r="B721" s="106"/>
      <c r="C721" s="106"/>
      <c r="D721" s="106"/>
      <c r="E721" s="106" t="s">
        <v>3053</v>
      </c>
      <c r="F721" s="106" t="s">
        <v>3054</v>
      </c>
      <c r="G721" s="105">
        <v>4</v>
      </c>
      <c r="H721" s="106" t="s">
        <v>7</v>
      </c>
      <c r="I721" s="105" t="s">
        <v>39</v>
      </c>
      <c r="J721" s="105"/>
      <c r="K721" s="105"/>
      <c r="L721" s="105"/>
      <c r="M721" s="106" t="s">
        <v>3055</v>
      </c>
      <c r="N721" s="106" t="s">
        <v>513</v>
      </c>
      <c r="O721" s="107"/>
      <c r="P721" s="106"/>
    </row>
    <row r="722" spans="1:16" outlineLevel="3" x14ac:dyDescent="0.3">
      <c r="A722" s="105" t="s">
        <v>3056</v>
      </c>
      <c r="B722" s="106"/>
      <c r="C722" s="106"/>
      <c r="D722" s="106"/>
      <c r="E722" s="106" t="s">
        <v>3057</v>
      </c>
      <c r="F722" s="106" t="s">
        <v>3058</v>
      </c>
      <c r="G722" s="105">
        <v>4</v>
      </c>
      <c r="H722" s="106" t="s">
        <v>7</v>
      </c>
      <c r="I722" s="105" t="s">
        <v>39</v>
      </c>
      <c r="J722" s="105"/>
      <c r="K722" s="105"/>
      <c r="L722" s="105"/>
      <c r="M722" s="106" t="s">
        <v>3059</v>
      </c>
      <c r="N722" s="106" t="s">
        <v>513</v>
      </c>
      <c r="O722" s="107"/>
      <c r="P722" s="106"/>
    </row>
    <row r="723" spans="1:16" outlineLevel="3" x14ac:dyDescent="0.3">
      <c r="A723" s="105" t="s">
        <v>3060</v>
      </c>
      <c r="B723" s="106"/>
      <c r="C723" s="106"/>
      <c r="D723" s="106"/>
      <c r="E723" s="106" t="s">
        <v>3061</v>
      </c>
      <c r="F723" s="106" t="s">
        <v>3062</v>
      </c>
      <c r="G723" s="105">
        <v>4</v>
      </c>
      <c r="H723" s="106" t="s">
        <v>7</v>
      </c>
      <c r="I723" s="105" t="s">
        <v>39</v>
      </c>
      <c r="J723" s="105"/>
      <c r="K723" s="105"/>
      <c r="L723" s="105"/>
      <c r="M723" s="106" t="s">
        <v>3063</v>
      </c>
      <c r="N723" s="106" t="s">
        <v>40</v>
      </c>
      <c r="O723" s="107"/>
      <c r="P723" s="106" t="s">
        <v>3064</v>
      </c>
    </row>
    <row r="724" spans="1:16" outlineLevel="3" x14ac:dyDescent="0.3">
      <c r="A724" s="105" t="s">
        <v>3065</v>
      </c>
      <c r="B724" s="106"/>
      <c r="C724" s="106"/>
      <c r="D724" s="106"/>
      <c r="E724" s="106" t="s">
        <v>3066</v>
      </c>
      <c r="F724" s="106" t="s">
        <v>3067</v>
      </c>
      <c r="G724" s="105">
        <v>4</v>
      </c>
      <c r="H724" s="106" t="s">
        <v>7</v>
      </c>
      <c r="I724" s="105" t="s">
        <v>39</v>
      </c>
      <c r="J724" s="105"/>
      <c r="K724" s="105"/>
      <c r="L724" s="105"/>
      <c r="M724" s="106" t="s">
        <v>3068</v>
      </c>
      <c r="N724" s="106" t="s">
        <v>513</v>
      </c>
      <c r="O724" s="107"/>
      <c r="P724" s="106"/>
    </row>
    <row r="725" spans="1:16" outlineLevel="3" x14ac:dyDescent="0.3">
      <c r="A725" s="105" t="s">
        <v>3069</v>
      </c>
      <c r="B725" s="106"/>
      <c r="C725" s="106"/>
      <c r="D725" s="106"/>
      <c r="E725" s="106" t="s">
        <v>3070</v>
      </c>
      <c r="F725" s="106" t="s">
        <v>3071</v>
      </c>
      <c r="G725" s="105">
        <v>4</v>
      </c>
      <c r="H725" s="106" t="s">
        <v>7</v>
      </c>
      <c r="I725" s="105" t="s">
        <v>39</v>
      </c>
      <c r="J725" s="105"/>
      <c r="K725" s="105"/>
      <c r="L725" s="105"/>
      <c r="M725" s="106" t="s">
        <v>3072</v>
      </c>
      <c r="N725" s="106" t="s">
        <v>2193</v>
      </c>
      <c r="O725" s="107"/>
      <c r="P725" s="106" t="s">
        <v>3073</v>
      </c>
    </row>
    <row r="726" spans="1:16" outlineLevel="3" x14ac:dyDescent="0.3">
      <c r="A726" s="105" t="s">
        <v>3074</v>
      </c>
      <c r="B726" s="106"/>
      <c r="C726" s="106"/>
      <c r="D726" s="106"/>
      <c r="E726" s="106" t="s">
        <v>3075</v>
      </c>
      <c r="F726" s="106" t="s">
        <v>3076</v>
      </c>
      <c r="G726" s="105">
        <v>4</v>
      </c>
      <c r="H726" s="106" t="s">
        <v>7</v>
      </c>
      <c r="I726" s="105" t="s">
        <v>39</v>
      </c>
      <c r="J726" s="105"/>
      <c r="K726" s="105"/>
      <c r="L726" s="105"/>
      <c r="M726" s="106" t="s">
        <v>3077</v>
      </c>
      <c r="N726" s="106" t="s">
        <v>40</v>
      </c>
      <c r="O726" s="107"/>
      <c r="P726" s="106" t="s">
        <v>3078</v>
      </c>
    </row>
    <row r="727" spans="1:16" outlineLevel="3" x14ac:dyDescent="0.3">
      <c r="A727" s="105" t="s">
        <v>3079</v>
      </c>
      <c r="B727" s="106"/>
      <c r="C727" s="106"/>
      <c r="D727" s="106"/>
      <c r="E727" s="106" t="s">
        <v>3080</v>
      </c>
      <c r="F727" s="106" t="s">
        <v>3081</v>
      </c>
      <c r="G727" s="105">
        <v>4</v>
      </c>
      <c r="H727" s="106" t="s">
        <v>7</v>
      </c>
      <c r="I727" s="105" t="s">
        <v>39</v>
      </c>
      <c r="J727" s="105"/>
      <c r="K727" s="105"/>
      <c r="L727" s="105"/>
      <c r="M727" s="106" t="s">
        <v>3082</v>
      </c>
      <c r="N727" s="106" t="s">
        <v>40</v>
      </c>
      <c r="O727" s="107"/>
      <c r="P727" s="106" t="s">
        <v>3083</v>
      </c>
    </row>
    <row r="728" spans="1:16" outlineLevel="3" x14ac:dyDescent="0.3">
      <c r="A728" s="105" t="s">
        <v>3084</v>
      </c>
      <c r="B728" s="106"/>
      <c r="C728" s="106"/>
      <c r="D728" s="106"/>
      <c r="E728" s="106" t="s">
        <v>3085</v>
      </c>
      <c r="F728" s="106" t="s">
        <v>3086</v>
      </c>
      <c r="G728" s="105">
        <v>4</v>
      </c>
      <c r="H728" s="106" t="s">
        <v>7</v>
      </c>
      <c r="I728" s="105" t="s">
        <v>39</v>
      </c>
      <c r="J728" s="105"/>
      <c r="K728" s="105"/>
      <c r="L728" s="105"/>
      <c r="M728" s="106" t="s">
        <v>3087</v>
      </c>
      <c r="N728" s="106" t="s">
        <v>513</v>
      </c>
      <c r="O728" s="107"/>
      <c r="P728" s="106"/>
    </row>
    <row r="729" spans="1:16" outlineLevel="3" x14ac:dyDescent="0.3">
      <c r="A729" s="105" t="s">
        <v>3088</v>
      </c>
      <c r="B729" s="106"/>
      <c r="C729" s="106"/>
      <c r="D729" s="106"/>
      <c r="E729" s="106" t="s">
        <v>3089</v>
      </c>
      <c r="F729" s="106" t="s">
        <v>3090</v>
      </c>
      <c r="G729" s="105">
        <v>4</v>
      </c>
      <c r="H729" s="106" t="s">
        <v>7</v>
      </c>
      <c r="I729" s="105" t="s">
        <v>39</v>
      </c>
      <c r="J729" s="105"/>
      <c r="K729" s="105"/>
      <c r="L729" s="105"/>
      <c r="M729" s="106" t="s">
        <v>3091</v>
      </c>
      <c r="N729" s="106" t="s">
        <v>2193</v>
      </c>
      <c r="O729" s="107"/>
      <c r="P729" s="106" t="s">
        <v>3092</v>
      </c>
    </row>
    <row r="730" spans="1:16" outlineLevel="3" x14ac:dyDescent="0.3">
      <c r="A730" s="105" t="s">
        <v>3093</v>
      </c>
      <c r="B730" s="106"/>
      <c r="C730" s="106"/>
      <c r="D730" s="106"/>
      <c r="E730" s="106" t="s">
        <v>3094</v>
      </c>
      <c r="F730" s="106" t="s">
        <v>3095</v>
      </c>
      <c r="G730" s="105">
        <v>4</v>
      </c>
      <c r="H730" s="106" t="s">
        <v>7</v>
      </c>
      <c r="I730" s="105" t="s">
        <v>39</v>
      </c>
      <c r="J730" s="105"/>
      <c r="K730" s="105"/>
      <c r="L730" s="105"/>
      <c r="M730" s="106" t="s">
        <v>3096</v>
      </c>
      <c r="N730" s="106" t="s">
        <v>2193</v>
      </c>
      <c r="O730" s="107"/>
      <c r="P730" s="106" t="s">
        <v>3097</v>
      </c>
    </row>
    <row r="731" spans="1:16" outlineLevel="3" x14ac:dyDescent="0.3">
      <c r="A731" s="105" t="s">
        <v>3098</v>
      </c>
      <c r="B731" s="106"/>
      <c r="C731" s="106"/>
      <c r="D731" s="106"/>
      <c r="E731" s="106" t="s">
        <v>3099</v>
      </c>
      <c r="F731" s="106" t="s">
        <v>3100</v>
      </c>
      <c r="G731" s="105">
        <v>4</v>
      </c>
      <c r="H731" s="106" t="s">
        <v>7</v>
      </c>
      <c r="I731" s="105" t="s">
        <v>39</v>
      </c>
      <c r="J731" s="105"/>
      <c r="K731" s="105"/>
      <c r="L731" s="105"/>
      <c r="M731" s="106" t="s">
        <v>3101</v>
      </c>
      <c r="N731" s="106" t="s">
        <v>2193</v>
      </c>
      <c r="O731" s="107"/>
      <c r="P731" s="106" t="s">
        <v>3102</v>
      </c>
    </row>
    <row r="732" spans="1:16" outlineLevel="3" x14ac:dyDescent="0.3">
      <c r="A732" s="105" t="s">
        <v>3103</v>
      </c>
      <c r="B732" s="106"/>
      <c r="C732" s="106"/>
      <c r="D732" s="106"/>
      <c r="E732" s="106" t="s">
        <v>3104</v>
      </c>
      <c r="F732" s="106" t="s">
        <v>3105</v>
      </c>
      <c r="G732" s="105">
        <v>4</v>
      </c>
      <c r="H732" s="106" t="s">
        <v>7</v>
      </c>
      <c r="I732" s="105" t="s">
        <v>39</v>
      </c>
      <c r="J732" s="105"/>
      <c r="K732" s="105"/>
      <c r="L732" s="105"/>
      <c r="M732" s="106" t="s">
        <v>3106</v>
      </c>
      <c r="N732" s="106" t="s">
        <v>40</v>
      </c>
      <c r="O732" s="107"/>
      <c r="P732" s="106" t="s">
        <v>3107</v>
      </c>
    </row>
    <row r="733" spans="1:16" outlineLevel="3" x14ac:dyDescent="0.3">
      <c r="A733" s="105" t="s">
        <v>3108</v>
      </c>
      <c r="B733" s="106"/>
      <c r="C733" s="106"/>
      <c r="D733" s="106"/>
      <c r="E733" s="106" t="s">
        <v>3109</v>
      </c>
      <c r="F733" s="106" t="s">
        <v>3110</v>
      </c>
      <c r="G733" s="105">
        <v>4</v>
      </c>
      <c r="H733" s="106" t="s">
        <v>7</v>
      </c>
      <c r="I733" s="105" t="s">
        <v>39</v>
      </c>
      <c r="J733" s="105"/>
      <c r="K733" s="105"/>
      <c r="L733" s="105"/>
      <c r="M733" s="106" t="s">
        <v>3111</v>
      </c>
      <c r="N733" s="106" t="s">
        <v>513</v>
      </c>
      <c r="O733" s="107"/>
      <c r="P733" s="106"/>
    </row>
    <row r="734" spans="1:16" outlineLevel="3" x14ac:dyDescent="0.3">
      <c r="A734" s="105" t="s">
        <v>3112</v>
      </c>
      <c r="B734" s="106"/>
      <c r="C734" s="106"/>
      <c r="D734" s="106"/>
      <c r="E734" s="106" t="s">
        <v>3113</v>
      </c>
      <c r="F734" s="106" t="s">
        <v>3114</v>
      </c>
      <c r="G734" s="105">
        <v>4</v>
      </c>
      <c r="H734" s="106" t="s">
        <v>7</v>
      </c>
      <c r="I734" s="105" t="s">
        <v>39</v>
      </c>
      <c r="J734" s="105"/>
      <c r="K734" s="105"/>
      <c r="L734" s="105"/>
      <c r="M734" s="106" t="s">
        <v>3115</v>
      </c>
      <c r="N734" s="106" t="s">
        <v>513</v>
      </c>
      <c r="O734" s="107"/>
      <c r="P734" s="106"/>
    </row>
    <row r="735" spans="1:16" outlineLevel="3" x14ac:dyDescent="0.3">
      <c r="A735" s="105" t="s">
        <v>3116</v>
      </c>
      <c r="B735" s="106"/>
      <c r="C735" s="106"/>
      <c r="D735" s="106"/>
      <c r="E735" s="106" t="s">
        <v>3117</v>
      </c>
      <c r="F735" s="106" t="s">
        <v>3118</v>
      </c>
      <c r="G735" s="105">
        <v>4</v>
      </c>
      <c r="H735" s="106" t="s">
        <v>7</v>
      </c>
      <c r="I735" s="105" t="s">
        <v>39</v>
      </c>
      <c r="J735" s="105"/>
      <c r="K735" s="105"/>
      <c r="L735" s="105"/>
      <c r="M735" s="106" t="s">
        <v>3119</v>
      </c>
      <c r="N735" s="106" t="s">
        <v>513</v>
      </c>
      <c r="O735" s="107"/>
      <c r="P735" s="106"/>
    </row>
    <row r="736" spans="1:16" outlineLevel="3" x14ac:dyDescent="0.3">
      <c r="A736" s="105" t="s">
        <v>3120</v>
      </c>
      <c r="B736" s="106"/>
      <c r="C736" s="106"/>
      <c r="D736" s="106"/>
      <c r="E736" s="106" t="s">
        <v>3121</v>
      </c>
      <c r="F736" s="106" t="s">
        <v>3122</v>
      </c>
      <c r="G736" s="105">
        <v>4</v>
      </c>
      <c r="H736" s="106" t="s">
        <v>7</v>
      </c>
      <c r="I736" s="105" t="s">
        <v>39</v>
      </c>
      <c r="J736" s="105"/>
      <c r="K736" s="105"/>
      <c r="L736" s="105"/>
      <c r="M736" s="106" t="s">
        <v>3123</v>
      </c>
      <c r="N736" s="106" t="s">
        <v>40</v>
      </c>
      <c r="O736" s="107"/>
      <c r="P736" s="106" t="s">
        <v>3124</v>
      </c>
    </row>
    <row r="737" spans="1:16" outlineLevel="3" x14ac:dyDescent="0.3">
      <c r="A737" s="105" t="s">
        <v>3125</v>
      </c>
      <c r="B737" s="106"/>
      <c r="C737" s="106"/>
      <c r="D737" s="106"/>
      <c r="E737" s="106" t="s">
        <v>3126</v>
      </c>
      <c r="F737" s="106" t="s">
        <v>3127</v>
      </c>
      <c r="G737" s="105">
        <v>4</v>
      </c>
      <c r="H737" s="106" t="s">
        <v>7</v>
      </c>
      <c r="I737" s="105" t="s">
        <v>39</v>
      </c>
      <c r="J737" s="105"/>
      <c r="K737" s="105"/>
      <c r="L737" s="105"/>
      <c r="M737" s="106" t="s">
        <v>3128</v>
      </c>
      <c r="N737" s="106" t="s">
        <v>40</v>
      </c>
      <c r="O737" s="107"/>
      <c r="P737" s="106" t="s">
        <v>3129</v>
      </c>
    </row>
    <row r="738" spans="1:16" outlineLevel="3" x14ac:dyDescent="0.3">
      <c r="A738" s="105" t="s">
        <v>3130</v>
      </c>
      <c r="B738" s="106"/>
      <c r="C738" s="106"/>
      <c r="D738" s="106"/>
      <c r="E738" s="106" t="s">
        <v>3131</v>
      </c>
      <c r="F738" s="106" t="s">
        <v>3132</v>
      </c>
      <c r="G738" s="105">
        <v>4</v>
      </c>
      <c r="H738" s="106" t="s">
        <v>7</v>
      </c>
      <c r="I738" s="105" t="s">
        <v>39</v>
      </c>
      <c r="J738" s="105"/>
      <c r="K738" s="105"/>
      <c r="L738" s="105"/>
      <c r="M738" s="106" t="s">
        <v>3133</v>
      </c>
      <c r="N738" s="106" t="s">
        <v>513</v>
      </c>
      <c r="O738" s="107"/>
      <c r="P738" s="106"/>
    </row>
    <row r="739" spans="1:16" outlineLevel="3" x14ac:dyDescent="0.3">
      <c r="A739" s="105" t="s">
        <v>3134</v>
      </c>
      <c r="B739" s="106"/>
      <c r="C739" s="106"/>
      <c r="D739" s="106"/>
      <c r="E739" s="106" t="s">
        <v>3135</v>
      </c>
      <c r="F739" s="106" t="s">
        <v>3136</v>
      </c>
      <c r="G739" s="105">
        <v>4</v>
      </c>
      <c r="H739" s="106" t="s">
        <v>7</v>
      </c>
      <c r="I739" s="105" t="s">
        <v>39</v>
      </c>
      <c r="J739" s="105"/>
      <c r="K739" s="105"/>
      <c r="L739" s="105"/>
      <c r="M739" s="106" t="s">
        <v>3137</v>
      </c>
      <c r="N739" s="106" t="s">
        <v>2193</v>
      </c>
      <c r="O739" s="107"/>
      <c r="P739" s="106" t="s">
        <v>3138</v>
      </c>
    </row>
    <row r="740" spans="1:16" outlineLevel="3" x14ac:dyDescent="0.3">
      <c r="A740" s="105" t="s">
        <v>3139</v>
      </c>
      <c r="B740" s="106"/>
      <c r="C740" s="106"/>
      <c r="D740" s="106"/>
      <c r="E740" s="106" t="s">
        <v>3140</v>
      </c>
      <c r="F740" s="106" t="s">
        <v>3141</v>
      </c>
      <c r="G740" s="105">
        <v>4</v>
      </c>
      <c r="H740" s="106" t="s">
        <v>7</v>
      </c>
      <c r="I740" s="105" t="s">
        <v>39</v>
      </c>
      <c r="J740" s="105"/>
      <c r="K740" s="105"/>
      <c r="L740" s="105"/>
      <c r="M740" s="106" t="s">
        <v>3142</v>
      </c>
      <c r="N740" s="106" t="s">
        <v>40</v>
      </c>
      <c r="O740" s="107"/>
      <c r="P740" s="106" t="s">
        <v>3143</v>
      </c>
    </row>
    <row r="741" spans="1:16" outlineLevel="3" x14ac:dyDescent="0.3">
      <c r="A741" s="105" t="s">
        <v>3144</v>
      </c>
      <c r="B741" s="106"/>
      <c r="C741" s="106"/>
      <c r="D741" s="106"/>
      <c r="E741" s="106" t="s">
        <v>3145</v>
      </c>
      <c r="F741" s="106" t="s">
        <v>3146</v>
      </c>
      <c r="G741" s="105">
        <v>4</v>
      </c>
      <c r="H741" s="106" t="s">
        <v>7</v>
      </c>
      <c r="I741" s="105" t="s">
        <v>39</v>
      </c>
      <c r="J741" s="105"/>
      <c r="K741" s="105"/>
      <c r="L741" s="105"/>
      <c r="M741" s="106" t="s">
        <v>3147</v>
      </c>
      <c r="N741" s="106" t="s">
        <v>40</v>
      </c>
      <c r="O741" s="107"/>
      <c r="P741" s="106" t="s">
        <v>3148</v>
      </c>
    </row>
    <row r="742" spans="1:16" outlineLevel="3" x14ac:dyDescent="0.3">
      <c r="A742" s="105" t="s">
        <v>3149</v>
      </c>
      <c r="B742" s="106"/>
      <c r="C742" s="106"/>
      <c r="D742" s="106"/>
      <c r="E742" s="106" t="s">
        <v>3150</v>
      </c>
      <c r="F742" s="106" t="s">
        <v>3007</v>
      </c>
      <c r="G742" s="105">
        <v>4</v>
      </c>
      <c r="H742" s="106" t="s">
        <v>7</v>
      </c>
      <c r="I742" s="105" t="s">
        <v>39</v>
      </c>
      <c r="J742" s="105"/>
      <c r="K742" s="105"/>
      <c r="L742" s="105"/>
      <c r="M742" s="106" t="s">
        <v>3151</v>
      </c>
      <c r="N742" s="106" t="s">
        <v>513</v>
      </c>
      <c r="O742" s="107"/>
      <c r="P742" s="106"/>
    </row>
    <row r="743" spans="1:16" outlineLevel="3" x14ac:dyDescent="0.3">
      <c r="A743" s="105" t="s">
        <v>3152</v>
      </c>
      <c r="B743" s="106"/>
      <c r="C743" s="106"/>
      <c r="D743" s="106"/>
      <c r="E743" s="106" t="s">
        <v>3153</v>
      </c>
      <c r="F743" s="106" t="s">
        <v>3154</v>
      </c>
      <c r="G743" s="105">
        <v>4</v>
      </c>
      <c r="H743" s="106" t="s">
        <v>7</v>
      </c>
      <c r="I743" s="105" t="s">
        <v>39</v>
      </c>
      <c r="J743" s="105"/>
      <c r="K743" s="105"/>
      <c r="L743" s="105"/>
      <c r="M743" s="106" t="s">
        <v>3155</v>
      </c>
      <c r="N743" s="106" t="s">
        <v>513</v>
      </c>
      <c r="O743" s="107"/>
      <c r="P743" s="106"/>
    </row>
    <row r="744" spans="1:16" outlineLevel="3" x14ac:dyDescent="0.3">
      <c r="A744" s="105" t="s">
        <v>3156</v>
      </c>
      <c r="B744" s="106"/>
      <c r="C744" s="106"/>
      <c r="D744" s="106"/>
      <c r="E744" s="106" t="s">
        <v>157</v>
      </c>
      <c r="F744" s="106" t="s">
        <v>3157</v>
      </c>
      <c r="G744" s="105">
        <v>4</v>
      </c>
      <c r="H744" s="106" t="s">
        <v>7</v>
      </c>
      <c r="I744" s="105" t="s">
        <v>39</v>
      </c>
      <c r="J744" s="105"/>
      <c r="K744" s="105"/>
      <c r="L744" s="105"/>
      <c r="M744" s="106" t="s">
        <v>3158</v>
      </c>
      <c r="N744" s="106" t="s">
        <v>40</v>
      </c>
      <c r="O744" s="107"/>
      <c r="P744" s="106" t="s">
        <v>3159</v>
      </c>
    </row>
    <row r="745" spans="1:16" outlineLevel="3" x14ac:dyDescent="0.3">
      <c r="A745" s="105" t="s">
        <v>3160</v>
      </c>
      <c r="B745" s="106"/>
      <c r="C745" s="106"/>
      <c r="D745" s="106"/>
      <c r="E745" s="106" t="s">
        <v>3161</v>
      </c>
      <c r="F745" s="106" t="s">
        <v>3162</v>
      </c>
      <c r="G745" s="105">
        <v>4</v>
      </c>
      <c r="H745" s="106" t="s">
        <v>7</v>
      </c>
      <c r="I745" s="105" t="s">
        <v>39</v>
      </c>
      <c r="J745" s="105"/>
      <c r="K745" s="105"/>
      <c r="L745" s="105"/>
      <c r="M745" s="106" t="s">
        <v>3163</v>
      </c>
      <c r="N745" s="106" t="s">
        <v>40</v>
      </c>
      <c r="O745" s="107"/>
      <c r="P745" s="106" t="s">
        <v>3164</v>
      </c>
    </row>
    <row r="746" spans="1:16" outlineLevel="3" x14ac:dyDescent="0.3">
      <c r="A746" s="105" t="s">
        <v>3165</v>
      </c>
      <c r="B746" s="106"/>
      <c r="C746" s="106"/>
      <c r="D746" s="106"/>
      <c r="E746" s="106" t="s">
        <v>3166</v>
      </c>
      <c r="F746" s="106" t="s">
        <v>3167</v>
      </c>
      <c r="G746" s="105">
        <v>4</v>
      </c>
      <c r="H746" s="106" t="s">
        <v>7</v>
      </c>
      <c r="I746" s="105" t="s">
        <v>39</v>
      </c>
      <c r="J746" s="105"/>
      <c r="K746" s="105"/>
      <c r="L746" s="105"/>
      <c r="M746" s="106" t="s">
        <v>3168</v>
      </c>
      <c r="N746" s="106" t="s">
        <v>513</v>
      </c>
      <c r="O746" s="107"/>
      <c r="P746" s="106"/>
    </row>
    <row r="747" spans="1:16" outlineLevel="3" x14ac:dyDescent="0.3">
      <c r="A747" s="105" t="s">
        <v>3169</v>
      </c>
      <c r="B747" s="106"/>
      <c r="C747" s="106"/>
      <c r="D747" s="106"/>
      <c r="E747" s="106" t="s">
        <v>3166</v>
      </c>
      <c r="F747" s="106" t="s">
        <v>3170</v>
      </c>
      <c r="G747" s="105">
        <v>4</v>
      </c>
      <c r="H747" s="106" t="s">
        <v>7</v>
      </c>
      <c r="I747" s="105" t="s">
        <v>39</v>
      </c>
      <c r="J747" s="105"/>
      <c r="K747" s="105"/>
      <c r="L747" s="105"/>
      <c r="M747" s="106" t="s">
        <v>3171</v>
      </c>
      <c r="N747" s="106" t="s">
        <v>40</v>
      </c>
      <c r="O747" s="107"/>
      <c r="P747" s="106" t="s">
        <v>3172</v>
      </c>
    </row>
    <row r="748" spans="1:16" outlineLevel="3" x14ac:dyDescent="0.3">
      <c r="A748" s="105" t="s">
        <v>3173</v>
      </c>
      <c r="B748" s="106"/>
      <c r="C748" s="106"/>
      <c r="D748" s="106"/>
      <c r="E748" s="106" t="s">
        <v>3174</v>
      </c>
      <c r="F748" s="106" t="s">
        <v>3175</v>
      </c>
      <c r="G748" s="105">
        <v>4</v>
      </c>
      <c r="H748" s="106" t="s">
        <v>7</v>
      </c>
      <c r="I748" s="105" t="s">
        <v>39</v>
      </c>
      <c r="J748" s="105"/>
      <c r="K748" s="105"/>
      <c r="L748" s="105"/>
      <c r="M748" s="106" t="s">
        <v>3176</v>
      </c>
      <c r="N748" s="106" t="s">
        <v>2193</v>
      </c>
      <c r="O748" s="107"/>
      <c r="P748" s="106" t="s">
        <v>3177</v>
      </c>
    </row>
    <row r="749" spans="1:16" outlineLevel="3" x14ac:dyDescent="0.3">
      <c r="A749" s="105" t="s">
        <v>3178</v>
      </c>
      <c r="B749" s="106"/>
      <c r="C749" s="106"/>
      <c r="D749" s="106"/>
      <c r="E749" s="106" t="s">
        <v>3179</v>
      </c>
      <c r="F749" s="106" t="s">
        <v>3180</v>
      </c>
      <c r="G749" s="105">
        <v>4</v>
      </c>
      <c r="H749" s="106" t="s">
        <v>7</v>
      </c>
      <c r="I749" s="105" t="s">
        <v>39</v>
      </c>
      <c r="J749" s="105"/>
      <c r="K749" s="105"/>
      <c r="L749" s="105"/>
      <c r="M749" s="106" t="s">
        <v>3181</v>
      </c>
      <c r="N749" s="106" t="s">
        <v>40</v>
      </c>
      <c r="O749" s="107"/>
      <c r="P749" s="106" t="s">
        <v>3182</v>
      </c>
    </row>
    <row r="750" spans="1:16" ht="27.6" outlineLevel="2" x14ac:dyDescent="0.3">
      <c r="A750" s="154" t="s">
        <v>3183</v>
      </c>
      <c r="B750" s="155"/>
      <c r="C750" s="155"/>
      <c r="D750" s="155" t="s">
        <v>3184</v>
      </c>
      <c r="E750" s="155"/>
      <c r="F750" s="155"/>
      <c r="G750" s="154">
        <v>3</v>
      </c>
      <c r="H750" s="155" t="s">
        <v>25</v>
      </c>
      <c r="I750" s="154" t="s">
        <v>39</v>
      </c>
      <c r="J750" s="154">
        <v>25</v>
      </c>
      <c r="K750" s="154">
        <v>0</v>
      </c>
      <c r="L750" s="154">
        <v>14</v>
      </c>
      <c r="M750" s="156" t="s">
        <v>3185</v>
      </c>
      <c r="N750" s="156" t="s">
        <v>2193</v>
      </c>
      <c r="O750" s="157"/>
      <c r="P750" s="156" t="s">
        <v>3186</v>
      </c>
    </row>
    <row r="751" spans="1:16" outlineLevel="3" x14ac:dyDescent="0.3">
      <c r="A751" s="105" t="s">
        <v>3187</v>
      </c>
      <c r="B751" s="106"/>
      <c r="C751" s="106"/>
      <c r="D751" s="106"/>
      <c r="E751" s="106" t="s">
        <v>3188</v>
      </c>
      <c r="F751" s="106" t="s">
        <v>3189</v>
      </c>
      <c r="G751" s="105">
        <v>4</v>
      </c>
      <c r="H751" s="106" t="s">
        <v>7</v>
      </c>
      <c r="I751" s="105" t="s">
        <v>39</v>
      </c>
      <c r="J751" s="105"/>
      <c r="K751" s="105"/>
      <c r="L751" s="105"/>
      <c r="M751" s="106" t="s">
        <v>3190</v>
      </c>
      <c r="N751" s="106" t="s">
        <v>40</v>
      </c>
      <c r="O751" s="107"/>
      <c r="P751" s="106" t="s">
        <v>3191</v>
      </c>
    </row>
    <row r="752" spans="1:16" outlineLevel="3" x14ac:dyDescent="0.3">
      <c r="A752" s="105" t="s">
        <v>3192</v>
      </c>
      <c r="B752" s="106"/>
      <c r="C752" s="106"/>
      <c r="D752" s="106"/>
      <c r="E752" s="106" t="s">
        <v>3193</v>
      </c>
      <c r="F752" s="106" t="s">
        <v>3194</v>
      </c>
      <c r="G752" s="105">
        <v>4</v>
      </c>
      <c r="H752" s="106" t="s">
        <v>7</v>
      </c>
      <c r="I752" s="105" t="s">
        <v>39</v>
      </c>
      <c r="J752" s="105"/>
      <c r="K752" s="105"/>
      <c r="L752" s="105"/>
      <c r="M752" s="106" t="s">
        <v>3195</v>
      </c>
      <c r="N752" s="106" t="s">
        <v>513</v>
      </c>
      <c r="O752" s="107"/>
      <c r="P752" s="106"/>
    </row>
    <row r="753" spans="1:16" outlineLevel="3" x14ac:dyDescent="0.3">
      <c r="A753" s="105" t="s">
        <v>3196</v>
      </c>
      <c r="B753" s="106"/>
      <c r="C753" s="106"/>
      <c r="D753" s="106"/>
      <c r="E753" s="106" t="s">
        <v>3197</v>
      </c>
      <c r="F753" s="106" t="s">
        <v>3198</v>
      </c>
      <c r="G753" s="105">
        <v>4</v>
      </c>
      <c r="H753" s="106" t="s">
        <v>7</v>
      </c>
      <c r="I753" s="105" t="s">
        <v>39</v>
      </c>
      <c r="J753" s="105"/>
      <c r="K753" s="105"/>
      <c r="L753" s="105"/>
      <c r="M753" s="106" t="s">
        <v>3199</v>
      </c>
      <c r="N753" s="106" t="s">
        <v>513</v>
      </c>
      <c r="O753" s="107"/>
      <c r="P753" s="106"/>
    </row>
    <row r="754" spans="1:16" outlineLevel="3" x14ac:dyDescent="0.3">
      <c r="A754" s="105" t="s">
        <v>3200</v>
      </c>
      <c r="B754" s="106"/>
      <c r="C754" s="106"/>
      <c r="D754" s="106"/>
      <c r="E754" s="106" t="s">
        <v>3201</v>
      </c>
      <c r="F754" s="106" t="s">
        <v>3202</v>
      </c>
      <c r="G754" s="105">
        <v>4</v>
      </c>
      <c r="H754" s="106" t="s">
        <v>7</v>
      </c>
      <c r="I754" s="105" t="s">
        <v>39</v>
      </c>
      <c r="J754" s="105"/>
      <c r="K754" s="105"/>
      <c r="L754" s="105"/>
      <c r="M754" s="106" t="s">
        <v>3203</v>
      </c>
      <c r="N754" s="106" t="s">
        <v>513</v>
      </c>
      <c r="O754" s="107"/>
      <c r="P754" s="106"/>
    </row>
    <row r="755" spans="1:16" outlineLevel="3" x14ac:dyDescent="0.3">
      <c r="A755" s="105" t="s">
        <v>3204</v>
      </c>
      <c r="B755" s="106"/>
      <c r="C755" s="106"/>
      <c r="D755" s="106"/>
      <c r="E755" s="106" t="s">
        <v>3205</v>
      </c>
      <c r="F755" s="106" t="s">
        <v>3206</v>
      </c>
      <c r="G755" s="105">
        <v>4</v>
      </c>
      <c r="H755" s="106" t="s">
        <v>7</v>
      </c>
      <c r="I755" s="105" t="s">
        <v>39</v>
      </c>
      <c r="J755" s="105"/>
      <c r="K755" s="105"/>
      <c r="L755" s="105"/>
      <c r="M755" s="106" t="s">
        <v>3207</v>
      </c>
      <c r="N755" s="106" t="s">
        <v>513</v>
      </c>
      <c r="O755" s="107"/>
      <c r="P755" s="106"/>
    </row>
    <row r="756" spans="1:16" outlineLevel="3" x14ac:dyDescent="0.3">
      <c r="A756" s="105" t="s">
        <v>3208</v>
      </c>
      <c r="B756" s="106"/>
      <c r="C756" s="106"/>
      <c r="D756" s="106"/>
      <c r="E756" s="106" t="s">
        <v>3209</v>
      </c>
      <c r="F756" s="106" t="s">
        <v>3210</v>
      </c>
      <c r="G756" s="105">
        <v>4</v>
      </c>
      <c r="H756" s="106" t="s">
        <v>7</v>
      </c>
      <c r="I756" s="105" t="s">
        <v>39</v>
      </c>
      <c r="J756" s="105"/>
      <c r="K756" s="105"/>
      <c r="L756" s="105"/>
      <c r="M756" s="106" t="s">
        <v>3211</v>
      </c>
      <c r="N756" s="106" t="s">
        <v>513</v>
      </c>
      <c r="O756" s="107"/>
      <c r="P756" s="106"/>
    </row>
    <row r="757" spans="1:16" outlineLevel="3" x14ac:dyDescent="0.3">
      <c r="A757" s="105" t="s">
        <v>3212</v>
      </c>
      <c r="B757" s="106"/>
      <c r="C757" s="106"/>
      <c r="D757" s="106"/>
      <c r="E757" s="106" t="s">
        <v>3213</v>
      </c>
      <c r="F757" s="106" t="s">
        <v>3214</v>
      </c>
      <c r="G757" s="105">
        <v>4</v>
      </c>
      <c r="H757" s="106" t="s">
        <v>7</v>
      </c>
      <c r="I757" s="105" t="s">
        <v>39</v>
      </c>
      <c r="J757" s="105"/>
      <c r="K757" s="105"/>
      <c r="L757" s="105"/>
      <c r="M757" s="106" t="s">
        <v>3215</v>
      </c>
      <c r="N757" s="106" t="s">
        <v>513</v>
      </c>
      <c r="O757" s="107"/>
      <c r="P757" s="106"/>
    </row>
    <row r="758" spans="1:16" outlineLevel="3" x14ac:dyDescent="0.3">
      <c r="A758" s="105" t="s">
        <v>3216</v>
      </c>
      <c r="B758" s="106"/>
      <c r="C758" s="106"/>
      <c r="D758" s="106"/>
      <c r="E758" s="106" t="s">
        <v>3217</v>
      </c>
      <c r="F758" s="106" t="s">
        <v>3218</v>
      </c>
      <c r="G758" s="105">
        <v>4</v>
      </c>
      <c r="H758" s="106" t="s">
        <v>7</v>
      </c>
      <c r="I758" s="105" t="s">
        <v>39</v>
      </c>
      <c r="J758" s="105"/>
      <c r="K758" s="105"/>
      <c r="L758" s="105"/>
      <c r="M758" s="106" t="s">
        <v>3219</v>
      </c>
      <c r="N758" s="106" t="s">
        <v>40</v>
      </c>
      <c r="O758" s="107"/>
      <c r="P758" s="106" t="s">
        <v>3220</v>
      </c>
    </row>
    <row r="759" spans="1:16" outlineLevel="3" x14ac:dyDescent="0.3">
      <c r="A759" s="105" t="s">
        <v>3221</v>
      </c>
      <c r="B759" s="106"/>
      <c r="C759" s="106"/>
      <c r="D759" s="106"/>
      <c r="E759" s="106" t="s">
        <v>3222</v>
      </c>
      <c r="F759" s="106" t="s">
        <v>3054</v>
      </c>
      <c r="G759" s="105">
        <v>4</v>
      </c>
      <c r="H759" s="106" t="s">
        <v>7</v>
      </c>
      <c r="I759" s="105" t="s">
        <v>39</v>
      </c>
      <c r="J759" s="105"/>
      <c r="K759" s="105"/>
      <c r="L759" s="105"/>
      <c r="M759" s="106" t="s">
        <v>3223</v>
      </c>
      <c r="N759" s="106" t="s">
        <v>513</v>
      </c>
      <c r="O759" s="107"/>
      <c r="P759" s="106"/>
    </row>
    <row r="760" spans="1:16" outlineLevel="3" x14ac:dyDescent="0.3">
      <c r="A760" s="105" t="s">
        <v>3224</v>
      </c>
      <c r="B760" s="106"/>
      <c r="C760" s="106"/>
      <c r="D760" s="106"/>
      <c r="E760" s="106" t="s">
        <v>3225</v>
      </c>
      <c r="F760" s="106" t="s">
        <v>3226</v>
      </c>
      <c r="G760" s="105">
        <v>4</v>
      </c>
      <c r="H760" s="106" t="s">
        <v>7</v>
      </c>
      <c r="I760" s="105" t="s">
        <v>39</v>
      </c>
      <c r="J760" s="105"/>
      <c r="K760" s="105"/>
      <c r="L760" s="105"/>
      <c r="M760" s="106" t="s">
        <v>3227</v>
      </c>
      <c r="N760" s="106" t="s">
        <v>223</v>
      </c>
      <c r="O760" s="107"/>
      <c r="P760" s="106" t="s">
        <v>3228</v>
      </c>
    </row>
    <row r="761" spans="1:16" outlineLevel="3" x14ac:dyDescent="0.3">
      <c r="A761" s="105" t="s">
        <v>3229</v>
      </c>
      <c r="B761" s="106"/>
      <c r="C761" s="106"/>
      <c r="D761" s="106"/>
      <c r="E761" s="106" t="s">
        <v>3230</v>
      </c>
      <c r="F761" s="106" t="s">
        <v>3231</v>
      </c>
      <c r="G761" s="105">
        <v>4</v>
      </c>
      <c r="H761" s="106" t="s">
        <v>7</v>
      </c>
      <c r="I761" s="105" t="s">
        <v>39</v>
      </c>
      <c r="J761" s="105"/>
      <c r="K761" s="105"/>
      <c r="L761" s="105"/>
      <c r="M761" s="106" t="s">
        <v>3232</v>
      </c>
      <c r="N761" s="106" t="s">
        <v>40</v>
      </c>
      <c r="O761" s="107"/>
      <c r="P761" s="106" t="s">
        <v>3233</v>
      </c>
    </row>
    <row r="762" spans="1:16" outlineLevel="3" x14ac:dyDescent="0.3">
      <c r="A762" s="105" t="s">
        <v>3234</v>
      </c>
      <c r="B762" s="106"/>
      <c r="C762" s="106"/>
      <c r="D762" s="106"/>
      <c r="E762" s="106" t="s">
        <v>3235</v>
      </c>
      <c r="F762" s="106" t="s">
        <v>3236</v>
      </c>
      <c r="G762" s="105">
        <v>4</v>
      </c>
      <c r="H762" s="106" t="s">
        <v>7</v>
      </c>
      <c r="I762" s="105" t="s">
        <v>39</v>
      </c>
      <c r="J762" s="105"/>
      <c r="K762" s="105"/>
      <c r="L762" s="105"/>
      <c r="M762" s="106" t="s">
        <v>3237</v>
      </c>
      <c r="N762" s="106" t="s">
        <v>2193</v>
      </c>
      <c r="O762" s="107"/>
      <c r="P762" s="106" t="s">
        <v>3238</v>
      </c>
    </row>
    <row r="763" spans="1:16" outlineLevel="3" x14ac:dyDescent="0.3">
      <c r="A763" s="105" t="s">
        <v>3239</v>
      </c>
      <c r="B763" s="106"/>
      <c r="C763" s="106"/>
      <c r="D763" s="106"/>
      <c r="E763" s="106" t="s">
        <v>3240</v>
      </c>
      <c r="F763" s="106" t="s">
        <v>3241</v>
      </c>
      <c r="G763" s="105">
        <v>4</v>
      </c>
      <c r="H763" s="106" t="s">
        <v>7</v>
      </c>
      <c r="I763" s="105" t="s">
        <v>39</v>
      </c>
      <c r="J763" s="105"/>
      <c r="K763" s="105"/>
      <c r="L763" s="105"/>
      <c r="M763" s="106" t="s">
        <v>3242</v>
      </c>
      <c r="N763" s="106" t="s">
        <v>513</v>
      </c>
      <c r="O763" s="107"/>
      <c r="P763" s="106"/>
    </row>
    <row r="764" spans="1:16" outlineLevel="3" x14ac:dyDescent="0.3">
      <c r="A764" s="105" t="s">
        <v>3243</v>
      </c>
      <c r="B764" s="106"/>
      <c r="C764" s="106"/>
      <c r="D764" s="106"/>
      <c r="E764" s="106" t="s">
        <v>3244</v>
      </c>
      <c r="F764" s="106" t="s">
        <v>3245</v>
      </c>
      <c r="G764" s="105">
        <v>4</v>
      </c>
      <c r="H764" s="106" t="s">
        <v>7</v>
      </c>
      <c r="I764" s="105" t="s">
        <v>39</v>
      </c>
      <c r="J764" s="105"/>
      <c r="K764" s="105"/>
      <c r="L764" s="105"/>
      <c r="M764" s="106" t="s">
        <v>3246</v>
      </c>
      <c r="N764" s="106" t="s">
        <v>40</v>
      </c>
      <c r="O764" s="107"/>
      <c r="P764" s="106" t="s">
        <v>3247</v>
      </c>
    </row>
    <row r="765" spans="1:16" outlineLevel="3" x14ac:dyDescent="0.3">
      <c r="A765" s="105" t="s">
        <v>3248</v>
      </c>
      <c r="B765" s="106"/>
      <c r="C765" s="106"/>
      <c r="D765" s="106"/>
      <c r="E765" s="106" t="s">
        <v>3249</v>
      </c>
      <c r="F765" s="106" t="s">
        <v>3250</v>
      </c>
      <c r="G765" s="105">
        <v>4</v>
      </c>
      <c r="H765" s="106" t="s">
        <v>7</v>
      </c>
      <c r="I765" s="105" t="s">
        <v>39</v>
      </c>
      <c r="J765" s="105"/>
      <c r="K765" s="105"/>
      <c r="L765" s="105"/>
      <c r="M765" s="106" t="s">
        <v>3251</v>
      </c>
      <c r="N765" s="106" t="s">
        <v>40</v>
      </c>
      <c r="O765" s="107"/>
      <c r="P765" s="106" t="s">
        <v>3252</v>
      </c>
    </row>
    <row r="766" spans="1:16" outlineLevel="3" x14ac:dyDescent="0.3">
      <c r="A766" s="105" t="s">
        <v>3253</v>
      </c>
      <c r="B766" s="106"/>
      <c r="C766" s="106"/>
      <c r="D766" s="106"/>
      <c r="E766" s="106" t="s">
        <v>3254</v>
      </c>
      <c r="F766" s="106" t="s">
        <v>3255</v>
      </c>
      <c r="G766" s="105">
        <v>4</v>
      </c>
      <c r="H766" s="106" t="s">
        <v>7</v>
      </c>
      <c r="I766" s="105" t="s">
        <v>39</v>
      </c>
      <c r="J766" s="105"/>
      <c r="K766" s="105"/>
      <c r="L766" s="105"/>
      <c r="M766" s="106" t="s">
        <v>3256</v>
      </c>
      <c r="N766" s="106" t="s">
        <v>40</v>
      </c>
      <c r="O766" s="107"/>
      <c r="P766" s="106" t="s">
        <v>3257</v>
      </c>
    </row>
    <row r="767" spans="1:16" outlineLevel="3" x14ac:dyDescent="0.3">
      <c r="A767" s="105" t="s">
        <v>3258</v>
      </c>
      <c r="B767" s="106"/>
      <c r="C767" s="106"/>
      <c r="D767" s="106"/>
      <c r="E767" s="106" t="s">
        <v>3259</v>
      </c>
      <c r="F767" s="106" t="s">
        <v>3260</v>
      </c>
      <c r="G767" s="105">
        <v>4</v>
      </c>
      <c r="H767" s="106" t="s">
        <v>7</v>
      </c>
      <c r="I767" s="105" t="s">
        <v>39</v>
      </c>
      <c r="J767" s="105"/>
      <c r="K767" s="105"/>
      <c r="L767" s="105"/>
      <c r="M767" s="106" t="s">
        <v>3261</v>
      </c>
      <c r="N767" s="106" t="s">
        <v>513</v>
      </c>
      <c r="O767" s="107"/>
      <c r="P767" s="106"/>
    </row>
    <row r="768" spans="1:16" outlineLevel="3" x14ac:dyDescent="0.3">
      <c r="A768" s="105" t="s">
        <v>3262</v>
      </c>
      <c r="B768" s="106"/>
      <c r="C768" s="106"/>
      <c r="D768" s="106"/>
      <c r="E768" s="106" t="s">
        <v>3263</v>
      </c>
      <c r="F768" s="106" t="s">
        <v>3194</v>
      </c>
      <c r="G768" s="105">
        <v>4</v>
      </c>
      <c r="H768" s="106" t="s">
        <v>7</v>
      </c>
      <c r="I768" s="105" t="s">
        <v>39</v>
      </c>
      <c r="J768" s="105"/>
      <c r="K768" s="105"/>
      <c r="L768" s="105"/>
      <c r="M768" s="106" t="s">
        <v>3264</v>
      </c>
      <c r="N768" s="106" t="s">
        <v>513</v>
      </c>
      <c r="O768" s="107"/>
      <c r="P768" s="106"/>
    </row>
    <row r="769" spans="1:16" outlineLevel="3" x14ac:dyDescent="0.3">
      <c r="A769" s="105" t="s">
        <v>3265</v>
      </c>
      <c r="B769" s="106"/>
      <c r="C769" s="106"/>
      <c r="D769" s="106"/>
      <c r="E769" s="106" t="s">
        <v>3266</v>
      </c>
      <c r="F769" s="106" t="s">
        <v>3267</v>
      </c>
      <c r="G769" s="105">
        <v>4</v>
      </c>
      <c r="H769" s="106" t="s">
        <v>7</v>
      </c>
      <c r="I769" s="105" t="s">
        <v>39</v>
      </c>
      <c r="J769" s="105"/>
      <c r="K769" s="105"/>
      <c r="L769" s="105"/>
      <c r="M769" s="106" t="s">
        <v>3268</v>
      </c>
      <c r="N769" s="106" t="s">
        <v>513</v>
      </c>
      <c r="O769" s="107"/>
      <c r="P769" s="106"/>
    </row>
    <row r="770" spans="1:16" outlineLevel="3" x14ac:dyDescent="0.3">
      <c r="A770" s="105" t="s">
        <v>3269</v>
      </c>
      <c r="B770" s="106"/>
      <c r="C770" s="106"/>
      <c r="D770" s="106"/>
      <c r="E770" s="106" t="s">
        <v>3266</v>
      </c>
      <c r="F770" s="106" t="s">
        <v>3270</v>
      </c>
      <c r="G770" s="105">
        <v>4</v>
      </c>
      <c r="H770" s="106" t="s">
        <v>7</v>
      </c>
      <c r="I770" s="105" t="s">
        <v>39</v>
      </c>
      <c r="J770" s="105"/>
      <c r="K770" s="105"/>
      <c r="L770" s="105"/>
      <c r="M770" s="106" t="s">
        <v>3271</v>
      </c>
      <c r="N770" s="106" t="s">
        <v>40</v>
      </c>
      <c r="O770" s="107" t="s">
        <v>332</v>
      </c>
      <c r="P770" s="106" t="s">
        <v>3272</v>
      </c>
    </row>
    <row r="771" spans="1:16" outlineLevel="3" x14ac:dyDescent="0.3">
      <c r="A771" s="105" t="s">
        <v>3273</v>
      </c>
      <c r="B771" s="106"/>
      <c r="C771" s="106"/>
      <c r="D771" s="106"/>
      <c r="E771" s="106" t="s">
        <v>3274</v>
      </c>
      <c r="F771" s="106" t="s">
        <v>3275</v>
      </c>
      <c r="G771" s="105">
        <v>4</v>
      </c>
      <c r="H771" s="106" t="s">
        <v>7</v>
      </c>
      <c r="I771" s="105" t="s">
        <v>39</v>
      </c>
      <c r="J771" s="105"/>
      <c r="K771" s="105"/>
      <c r="L771" s="105"/>
      <c r="M771" s="106" t="s">
        <v>3276</v>
      </c>
      <c r="N771" s="106" t="s">
        <v>2193</v>
      </c>
      <c r="O771" s="107"/>
      <c r="P771" s="106" t="s">
        <v>3277</v>
      </c>
    </row>
    <row r="772" spans="1:16" outlineLevel="3" x14ac:dyDescent="0.3">
      <c r="A772" s="105" t="s">
        <v>3278</v>
      </c>
      <c r="B772" s="106"/>
      <c r="C772" s="106"/>
      <c r="D772" s="106"/>
      <c r="E772" s="106" t="s">
        <v>3279</v>
      </c>
      <c r="F772" s="106" t="s">
        <v>3280</v>
      </c>
      <c r="G772" s="105">
        <v>4</v>
      </c>
      <c r="H772" s="106" t="s">
        <v>7</v>
      </c>
      <c r="I772" s="105" t="s">
        <v>39</v>
      </c>
      <c r="J772" s="105"/>
      <c r="K772" s="105"/>
      <c r="L772" s="105"/>
      <c r="M772" s="106" t="s">
        <v>3281</v>
      </c>
      <c r="N772" s="106" t="s">
        <v>40</v>
      </c>
      <c r="O772" s="107"/>
      <c r="P772" s="106" t="s">
        <v>3282</v>
      </c>
    </row>
    <row r="773" spans="1:16" outlineLevel="3" x14ac:dyDescent="0.3">
      <c r="A773" s="105" t="s">
        <v>3283</v>
      </c>
      <c r="B773" s="106"/>
      <c r="C773" s="106"/>
      <c r="D773" s="106"/>
      <c r="E773" s="106" t="s">
        <v>3284</v>
      </c>
      <c r="F773" s="106" t="s">
        <v>3285</v>
      </c>
      <c r="G773" s="105">
        <v>4</v>
      </c>
      <c r="H773" s="106" t="s">
        <v>7</v>
      </c>
      <c r="I773" s="105" t="s">
        <v>39</v>
      </c>
      <c r="J773" s="105"/>
      <c r="K773" s="105"/>
      <c r="L773" s="105"/>
      <c r="M773" s="106" t="s">
        <v>3286</v>
      </c>
      <c r="N773" s="106" t="s">
        <v>2193</v>
      </c>
      <c r="O773" s="107"/>
      <c r="P773" s="106" t="s">
        <v>3287</v>
      </c>
    </row>
    <row r="774" spans="1:16" outlineLevel="3" x14ac:dyDescent="0.3">
      <c r="A774" s="105" t="s">
        <v>3288</v>
      </c>
      <c r="B774" s="106"/>
      <c r="C774" s="106"/>
      <c r="D774" s="106"/>
      <c r="E774" s="106" t="s">
        <v>3289</v>
      </c>
      <c r="F774" s="106" t="s">
        <v>3290</v>
      </c>
      <c r="G774" s="105">
        <v>4</v>
      </c>
      <c r="H774" s="106" t="s">
        <v>7</v>
      </c>
      <c r="I774" s="105" t="s">
        <v>39</v>
      </c>
      <c r="J774" s="105"/>
      <c r="K774" s="105"/>
      <c r="L774" s="105"/>
      <c r="M774" s="106" t="s">
        <v>3291</v>
      </c>
      <c r="N774" s="106" t="s">
        <v>2193</v>
      </c>
      <c r="O774" s="107"/>
      <c r="P774" s="106" t="s">
        <v>3292</v>
      </c>
    </row>
    <row r="775" spans="1:16" outlineLevel="3" x14ac:dyDescent="0.3">
      <c r="A775" s="105" t="s">
        <v>3293</v>
      </c>
      <c r="B775" s="106"/>
      <c r="C775" s="106"/>
      <c r="D775" s="106"/>
      <c r="E775" s="106" t="s">
        <v>3294</v>
      </c>
      <c r="F775" s="106" t="s">
        <v>3295</v>
      </c>
      <c r="G775" s="105">
        <v>4</v>
      </c>
      <c r="H775" s="106" t="s">
        <v>7</v>
      </c>
      <c r="I775" s="105" t="s">
        <v>39</v>
      </c>
      <c r="J775" s="105"/>
      <c r="K775" s="105"/>
      <c r="L775" s="105"/>
      <c r="M775" s="106" t="s">
        <v>3296</v>
      </c>
      <c r="N775" s="106" t="s">
        <v>2193</v>
      </c>
      <c r="O775" s="107"/>
      <c r="P775" s="106" t="s">
        <v>3297</v>
      </c>
    </row>
    <row r="776" spans="1:16" ht="27.6" outlineLevel="1" x14ac:dyDescent="0.3">
      <c r="A776" s="149" t="s">
        <v>3298</v>
      </c>
      <c r="B776" s="150"/>
      <c r="C776" s="151" t="s">
        <v>3299</v>
      </c>
      <c r="D776" s="150"/>
      <c r="E776" s="150"/>
      <c r="F776" s="150"/>
      <c r="G776" s="149">
        <v>2</v>
      </c>
      <c r="H776" s="150" t="s">
        <v>25</v>
      </c>
      <c r="I776" s="149" t="s">
        <v>26</v>
      </c>
      <c r="J776" s="149">
        <v>5</v>
      </c>
      <c r="K776" s="149">
        <v>0</v>
      </c>
      <c r="L776" s="149">
        <v>3</v>
      </c>
      <c r="M776" s="152" t="s">
        <v>3300</v>
      </c>
      <c r="N776" s="152" t="s">
        <v>223</v>
      </c>
      <c r="O776" s="153"/>
      <c r="P776" s="152" t="s">
        <v>3301</v>
      </c>
    </row>
    <row r="777" spans="1:16" outlineLevel="2" x14ac:dyDescent="0.3">
      <c r="A777" s="105" t="s">
        <v>3302</v>
      </c>
      <c r="B777" s="106"/>
      <c r="C777" s="106"/>
      <c r="D777" s="106"/>
      <c r="E777" s="106" t="s">
        <v>3303</v>
      </c>
      <c r="F777" s="106" t="s">
        <v>3304</v>
      </c>
      <c r="G777" s="105">
        <v>4</v>
      </c>
      <c r="H777" s="106" t="s">
        <v>7</v>
      </c>
      <c r="I777" s="105" t="s">
        <v>39</v>
      </c>
      <c r="J777" s="105"/>
      <c r="K777" s="105"/>
      <c r="L777" s="105"/>
      <c r="M777" s="106" t="s">
        <v>3305</v>
      </c>
      <c r="N777" s="106" t="s">
        <v>40</v>
      </c>
      <c r="O777" s="107"/>
      <c r="P777" s="106" t="s">
        <v>3306</v>
      </c>
    </row>
    <row r="778" spans="1:16" outlineLevel="2" x14ac:dyDescent="0.3">
      <c r="A778" s="105" t="s">
        <v>3307</v>
      </c>
      <c r="B778" s="106"/>
      <c r="C778" s="106"/>
      <c r="D778" s="106"/>
      <c r="E778" s="106" t="s">
        <v>3308</v>
      </c>
      <c r="F778" s="106" t="s">
        <v>3309</v>
      </c>
      <c r="G778" s="105">
        <v>4</v>
      </c>
      <c r="H778" s="106" t="s">
        <v>7</v>
      </c>
      <c r="I778" s="105" t="s">
        <v>26</v>
      </c>
      <c r="J778" s="105"/>
      <c r="K778" s="105"/>
      <c r="L778" s="105"/>
      <c r="M778" s="106"/>
      <c r="N778" s="106" t="s">
        <v>287</v>
      </c>
      <c r="O778" s="107"/>
      <c r="P778" s="106" t="s">
        <v>3310</v>
      </c>
    </row>
    <row r="779" spans="1:16" outlineLevel="2" x14ac:dyDescent="0.3">
      <c r="A779" s="105" t="s">
        <v>3311</v>
      </c>
      <c r="B779" s="106"/>
      <c r="C779" s="106"/>
      <c r="D779" s="106"/>
      <c r="E779" s="106" t="s">
        <v>3312</v>
      </c>
      <c r="F779" s="106" t="s">
        <v>3313</v>
      </c>
      <c r="G779" s="105">
        <v>4</v>
      </c>
      <c r="H779" s="106" t="s">
        <v>7</v>
      </c>
      <c r="I779" s="105" t="s">
        <v>26</v>
      </c>
      <c r="J779" s="105"/>
      <c r="K779" s="105"/>
      <c r="L779" s="105"/>
      <c r="M779" s="106"/>
      <c r="N779" s="106" t="s">
        <v>287</v>
      </c>
      <c r="O779" s="107"/>
      <c r="P779" s="106"/>
    </row>
    <row r="780" spans="1:16" outlineLevel="2" x14ac:dyDescent="0.3">
      <c r="A780" s="105" t="s">
        <v>3314</v>
      </c>
      <c r="B780" s="106"/>
      <c r="C780" s="106"/>
      <c r="D780" s="106"/>
      <c r="E780" s="106" t="s">
        <v>3315</v>
      </c>
      <c r="F780" s="106" t="s">
        <v>3316</v>
      </c>
      <c r="G780" s="105">
        <v>4</v>
      </c>
      <c r="H780" s="106" t="s">
        <v>7</v>
      </c>
      <c r="I780" s="105" t="s">
        <v>39</v>
      </c>
      <c r="J780" s="105"/>
      <c r="K780" s="105"/>
      <c r="L780" s="105"/>
      <c r="M780" s="106" t="s">
        <v>3317</v>
      </c>
      <c r="N780" s="106" t="s">
        <v>40</v>
      </c>
      <c r="O780" s="107"/>
      <c r="P780" s="106" t="s">
        <v>3318</v>
      </c>
    </row>
    <row r="781" spans="1:16" outlineLevel="2" x14ac:dyDescent="0.3">
      <c r="A781" s="105" t="s">
        <v>3319</v>
      </c>
      <c r="B781" s="106"/>
      <c r="C781" s="106"/>
      <c r="D781" s="106"/>
      <c r="E781" s="106" t="s">
        <v>3320</v>
      </c>
      <c r="F781" s="106" t="s">
        <v>3321</v>
      </c>
      <c r="G781" s="105">
        <v>4</v>
      </c>
      <c r="H781" s="106" t="s">
        <v>7</v>
      </c>
      <c r="I781" s="105" t="s">
        <v>39</v>
      </c>
      <c r="J781" s="105"/>
      <c r="K781" s="105"/>
      <c r="L781" s="105"/>
      <c r="M781" s="106" t="s">
        <v>3322</v>
      </c>
      <c r="N781" s="106" t="s">
        <v>223</v>
      </c>
      <c r="O781" s="107"/>
      <c r="P781" s="106" t="s">
        <v>3323</v>
      </c>
    </row>
    <row r="782" spans="1:16" ht="27.6" outlineLevel="1" x14ac:dyDescent="0.3">
      <c r="A782" s="149" t="s">
        <v>3324</v>
      </c>
      <c r="B782" s="150"/>
      <c r="C782" s="151" t="s">
        <v>3325</v>
      </c>
      <c r="D782" s="150"/>
      <c r="E782" s="150"/>
      <c r="F782" s="150"/>
      <c r="G782" s="149">
        <v>2</v>
      </c>
      <c r="H782" s="150" t="s">
        <v>25</v>
      </c>
      <c r="I782" s="149" t="s">
        <v>39</v>
      </c>
      <c r="J782" s="149">
        <v>3</v>
      </c>
      <c r="K782" s="149">
        <v>0</v>
      </c>
      <c r="L782" s="149">
        <v>3</v>
      </c>
      <c r="M782" s="152" t="s">
        <v>3326</v>
      </c>
      <c r="N782" s="152" t="s">
        <v>223</v>
      </c>
      <c r="O782" s="153"/>
      <c r="P782" s="152" t="s">
        <v>3327</v>
      </c>
    </row>
    <row r="783" spans="1:16" outlineLevel="2" x14ac:dyDescent="0.3">
      <c r="A783" s="105" t="s">
        <v>3328</v>
      </c>
      <c r="B783" s="106"/>
      <c r="C783" s="106"/>
      <c r="D783" s="106"/>
      <c r="E783" s="106" t="s">
        <v>3329</v>
      </c>
      <c r="F783" s="106" t="s">
        <v>3330</v>
      </c>
      <c r="G783" s="105">
        <v>4</v>
      </c>
      <c r="H783" s="106" t="s">
        <v>7</v>
      </c>
      <c r="I783" s="105" t="s">
        <v>39</v>
      </c>
      <c r="J783" s="105"/>
      <c r="K783" s="105"/>
      <c r="L783" s="105"/>
      <c r="M783" s="106" t="s">
        <v>3331</v>
      </c>
      <c r="N783" s="106" t="s">
        <v>40</v>
      </c>
      <c r="O783" s="107"/>
      <c r="P783" s="106" t="s">
        <v>3332</v>
      </c>
    </row>
    <row r="784" spans="1:16" outlineLevel="2" x14ac:dyDescent="0.3">
      <c r="A784" s="105" t="s">
        <v>3333</v>
      </c>
      <c r="B784" s="106"/>
      <c r="C784" s="106"/>
      <c r="D784" s="106"/>
      <c r="E784" s="106" t="s">
        <v>3334</v>
      </c>
      <c r="F784" s="106" t="s">
        <v>3335</v>
      </c>
      <c r="G784" s="105">
        <v>4</v>
      </c>
      <c r="H784" s="106" t="s">
        <v>7</v>
      </c>
      <c r="I784" s="105" t="s">
        <v>39</v>
      </c>
      <c r="J784" s="105"/>
      <c r="K784" s="105"/>
      <c r="L784" s="105"/>
      <c r="M784" s="106" t="s">
        <v>3336</v>
      </c>
      <c r="N784" s="106" t="s">
        <v>223</v>
      </c>
      <c r="O784" s="107"/>
      <c r="P784" s="106" t="s">
        <v>3337</v>
      </c>
    </row>
    <row r="785" spans="1:16" outlineLevel="2" x14ac:dyDescent="0.3">
      <c r="A785" s="105" t="s">
        <v>3338</v>
      </c>
      <c r="B785" s="106"/>
      <c r="C785" s="106"/>
      <c r="D785" s="106"/>
      <c r="E785" s="106" t="s">
        <v>3339</v>
      </c>
      <c r="F785" s="106" t="s">
        <v>3340</v>
      </c>
      <c r="G785" s="105">
        <v>4</v>
      </c>
      <c r="H785" s="106" t="s">
        <v>7</v>
      </c>
      <c r="I785" s="105" t="s">
        <v>39</v>
      </c>
      <c r="J785" s="105"/>
      <c r="K785" s="105"/>
      <c r="L785" s="105"/>
      <c r="M785" s="106" t="s">
        <v>3341</v>
      </c>
      <c r="N785" s="106" t="s">
        <v>40</v>
      </c>
      <c r="O785" s="107"/>
      <c r="P785" s="106" t="s">
        <v>3342</v>
      </c>
    </row>
    <row r="786" spans="1:16" ht="27.6" outlineLevel="1" x14ac:dyDescent="0.3">
      <c r="A786" s="149" t="s">
        <v>3343</v>
      </c>
      <c r="B786" s="150"/>
      <c r="C786" s="158" t="s">
        <v>3344</v>
      </c>
      <c r="D786" s="159"/>
      <c r="E786" s="150"/>
      <c r="F786" s="150"/>
      <c r="G786" s="149">
        <v>2</v>
      </c>
      <c r="H786" s="159" t="s">
        <v>396</v>
      </c>
      <c r="I786" s="149" t="s">
        <v>39</v>
      </c>
      <c r="J786" s="149">
        <v>8</v>
      </c>
      <c r="K786" s="149">
        <v>0</v>
      </c>
      <c r="L786" s="149">
        <v>0</v>
      </c>
      <c r="M786" s="152" t="s">
        <v>3345</v>
      </c>
      <c r="N786" s="152" t="s">
        <v>513</v>
      </c>
      <c r="O786" s="153"/>
      <c r="P786" s="152"/>
    </row>
    <row r="787" spans="1:16" outlineLevel="2" x14ac:dyDescent="0.3">
      <c r="A787" s="105" t="s">
        <v>3346</v>
      </c>
      <c r="B787" s="106"/>
      <c r="C787" s="106"/>
      <c r="D787" s="106"/>
      <c r="E787" s="106" t="s">
        <v>3347</v>
      </c>
      <c r="F787" s="106" t="s">
        <v>3348</v>
      </c>
      <c r="G787" s="105">
        <v>4</v>
      </c>
      <c r="H787" s="106" t="s">
        <v>7</v>
      </c>
      <c r="I787" s="105" t="s">
        <v>39</v>
      </c>
      <c r="J787" s="105"/>
      <c r="K787" s="105"/>
      <c r="L787" s="105"/>
      <c r="M787" s="106" t="s">
        <v>3349</v>
      </c>
      <c r="N787" s="106" t="s">
        <v>513</v>
      </c>
      <c r="O787" s="107"/>
      <c r="P787" s="106"/>
    </row>
    <row r="788" spans="1:16" outlineLevel="2" x14ac:dyDescent="0.3">
      <c r="A788" s="105" t="s">
        <v>3350</v>
      </c>
      <c r="B788" s="106"/>
      <c r="C788" s="106"/>
      <c r="D788" s="106"/>
      <c r="E788" s="106" t="s">
        <v>3351</v>
      </c>
      <c r="F788" s="106" t="s">
        <v>3352</v>
      </c>
      <c r="G788" s="105">
        <v>4</v>
      </c>
      <c r="H788" s="106" t="s">
        <v>7</v>
      </c>
      <c r="I788" s="105" t="s">
        <v>39</v>
      </c>
      <c r="J788" s="105"/>
      <c r="K788" s="105"/>
      <c r="L788" s="105"/>
      <c r="M788" s="106" t="s">
        <v>3353</v>
      </c>
      <c r="N788" s="106" t="s">
        <v>513</v>
      </c>
      <c r="O788" s="107"/>
      <c r="P788" s="106"/>
    </row>
    <row r="789" spans="1:16" outlineLevel="2" x14ac:dyDescent="0.3">
      <c r="A789" s="105" t="s">
        <v>3354</v>
      </c>
      <c r="B789" s="106"/>
      <c r="C789" s="106"/>
      <c r="D789" s="106"/>
      <c r="E789" s="106" t="s">
        <v>3355</v>
      </c>
      <c r="F789" s="106" t="s">
        <v>3356</v>
      </c>
      <c r="G789" s="105">
        <v>4</v>
      </c>
      <c r="H789" s="106" t="s">
        <v>7</v>
      </c>
      <c r="I789" s="105" t="s">
        <v>39</v>
      </c>
      <c r="J789" s="105"/>
      <c r="K789" s="105"/>
      <c r="L789" s="105"/>
      <c r="M789" s="106" t="s">
        <v>3357</v>
      </c>
      <c r="N789" s="106" t="s">
        <v>513</v>
      </c>
      <c r="O789" s="107"/>
      <c r="P789" s="106"/>
    </row>
    <row r="790" spans="1:16" outlineLevel="2" x14ac:dyDescent="0.3">
      <c r="A790" s="105" t="s">
        <v>3358</v>
      </c>
      <c r="B790" s="106"/>
      <c r="C790" s="106"/>
      <c r="D790" s="106"/>
      <c r="E790" s="106" t="s">
        <v>3359</v>
      </c>
      <c r="F790" s="106" t="s">
        <v>3360</v>
      </c>
      <c r="G790" s="105">
        <v>4</v>
      </c>
      <c r="H790" s="106" t="s">
        <v>7</v>
      </c>
      <c r="I790" s="105" t="s">
        <v>39</v>
      </c>
      <c r="J790" s="105"/>
      <c r="K790" s="105"/>
      <c r="L790" s="105"/>
      <c r="M790" s="106" t="s">
        <v>3361</v>
      </c>
      <c r="N790" s="106" t="s">
        <v>513</v>
      </c>
      <c r="O790" s="107"/>
      <c r="P790" s="106"/>
    </row>
    <row r="791" spans="1:16" outlineLevel="2" x14ac:dyDescent="0.3">
      <c r="A791" s="105" t="s">
        <v>3362</v>
      </c>
      <c r="B791" s="106"/>
      <c r="C791" s="106"/>
      <c r="D791" s="106"/>
      <c r="E791" s="106" t="s">
        <v>3363</v>
      </c>
      <c r="F791" s="106" t="s">
        <v>3364</v>
      </c>
      <c r="G791" s="105">
        <v>4</v>
      </c>
      <c r="H791" s="106" t="s">
        <v>7</v>
      </c>
      <c r="I791" s="105" t="s">
        <v>39</v>
      </c>
      <c r="J791" s="105"/>
      <c r="K791" s="105"/>
      <c r="L791" s="105"/>
      <c r="M791" s="106" t="s">
        <v>3365</v>
      </c>
      <c r="N791" s="106" t="s">
        <v>513</v>
      </c>
      <c r="O791" s="107"/>
      <c r="P791" s="106"/>
    </row>
    <row r="792" spans="1:16" outlineLevel="2" x14ac:dyDescent="0.3">
      <c r="A792" s="105" t="s">
        <v>3366</v>
      </c>
      <c r="B792" s="106"/>
      <c r="C792" s="106"/>
      <c r="D792" s="106"/>
      <c r="E792" s="106" t="s">
        <v>3367</v>
      </c>
      <c r="F792" s="106" t="s">
        <v>3368</v>
      </c>
      <c r="G792" s="105">
        <v>4</v>
      </c>
      <c r="H792" s="106" t="s">
        <v>7</v>
      </c>
      <c r="I792" s="105" t="s">
        <v>39</v>
      </c>
      <c r="J792" s="105"/>
      <c r="K792" s="105"/>
      <c r="L792" s="105"/>
      <c r="M792" s="106" t="s">
        <v>3369</v>
      </c>
      <c r="N792" s="106" t="s">
        <v>513</v>
      </c>
      <c r="O792" s="107"/>
      <c r="P792" s="106"/>
    </row>
    <row r="793" spans="1:16" outlineLevel="2" x14ac:dyDescent="0.3">
      <c r="A793" s="105" t="s">
        <v>3370</v>
      </c>
      <c r="B793" s="106"/>
      <c r="C793" s="106"/>
      <c r="D793" s="106"/>
      <c r="E793" s="106" t="s">
        <v>3371</v>
      </c>
      <c r="F793" s="106" t="s">
        <v>3372</v>
      </c>
      <c r="G793" s="105">
        <v>4</v>
      </c>
      <c r="H793" s="106" t="s">
        <v>7</v>
      </c>
      <c r="I793" s="105" t="s">
        <v>39</v>
      </c>
      <c r="J793" s="105"/>
      <c r="K793" s="105"/>
      <c r="L793" s="105"/>
      <c r="M793" s="106" t="s">
        <v>3373</v>
      </c>
      <c r="N793" s="106" t="s">
        <v>513</v>
      </c>
      <c r="O793" s="107"/>
      <c r="P793" s="106"/>
    </row>
    <row r="794" spans="1:16" outlineLevel="2" x14ac:dyDescent="0.3">
      <c r="A794" s="105" t="s">
        <v>3374</v>
      </c>
      <c r="B794" s="106"/>
      <c r="C794" s="106"/>
      <c r="D794" s="106"/>
      <c r="E794" s="106" t="s">
        <v>3375</v>
      </c>
      <c r="F794" s="106" t="s">
        <v>3376</v>
      </c>
      <c r="G794" s="105">
        <v>4</v>
      </c>
      <c r="H794" s="106" t="s">
        <v>7</v>
      </c>
      <c r="I794" s="105" t="s">
        <v>39</v>
      </c>
      <c r="J794" s="105"/>
      <c r="K794" s="105"/>
      <c r="L794" s="105"/>
      <c r="M794" s="106" t="s">
        <v>3377</v>
      </c>
      <c r="N794" s="106" t="s">
        <v>513</v>
      </c>
      <c r="O794" s="107"/>
      <c r="P794" s="106"/>
    </row>
    <row r="795" spans="1:16" ht="27.6" x14ac:dyDescent="0.3">
      <c r="A795" s="160" t="s">
        <v>3378</v>
      </c>
      <c r="B795" s="161" t="s">
        <v>3379</v>
      </c>
      <c r="C795" s="162" t="str">
        <f>COUNTIFS($G796:$G881,2)&amp;" subcapas"</f>
        <v>4 subcapas</v>
      </c>
      <c r="D795" s="161"/>
      <c r="E795" s="161"/>
      <c r="F795" s="161"/>
      <c r="G795" s="160">
        <v>1</v>
      </c>
      <c r="H795" s="161" t="s">
        <v>2</v>
      </c>
      <c r="I795" s="160"/>
      <c r="J795" s="163">
        <f>SUMIFS(J796:J881,$G796:$G881,2)</f>
        <v>75</v>
      </c>
      <c r="K795" s="163">
        <f>SUMIFS(K796:K881,$G796:$G881,2)</f>
        <v>0</v>
      </c>
      <c r="L795" s="163">
        <f>SUMIFS(L796:L881,$G796:$G881,2)</f>
        <v>37</v>
      </c>
      <c r="M795" s="164" t="s">
        <v>3380</v>
      </c>
      <c r="N795" s="161"/>
      <c r="O795" s="161"/>
      <c r="P795" s="161" t="s">
        <v>3381</v>
      </c>
    </row>
    <row r="796" spans="1:16" ht="27.6" outlineLevel="1" x14ac:dyDescent="0.3">
      <c r="A796" s="165" t="s">
        <v>3382</v>
      </c>
      <c r="B796" s="166"/>
      <c r="C796" s="167" t="s">
        <v>3383</v>
      </c>
      <c r="D796" s="166"/>
      <c r="E796" s="166"/>
      <c r="F796" s="166"/>
      <c r="G796" s="165">
        <v>2</v>
      </c>
      <c r="H796" s="166" t="s">
        <v>25</v>
      </c>
      <c r="I796" s="165" t="s">
        <v>26</v>
      </c>
      <c r="J796" s="165">
        <v>21</v>
      </c>
      <c r="K796" s="165">
        <v>0</v>
      </c>
      <c r="L796" s="165">
        <v>8</v>
      </c>
      <c r="M796" s="168" t="s">
        <v>3384</v>
      </c>
      <c r="N796" s="168"/>
      <c r="O796" s="169"/>
      <c r="P796" s="168"/>
    </row>
    <row r="797" spans="1:16" ht="27.6" outlineLevel="2" x14ac:dyDescent="0.3">
      <c r="A797" s="170" t="s">
        <v>3385</v>
      </c>
      <c r="B797" s="171"/>
      <c r="C797" s="171"/>
      <c r="D797" s="171" t="s">
        <v>3386</v>
      </c>
      <c r="E797" s="171"/>
      <c r="F797" s="171"/>
      <c r="G797" s="170">
        <v>3</v>
      </c>
      <c r="H797" s="171" t="s">
        <v>25</v>
      </c>
      <c r="I797" s="170" t="s">
        <v>26</v>
      </c>
      <c r="J797" s="170">
        <v>1</v>
      </c>
      <c r="K797" s="170">
        <v>0</v>
      </c>
      <c r="L797" s="170">
        <v>1</v>
      </c>
      <c r="M797" s="172" t="s">
        <v>3387</v>
      </c>
      <c r="N797" s="172" t="s">
        <v>3388</v>
      </c>
      <c r="O797" s="173"/>
      <c r="P797" s="172" t="s">
        <v>3389</v>
      </c>
    </row>
    <row r="798" spans="1:16" outlineLevel="3" x14ac:dyDescent="0.3">
      <c r="A798" s="105" t="s">
        <v>3390</v>
      </c>
      <c r="B798" s="106"/>
      <c r="C798" s="106"/>
      <c r="D798" s="106"/>
      <c r="E798" s="106" t="s">
        <v>3386</v>
      </c>
      <c r="F798" s="106" t="s">
        <v>3391</v>
      </c>
      <c r="G798" s="105">
        <v>4</v>
      </c>
      <c r="H798" s="106" t="s">
        <v>7</v>
      </c>
      <c r="I798" s="105" t="s">
        <v>26</v>
      </c>
      <c r="J798" s="105"/>
      <c r="K798" s="105"/>
      <c r="L798" s="105"/>
      <c r="M798" s="106"/>
      <c r="N798" s="106" t="s">
        <v>223</v>
      </c>
      <c r="O798" s="107"/>
      <c r="P798" s="106" t="s">
        <v>3389</v>
      </c>
    </row>
    <row r="799" spans="1:16" ht="27.6" outlineLevel="2" x14ac:dyDescent="0.3">
      <c r="A799" s="170" t="s">
        <v>3392</v>
      </c>
      <c r="B799" s="171"/>
      <c r="C799" s="171"/>
      <c r="D799" s="171" t="s">
        <v>3393</v>
      </c>
      <c r="E799" s="171"/>
      <c r="F799" s="171"/>
      <c r="G799" s="170">
        <v>3</v>
      </c>
      <c r="H799" s="171" t="s">
        <v>25</v>
      </c>
      <c r="I799" s="170" t="s">
        <v>26</v>
      </c>
      <c r="J799" s="170">
        <v>1</v>
      </c>
      <c r="K799" s="170">
        <v>0</v>
      </c>
      <c r="L799" s="170">
        <v>1</v>
      </c>
      <c r="M799" s="172" t="s">
        <v>3394</v>
      </c>
      <c r="N799" s="172" t="s">
        <v>223</v>
      </c>
      <c r="O799" s="173"/>
      <c r="P799" s="172" t="s">
        <v>3395</v>
      </c>
    </row>
    <row r="800" spans="1:16" outlineLevel="3" x14ac:dyDescent="0.3">
      <c r="A800" s="105" t="s">
        <v>3396</v>
      </c>
      <c r="B800" s="106"/>
      <c r="C800" s="106"/>
      <c r="D800" s="106"/>
      <c r="E800" s="106" t="s">
        <v>3393</v>
      </c>
      <c r="F800" s="106" t="s">
        <v>3397</v>
      </c>
      <c r="G800" s="105">
        <v>4</v>
      </c>
      <c r="H800" s="106" t="s">
        <v>7</v>
      </c>
      <c r="I800" s="105" t="s">
        <v>39</v>
      </c>
      <c r="J800" s="105"/>
      <c r="K800" s="105"/>
      <c r="L800" s="105"/>
      <c r="M800" s="106"/>
      <c r="N800" s="106" t="s">
        <v>223</v>
      </c>
      <c r="O800" s="107"/>
      <c r="P800" s="106" t="s">
        <v>3395</v>
      </c>
    </row>
    <row r="801" spans="1:16" outlineLevel="2" x14ac:dyDescent="0.3">
      <c r="A801" s="170" t="s">
        <v>3398</v>
      </c>
      <c r="B801" s="171"/>
      <c r="C801" s="174"/>
      <c r="D801" s="174" t="s">
        <v>3399</v>
      </c>
      <c r="E801" s="171"/>
      <c r="F801" s="171"/>
      <c r="G801" s="170">
        <v>3</v>
      </c>
      <c r="H801" s="174" t="s">
        <v>396</v>
      </c>
      <c r="I801" s="170" t="s">
        <v>39</v>
      </c>
      <c r="J801" s="170">
        <v>4</v>
      </c>
      <c r="K801" s="170">
        <v>0</v>
      </c>
      <c r="L801" s="170">
        <v>0</v>
      </c>
      <c r="M801" s="172" t="s">
        <v>3400</v>
      </c>
      <c r="N801" s="172" t="s">
        <v>287</v>
      </c>
      <c r="O801" s="173"/>
      <c r="P801" s="172"/>
    </row>
    <row r="802" spans="1:16" outlineLevel="3" x14ac:dyDescent="0.3">
      <c r="A802" s="105" t="s">
        <v>3401</v>
      </c>
      <c r="B802" s="106"/>
      <c r="C802" s="106"/>
      <c r="D802" s="106"/>
      <c r="E802" s="106" t="s">
        <v>3402</v>
      </c>
      <c r="F802" s="106" t="s">
        <v>3403</v>
      </c>
      <c r="G802" s="105">
        <v>4</v>
      </c>
      <c r="H802" s="106" t="s">
        <v>7</v>
      </c>
      <c r="I802" s="105" t="s">
        <v>39</v>
      </c>
      <c r="J802" s="105"/>
      <c r="K802" s="105"/>
      <c r="L802" s="105"/>
      <c r="M802" s="106"/>
      <c r="N802" s="106" t="s">
        <v>287</v>
      </c>
      <c r="O802" s="107"/>
      <c r="P802" s="106"/>
    </row>
    <row r="803" spans="1:16" outlineLevel="3" x14ac:dyDescent="0.3">
      <c r="A803" s="105" t="s">
        <v>3404</v>
      </c>
      <c r="B803" s="106"/>
      <c r="C803" s="106"/>
      <c r="D803" s="106"/>
      <c r="E803" s="106" t="s">
        <v>3405</v>
      </c>
      <c r="F803" s="106" t="s">
        <v>3406</v>
      </c>
      <c r="G803" s="105">
        <v>4</v>
      </c>
      <c r="H803" s="106" t="s">
        <v>7</v>
      </c>
      <c r="I803" s="105" t="s">
        <v>39</v>
      </c>
      <c r="J803" s="105"/>
      <c r="K803" s="105"/>
      <c r="L803" s="105"/>
      <c r="M803" s="106"/>
      <c r="N803" s="106" t="s">
        <v>287</v>
      </c>
      <c r="O803" s="107"/>
      <c r="P803" s="106"/>
    </row>
    <row r="804" spans="1:16" outlineLevel="3" x14ac:dyDescent="0.3">
      <c r="A804" s="105" t="s">
        <v>3407</v>
      </c>
      <c r="B804" s="106"/>
      <c r="C804" s="106"/>
      <c r="D804" s="106"/>
      <c r="E804" s="106" t="s">
        <v>3408</v>
      </c>
      <c r="F804" s="106" t="s">
        <v>3409</v>
      </c>
      <c r="G804" s="105">
        <v>4</v>
      </c>
      <c r="H804" s="106" t="s">
        <v>7</v>
      </c>
      <c r="I804" s="105" t="s">
        <v>39</v>
      </c>
      <c r="J804" s="105"/>
      <c r="K804" s="105"/>
      <c r="L804" s="105"/>
      <c r="M804" s="106"/>
      <c r="N804" s="106" t="s">
        <v>287</v>
      </c>
      <c r="O804" s="107"/>
      <c r="P804" s="106"/>
    </row>
    <row r="805" spans="1:16" outlineLevel="3" x14ac:dyDescent="0.3">
      <c r="A805" s="105" t="s">
        <v>3410</v>
      </c>
      <c r="B805" s="106"/>
      <c r="C805" s="106"/>
      <c r="D805" s="106"/>
      <c r="E805" s="106" t="s">
        <v>3411</v>
      </c>
      <c r="F805" s="106" t="s">
        <v>3412</v>
      </c>
      <c r="G805" s="105">
        <v>4</v>
      </c>
      <c r="H805" s="106" t="s">
        <v>7</v>
      </c>
      <c r="I805" s="105" t="s">
        <v>39</v>
      </c>
      <c r="J805" s="105"/>
      <c r="K805" s="105"/>
      <c r="L805" s="105"/>
      <c r="M805" s="106"/>
      <c r="N805" s="106" t="s">
        <v>287</v>
      </c>
      <c r="O805" s="107"/>
      <c r="P805" s="106"/>
    </row>
    <row r="806" spans="1:16" ht="55.2" outlineLevel="2" x14ac:dyDescent="0.3">
      <c r="A806" s="170" t="s">
        <v>3413</v>
      </c>
      <c r="B806" s="171"/>
      <c r="C806" s="171"/>
      <c r="D806" s="171" t="s">
        <v>3414</v>
      </c>
      <c r="E806" s="171"/>
      <c r="F806" s="171"/>
      <c r="G806" s="170">
        <v>3</v>
      </c>
      <c r="H806" s="171" t="s">
        <v>25</v>
      </c>
      <c r="I806" s="170" t="s">
        <v>39</v>
      </c>
      <c r="J806" s="170">
        <v>15</v>
      </c>
      <c r="K806" s="170">
        <v>0</v>
      </c>
      <c r="L806" s="170">
        <v>6</v>
      </c>
      <c r="M806" s="172" t="s">
        <v>3415</v>
      </c>
      <c r="N806" s="172" t="s">
        <v>223</v>
      </c>
      <c r="O806" s="173"/>
      <c r="P806" s="172" t="s">
        <v>3416</v>
      </c>
    </row>
    <row r="807" spans="1:16" outlineLevel="3" x14ac:dyDescent="0.3">
      <c r="A807" s="105" t="s">
        <v>3417</v>
      </c>
      <c r="B807" s="106"/>
      <c r="C807" s="106"/>
      <c r="D807" s="106"/>
      <c r="E807" s="106" t="s">
        <v>3418</v>
      </c>
      <c r="F807" s="106" t="s">
        <v>3419</v>
      </c>
      <c r="G807" s="105">
        <v>4</v>
      </c>
      <c r="H807" s="106" t="s">
        <v>7</v>
      </c>
      <c r="I807" s="105" t="s">
        <v>39</v>
      </c>
      <c r="J807" s="105"/>
      <c r="K807" s="105"/>
      <c r="L807" s="105"/>
      <c r="M807" s="106"/>
      <c r="N807" s="106" t="s">
        <v>40</v>
      </c>
      <c r="O807" s="107" t="s">
        <v>600</v>
      </c>
      <c r="P807" s="106" t="s">
        <v>3420</v>
      </c>
    </row>
    <row r="808" spans="1:16" outlineLevel="3" x14ac:dyDescent="0.3">
      <c r="A808" s="105" t="s">
        <v>3421</v>
      </c>
      <c r="B808" s="106"/>
      <c r="C808" s="106"/>
      <c r="D808" s="106"/>
      <c r="E808" s="106" t="s">
        <v>3422</v>
      </c>
      <c r="F808" s="106" t="s">
        <v>3423</v>
      </c>
      <c r="G808" s="105">
        <v>4</v>
      </c>
      <c r="H808" s="106" t="s">
        <v>7</v>
      </c>
      <c r="I808" s="105" t="s">
        <v>39</v>
      </c>
      <c r="J808" s="105"/>
      <c r="K808" s="105"/>
      <c r="L808" s="105"/>
      <c r="M808" s="106"/>
      <c r="N808" s="106" t="s">
        <v>287</v>
      </c>
      <c r="O808" s="107"/>
      <c r="P808" s="106"/>
    </row>
    <row r="809" spans="1:16" outlineLevel="3" x14ac:dyDescent="0.3">
      <c r="A809" s="105" t="s">
        <v>3424</v>
      </c>
      <c r="B809" s="106"/>
      <c r="C809" s="106"/>
      <c r="D809" s="106"/>
      <c r="E809" s="106" t="s">
        <v>3425</v>
      </c>
      <c r="F809" s="106" t="s">
        <v>3426</v>
      </c>
      <c r="G809" s="105">
        <v>4</v>
      </c>
      <c r="H809" s="106" t="s">
        <v>7</v>
      </c>
      <c r="I809" s="105" t="s">
        <v>39</v>
      </c>
      <c r="J809" s="105"/>
      <c r="K809" s="105"/>
      <c r="L809" s="105"/>
      <c r="M809" s="106"/>
      <c r="N809" s="106" t="s">
        <v>40</v>
      </c>
      <c r="O809" s="107" t="s">
        <v>600</v>
      </c>
      <c r="P809" s="106" t="s">
        <v>3427</v>
      </c>
    </row>
    <row r="810" spans="1:16" outlineLevel="3" x14ac:dyDescent="0.3">
      <c r="A810" s="105" t="s">
        <v>3428</v>
      </c>
      <c r="B810" s="106"/>
      <c r="C810" s="106"/>
      <c r="D810" s="106"/>
      <c r="E810" s="106" t="s">
        <v>3429</v>
      </c>
      <c r="F810" s="106" t="s">
        <v>3430</v>
      </c>
      <c r="G810" s="105">
        <v>4</v>
      </c>
      <c r="H810" s="106" t="s">
        <v>7</v>
      </c>
      <c r="I810" s="105" t="s">
        <v>39</v>
      </c>
      <c r="J810" s="105"/>
      <c r="K810" s="105"/>
      <c r="L810" s="105"/>
      <c r="M810" s="106"/>
      <c r="N810" s="106" t="s">
        <v>40</v>
      </c>
      <c r="O810" s="107" t="s">
        <v>600</v>
      </c>
      <c r="P810" s="106" t="s">
        <v>3431</v>
      </c>
    </row>
    <row r="811" spans="1:16" outlineLevel="3" x14ac:dyDescent="0.3">
      <c r="A811" s="105" t="s">
        <v>3432</v>
      </c>
      <c r="B811" s="106"/>
      <c r="C811" s="106"/>
      <c r="D811" s="106"/>
      <c r="E811" s="106" t="s">
        <v>3433</v>
      </c>
      <c r="F811" s="106" t="s">
        <v>3434</v>
      </c>
      <c r="G811" s="105">
        <v>4</v>
      </c>
      <c r="H811" s="106" t="s">
        <v>7</v>
      </c>
      <c r="I811" s="105" t="s">
        <v>39</v>
      </c>
      <c r="J811" s="105"/>
      <c r="K811" s="105"/>
      <c r="L811" s="105"/>
      <c r="M811" s="106"/>
      <c r="N811" s="106" t="s">
        <v>223</v>
      </c>
      <c r="O811" s="107"/>
      <c r="P811" s="106" t="s">
        <v>3435</v>
      </c>
    </row>
    <row r="812" spans="1:16" outlineLevel="3" x14ac:dyDescent="0.3">
      <c r="A812" s="105" t="s">
        <v>3436</v>
      </c>
      <c r="B812" s="106"/>
      <c r="C812" s="106"/>
      <c r="D812" s="106"/>
      <c r="E812" s="106" t="s">
        <v>3437</v>
      </c>
      <c r="F812" s="106" t="s">
        <v>3438</v>
      </c>
      <c r="G812" s="105">
        <v>4</v>
      </c>
      <c r="H812" s="106" t="s">
        <v>7</v>
      </c>
      <c r="I812" s="105" t="s">
        <v>39</v>
      </c>
      <c r="J812" s="105"/>
      <c r="K812" s="105"/>
      <c r="L812" s="105"/>
      <c r="M812" s="106"/>
      <c r="N812" s="106" t="s">
        <v>287</v>
      </c>
      <c r="O812" s="107"/>
      <c r="P812" s="106"/>
    </row>
    <row r="813" spans="1:16" outlineLevel="3" x14ac:dyDescent="0.3">
      <c r="A813" s="105" t="s">
        <v>3439</v>
      </c>
      <c r="B813" s="106"/>
      <c r="C813" s="106"/>
      <c r="D813" s="106"/>
      <c r="E813" s="106" t="s">
        <v>3440</v>
      </c>
      <c r="F813" s="106" t="s">
        <v>3441</v>
      </c>
      <c r="G813" s="105">
        <v>4</v>
      </c>
      <c r="H813" s="106" t="s">
        <v>7</v>
      </c>
      <c r="I813" s="105" t="s">
        <v>39</v>
      </c>
      <c r="J813" s="105"/>
      <c r="K813" s="105"/>
      <c r="L813" s="105"/>
      <c r="M813" s="106"/>
      <c r="N813" s="106" t="s">
        <v>287</v>
      </c>
      <c r="O813" s="107"/>
      <c r="P813" s="106"/>
    </row>
    <row r="814" spans="1:16" outlineLevel="3" x14ac:dyDescent="0.3">
      <c r="A814" s="105" t="s">
        <v>3442</v>
      </c>
      <c r="B814" s="106"/>
      <c r="C814" s="106"/>
      <c r="D814" s="106"/>
      <c r="E814" s="106" t="s">
        <v>3443</v>
      </c>
      <c r="F814" s="106" t="s">
        <v>3444</v>
      </c>
      <c r="G814" s="105">
        <v>4</v>
      </c>
      <c r="H814" s="106" t="s">
        <v>7</v>
      </c>
      <c r="I814" s="105" t="s">
        <v>39</v>
      </c>
      <c r="J814" s="105"/>
      <c r="K814" s="105"/>
      <c r="L814" s="105"/>
      <c r="M814" s="106"/>
      <c r="N814" s="106" t="s">
        <v>287</v>
      </c>
      <c r="O814" s="107"/>
      <c r="P814" s="106"/>
    </row>
    <row r="815" spans="1:16" outlineLevel="3" x14ac:dyDescent="0.3">
      <c r="A815" s="105" t="s">
        <v>3445</v>
      </c>
      <c r="B815" s="106"/>
      <c r="C815" s="106"/>
      <c r="D815" s="106"/>
      <c r="E815" s="106" t="s">
        <v>3446</v>
      </c>
      <c r="F815" s="106" t="s">
        <v>3447</v>
      </c>
      <c r="G815" s="105">
        <v>4</v>
      </c>
      <c r="H815" s="106" t="s">
        <v>7</v>
      </c>
      <c r="I815" s="105" t="s">
        <v>39</v>
      </c>
      <c r="J815" s="105"/>
      <c r="K815" s="105"/>
      <c r="L815" s="105"/>
      <c r="M815" s="106"/>
      <c r="N815" s="106" t="s">
        <v>287</v>
      </c>
      <c r="O815" s="107"/>
      <c r="P815" s="106"/>
    </row>
    <row r="816" spans="1:16" outlineLevel="3" x14ac:dyDescent="0.3">
      <c r="A816" s="105" t="s">
        <v>3448</v>
      </c>
      <c r="B816" s="106"/>
      <c r="C816" s="106"/>
      <c r="D816" s="106"/>
      <c r="E816" s="106" t="s">
        <v>3449</v>
      </c>
      <c r="F816" s="106" t="s">
        <v>3450</v>
      </c>
      <c r="G816" s="105">
        <v>4</v>
      </c>
      <c r="H816" s="106" t="s">
        <v>7</v>
      </c>
      <c r="I816" s="105" t="s">
        <v>39</v>
      </c>
      <c r="J816" s="105"/>
      <c r="K816" s="105"/>
      <c r="L816" s="105"/>
      <c r="M816" s="106"/>
      <c r="N816" s="106" t="s">
        <v>287</v>
      </c>
      <c r="O816" s="107"/>
      <c r="P816" s="106"/>
    </row>
    <row r="817" spans="1:16" outlineLevel="3" x14ac:dyDescent="0.3">
      <c r="A817" s="105" t="s">
        <v>3451</v>
      </c>
      <c r="B817" s="106"/>
      <c r="C817" s="106"/>
      <c r="D817" s="106"/>
      <c r="E817" s="106" t="s">
        <v>3452</v>
      </c>
      <c r="F817" s="106" t="s">
        <v>3453</v>
      </c>
      <c r="G817" s="105">
        <v>4</v>
      </c>
      <c r="H817" s="106" t="s">
        <v>7</v>
      </c>
      <c r="I817" s="105" t="s">
        <v>39</v>
      </c>
      <c r="J817" s="105"/>
      <c r="K817" s="105"/>
      <c r="L817" s="105"/>
      <c r="M817" s="106"/>
      <c r="N817" s="106" t="s">
        <v>287</v>
      </c>
      <c r="O817" s="107"/>
      <c r="P817" s="106"/>
    </row>
    <row r="818" spans="1:16" outlineLevel="3" x14ac:dyDescent="0.3">
      <c r="A818" s="105" t="s">
        <v>3454</v>
      </c>
      <c r="B818" s="106"/>
      <c r="C818" s="106"/>
      <c r="D818" s="106"/>
      <c r="E818" s="106" t="s">
        <v>3455</v>
      </c>
      <c r="F818" s="106" t="s">
        <v>3456</v>
      </c>
      <c r="G818" s="105">
        <v>4</v>
      </c>
      <c r="H818" s="106" t="s">
        <v>7</v>
      </c>
      <c r="I818" s="105" t="s">
        <v>39</v>
      </c>
      <c r="J818" s="105"/>
      <c r="K818" s="105"/>
      <c r="L818" s="105"/>
      <c r="M818" s="106"/>
      <c r="N818" s="106" t="s">
        <v>287</v>
      </c>
      <c r="O818" s="107"/>
      <c r="P818" s="106"/>
    </row>
    <row r="819" spans="1:16" outlineLevel="3" x14ac:dyDescent="0.3">
      <c r="A819" s="105" t="s">
        <v>3457</v>
      </c>
      <c r="B819" s="106"/>
      <c r="C819" s="106"/>
      <c r="D819" s="106"/>
      <c r="E819" s="106" t="s">
        <v>3458</v>
      </c>
      <c r="F819" s="106" t="s">
        <v>3459</v>
      </c>
      <c r="G819" s="105">
        <v>4</v>
      </c>
      <c r="H819" s="106" t="s">
        <v>7</v>
      </c>
      <c r="I819" s="105" t="s">
        <v>39</v>
      </c>
      <c r="J819" s="105"/>
      <c r="K819" s="105"/>
      <c r="L819" s="105"/>
      <c r="M819" s="106"/>
      <c r="N819" s="106" t="s">
        <v>287</v>
      </c>
      <c r="O819" s="107"/>
      <c r="P819" s="106"/>
    </row>
    <row r="820" spans="1:16" outlineLevel="3" x14ac:dyDescent="0.3">
      <c r="A820" s="105" t="s">
        <v>3460</v>
      </c>
      <c r="B820" s="106"/>
      <c r="C820" s="106"/>
      <c r="D820" s="106"/>
      <c r="E820" s="106" t="s">
        <v>3461</v>
      </c>
      <c r="F820" s="106" t="s">
        <v>3462</v>
      </c>
      <c r="G820" s="105">
        <v>4</v>
      </c>
      <c r="H820" s="106" t="s">
        <v>7</v>
      </c>
      <c r="I820" s="105" t="s">
        <v>39</v>
      </c>
      <c r="J820" s="105"/>
      <c r="K820" s="105"/>
      <c r="L820" s="105"/>
      <c r="M820" s="106"/>
      <c r="N820" s="106" t="s">
        <v>40</v>
      </c>
      <c r="O820" s="107" t="s">
        <v>600</v>
      </c>
      <c r="P820" s="106" t="s">
        <v>3463</v>
      </c>
    </row>
    <row r="821" spans="1:16" outlineLevel="3" x14ac:dyDescent="0.3">
      <c r="A821" s="105" t="s">
        <v>3464</v>
      </c>
      <c r="B821" s="106"/>
      <c r="C821" s="106"/>
      <c r="D821" s="106"/>
      <c r="E821" s="106" t="s">
        <v>3465</v>
      </c>
      <c r="F821" s="106" t="s">
        <v>3466</v>
      </c>
      <c r="G821" s="105">
        <v>4</v>
      </c>
      <c r="H821" s="106" t="s">
        <v>7</v>
      </c>
      <c r="I821" s="105" t="s">
        <v>39</v>
      </c>
      <c r="J821" s="105"/>
      <c r="K821" s="105"/>
      <c r="L821" s="105"/>
      <c r="M821" s="106"/>
      <c r="N821" s="106" t="s">
        <v>40</v>
      </c>
      <c r="O821" s="107" t="s">
        <v>600</v>
      </c>
      <c r="P821" s="106" t="s">
        <v>3467</v>
      </c>
    </row>
    <row r="822" spans="1:16" ht="27.6" outlineLevel="1" x14ac:dyDescent="0.3">
      <c r="A822" s="165" t="s">
        <v>3468</v>
      </c>
      <c r="B822" s="166"/>
      <c r="C822" s="167" t="s">
        <v>3469</v>
      </c>
      <c r="D822" s="166"/>
      <c r="E822" s="166"/>
      <c r="F822" s="166"/>
      <c r="G822" s="165">
        <v>2</v>
      </c>
      <c r="H822" s="166" t="s">
        <v>25</v>
      </c>
      <c r="I822" s="165" t="s">
        <v>3470</v>
      </c>
      <c r="J822" s="165">
        <v>13</v>
      </c>
      <c r="K822" s="165">
        <v>0</v>
      </c>
      <c r="L822" s="165">
        <v>12</v>
      </c>
      <c r="M822" s="168" t="s">
        <v>3471</v>
      </c>
      <c r="N822" s="168"/>
      <c r="O822" s="169"/>
      <c r="P822" s="168"/>
    </row>
    <row r="823" spans="1:16" ht="27.6" outlineLevel="2" x14ac:dyDescent="0.3">
      <c r="A823" s="170" t="s">
        <v>3472</v>
      </c>
      <c r="B823" s="171"/>
      <c r="C823" s="171"/>
      <c r="D823" s="171" t="s">
        <v>3473</v>
      </c>
      <c r="E823" s="171"/>
      <c r="F823" s="171"/>
      <c r="G823" s="170">
        <v>3</v>
      </c>
      <c r="H823" s="171" t="s">
        <v>25</v>
      </c>
      <c r="I823" s="170" t="s">
        <v>3470</v>
      </c>
      <c r="J823" s="170">
        <v>1</v>
      </c>
      <c r="K823" s="170">
        <v>0</v>
      </c>
      <c r="L823" s="170">
        <v>1</v>
      </c>
      <c r="M823" s="172" t="s">
        <v>3474</v>
      </c>
      <c r="N823" s="172" t="s">
        <v>223</v>
      </c>
      <c r="O823" s="173"/>
      <c r="P823" s="172" t="s">
        <v>3475</v>
      </c>
    </row>
    <row r="824" spans="1:16" outlineLevel="3" x14ac:dyDescent="0.3">
      <c r="A824" s="105" t="s">
        <v>3476</v>
      </c>
      <c r="B824" s="106"/>
      <c r="C824" s="106"/>
      <c r="D824" s="106"/>
      <c r="E824" s="106" t="s">
        <v>3473</v>
      </c>
      <c r="F824" s="106" t="s">
        <v>3477</v>
      </c>
      <c r="G824" s="105">
        <v>4</v>
      </c>
      <c r="H824" s="106" t="s">
        <v>7</v>
      </c>
      <c r="I824" s="105" t="s">
        <v>3470</v>
      </c>
      <c r="J824" s="105"/>
      <c r="K824" s="105"/>
      <c r="L824" s="105"/>
      <c r="M824" s="106"/>
      <c r="N824" s="106" t="s">
        <v>223</v>
      </c>
      <c r="O824" s="107"/>
      <c r="P824" s="106" t="s">
        <v>3475</v>
      </c>
    </row>
    <row r="825" spans="1:16" ht="27.6" outlineLevel="2" x14ac:dyDescent="0.3">
      <c r="A825" s="170" t="s">
        <v>3478</v>
      </c>
      <c r="B825" s="171"/>
      <c r="C825" s="174"/>
      <c r="D825" s="174" t="s">
        <v>3479</v>
      </c>
      <c r="E825" s="171"/>
      <c r="F825" s="171"/>
      <c r="G825" s="170">
        <v>3</v>
      </c>
      <c r="H825" s="174" t="s">
        <v>396</v>
      </c>
      <c r="I825" s="170" t="s">
        <v>3470</v>
      </c>
      <c r="J825" s="170">
        <v>1</v>
      </c>
      <c r="K825" s="170">
        <v>0</v>
      </c>
      <c r="L825" s="170">
        <v>0</v>
      </c>
      <c r="M825" s="172" t="s">
        <v>3480</v>
      </c>
      <c r="N825" s="172" t="s">
        <v>287</v>
      </c>
      <c r="O825" s="173"/>
      <c r="P825" s="172"/>
    </row>
    <row r="826" spans="1:16" outlineLevel="3" x14ac:dyDescent="0.3">
      <c r="A826" s="105" t="s">
        <v>3481</v>
      </c>
      <c r="B826" s="106"/>
      <c r="C826" s="106"/>
      <c r="D826" s="106"/>
      <c r="E826" s="106" t="s">
        <v>3482</v>
      </c>
      <c r="F826" s="106" t="s">
        <v>3483</v>
      </c>
      <c r="G826" s="105">
        <v>4</v>
      </c>
      <c r="H826" s="106" t="s">
        <v>7</v>
      </c>
      <c r="I826" s="105" t="s">
        <v>3470</v>
      </c>
      <c r="J826" s="105"/>
      <c r="K826" s="105"/>
      <c r="L826" s="105"/>
      <c r="M826" s="106"/>
      <c r="N826" s="106" t="s">
        <v>287</v>
      </c>
      <c r="O826" s="107"/>
      <c r="P826" s="106"/>
    </row>
    <row r="827" spans="1:16" ht="41.4" outlineLevel="2" x14ac:dyDescent="0.3">
      <c r="A827" s="170" t="s">
        <v>3484</v>
      </c>
      <c r="B827" s="171"/>
      <c r="C827" s="171"/>
      <c r="D827" s="171" t="s">
        <v>3485</v>
      </c>
      <c r="E827" s="171"/>
      <c r="F827" s="171"/>
      <c r="G827" s="170">
        <v>3</v>
      </c>
      <c r="H827" s="171" t="s">
        <v>25</v>
      </c>
      <c r="I827" s="170" t="s">
        <v>3470</v>
      </c>
      <c r="J827" s="170">
        <v>11</v>
      </c>
      <c r="K827" s="170">
        <v>0</v>
      </c>
      <c r="L827" s="170">
        <v>11</v>
      </c>
      <c r="M827" s="172" t="s">
        <v>3486</v>
      </c>
      <c r="N827" s="172" t="s">
        <v>223</v>
      </c>
      <c r="O827" s="173"/>
      <c r="P827" s="172" t="s">
        <v>3487</v>
      </c>
    </row>
    <row r="828" spans="1:16" outlineLevel="3" x14ac:dyDescent="0.3">
      <c r="A828" s="105" t="s">
        <v>3488</v>
      </c>
      <c r="B828" s="106"/>
      <c r="C828" s="106"/>
      <c r="D828" s="106"/>
      <c r="E828" s="106" t="s">
        <v>3489</v>
      </c>
      <c r="F828" s="106" t="s">
        <v>3490</v>
      </c>
      <c r="G828" s="105">
        <v>4</v>
      </c>
      <c r="H828" s="106" t="s">
        <v>7</v>
      </c>
      <c r="I828" s="105" t="s">
        <v>3470</v>
      </c>
      <c r="J828" s="105"/>
      <c r="K828" s="105"/>
      <c r="L828" s="105"/>
      <c r="M828" s="106"/>
      <c r="N828" s="106" t="s">
        <v>223</v>
      </c>
      <c r="O828" s="107"/>
      <c r="P828" s="106" t="s">
        <v>3491</v>
      </c>
    </row>
    <row r="829" spans="1:16" outlineLevel="3" x14ac:dyDescent="0.3">
      <c r="A829" s="105" t="s">
        <v>3492</v>
      </c>
      <c r="B829" s="106"/>
      <c r="C829" s="106"/>
      <c r="D829" s="106"/>
      <c r="E829" s="106" t="s">
        <v>3493</v>
      </c>
      <c r="F829" s="106" t="s">
        <v>3494</v>
      </c>
      <c r="G829" s="105">
        <v>4</v>
      </c>
      <c r="H829" s="106" t="s">
        <v>7</v>
      </c>
      <c r="I829" s="105" t="s">
        <v>39</v>
      </c>
      <c r="J829" s="105"/>
      <c r="K829" s="105"/>
      <c r="L829" s="105"/>
      <c r="M829" s="106"/>
      <c r="N829" s="106" t="s">
        <v>40</v>
      </c>
      <c r="O829" s="107" t="s">
        <v>600</v>
      </c>
      <c r="P829" s="106" t="s">
        <v>3495</v>
      </c>
    </row>
    <row r="830" spans="1:16" outlineLevel="3" x14ac:dyDescent="0.3">
      <c r="A830" s="105" t="s">
        <v>3496</v>
      </c>
      <c r="B830" s="106"/>
      <c r="C830" s="106"/>
      <c r="D830" s="106"/>
      <c r="E830" s="106" t="s">
        <v>3497</v>
      </c>
      <c r="F830" s="106" t="s">
        <v>3498</v>
      </c>
      <c r="G830" s="105">
        <v>4</v>
      </c>
      <c r="H830" s="106" t="s">
        <v>7</v>
      </c>
      <c r="I830" s="105" t="s">
        <v>3470</v>
      </c>
      <c r="J830" s="105"/>
      <c r="K830" s="105"/>
      <c r="L830" s="105"/>
      <c r="M830" s="106"/>
      <c r="N830" s="106" t="s">
        <v>223</v>
      </c>
      <c r="O830" s="107"/>
      <c r="P830" s="106" t="s">
        <v>3499</v>
      </c>
    </row>
    <row r="831" spans="1:16" outlineLevel="3" x14ac:dyDescent="0.3">
      <c r="A831" s="105" t="s">
        <v>3500</v>
      </c>
      <c r="B831" s="106"/>
      <c r="C831" s="106"/>
      <c r="D831" s="106"/>
      <c r="E831" s="106" t="s">
        <v>3501</v>
      </c>
      <c r="F831" s="106" t="s">
        <v>3502</v>
      </c>
      <c r="G831" s="105">
        <v>4</v>
      </c>
      <c r="H831" s="106" t="s">
        <v>7</v>
      </c>
      <c r="I831" s="105" t="s">
        <v>3470</v>
      </c>
      <c r="J831" s="105"/>
      <c r="K831" s="105"/>
      <c r="L831" s="105"/>
      <c r="M831" s="106"/>
      <c r="N831" s="106" t="s">
        <v>223</v>
      </c>
      <c r="O831" s="107"/>
      <c r="P831" s="106" t="s">
        <v>3503</v>
      </c>
    </row>
    <row r="832" spans="1:16" outlineLevel="3" x14ac:dyDescent="0.3">
      <c r="A832" s="105" t="s">
        <v>3504</v>
      </c>
      <c r="B832" s="106"/>
      <c r="C832" s="106"/>
      <c r="D832" s="106"/>
      <c r="E832" s="106" t="s">
        <v>3505</v>
      </c>
      <c r="F832" s="106" t="s">
        <v>3506</v>
      </c>
      <c r="G832" s="105">
        <v>4</v>
      </c>
      <c r="H832" s="106" t="s">
        <v>7</v>
      </c>
      <c r="I832" s="105" t="s">
        <v>3470</v>
      </c>
      <c r="J832" s="105"/>
      <c r="K832" s="105"/>
      <c r="L832" s="105"/>
      <c r="M832" s="106"/>
      <c r="N832" s="106" t="s">
        <v>223</v>
      </c>
      <c r="O832" s="107"/>
      <c r="P832" s="106" t="s">
        <v>3507</v>
      </c>
    </row>
    <row r="833" spans="1:16" outlineLevel="3" x14ac:dyDescent="0.3">
      <c r="A833" s="105" t="s">
        <v>3508</v>
      </c>
      <c r="B833" s="106"/>
      <c r="C833" s="106"/>
      <c r="D833" s="106"/>
      <c r="E833" s="106" t="s">
        <v>3509</v>
      </c>
      <c r="F833" s="106" t="s">
        <v>3510</v>
      </c>
      <c r="G833" s="105">
        <v>4</v>
      </c>
      <c r="H833" s="106" t="s">
        <v>7</v>
      </c>
      <c r="I833" s="105" t="s">
        <v>3470</v>
      </c>
      <c r="J833" s="105"/>
      <c r="K833" s="105"/>
      <c r="L833" s="105"/>
      <c r="M833" s="106"/>
      <c r="N833" s="106" t="s">
        <v>223</v>
      </c>
      <c r="O833" s="107"/>
      <c r="P833" s="106" t="s">
        <v>3511</v>
      </c>
    </row>
    <row r="834" spans="1:16" outlineLevel="3" x14ac:dyDescent="0.3">
      <c r="A834" s="105" t="s">
        <v>3512</v>
      </c>
      <c r="B834" s="106"/>
      <c r="C834" s="106"/>
      <c r="D834" s="106"/>
      <c r="E834" s="106" t="s">
        <v>3513</v>
      </c>
      <c r="F834" s="106" t="s">
        <v>3514</v>
      </c>
      <c r="G834" s="105">
        <v>4</v>
      </c>
      <c r="H834" s="106" t="s">
        <v>7</v>
      </c>
      <c r="I834" s="105" t="s">
        <v>39</v>
      </c>
      <c r="J834" s="105"/>
      <c r="K834" s="105"/>
      <c r="L834" s="105"/>
      <c r="M834" s="106"/>
      <c r="N834" s="106" t="s">
        <v>40</v>
      </c>
      <c r="O834" s="107"/>
      <c r="P834" s="106" t="s">
        <v>3515</v>
      </c>
    </row>
    <row r="835" spans="1:16" outlineLevel="3" x14ac:dyDescent="0.3">
      <c r="A835" s="105" t="s">
        <v>3516</v>
      </c>
      <c r="B835" s="106"/>
      <c r="C835" s="106"/>
      <c r="D835" s="106"/>
      <c r="E835" s="106" t="s">
        <v>3517</v>
      </c>
      <c r="F835" s="106" t="s">
        <v>3518</v>
      </c>
      <c r="G835" s="105">
        <v>4</v>
      </c>
      <c r="H835" s="106" t="s">
        <v>7</v>
      </c>
      <c r="I835" s="105" t="s">
        <v>3470</v>
      </c>
      <c r="J835" s="105"/>
      <c r="K835" s="105"/>
      <c r="L835" s="105"/>
      <c r="M835" s="106"/>
      <c r="N835" s="106" t="s">
        <v>223</v>
      </c>
      <c r="O835" s="107"/>
      <c r="P835" s="106" t="s">
        <v>3519</v>
      </c>
    </row>
    <row r="836" spans="1:16" outlineLevel="3" x14ac:dyDescent="0.3">
      <c r="A836" s="105" t="s">
        <v>3520</v>
      </c>
      <c r="B836" s="106"/>
      <c r="C836" s="106"/>
      <c r="D836" s="106"/>
      <c r="E836" s="106" t="s">
        <v>3521</v>
      </c>
      <c r="F836" s="106" t="s">
        <v>3522</v>
      </c>
      <c r="G836" s="105">
        <v>4</v>
      </c>
      <c r="H836" s="106" t="s">
        <v>7</v>
      </c>
      <c r="I836" s="105" t="s">
        <v>39</v>
      </c>
      <c r="J836" s="105"/>
      <c r="K836" s="105"/>
      <c r="L836" s="105"/>
      <c r="M836" s="106"/>
      <c r="N836" s="106" t="s">
        <v>40</v>
      </c>
      <c r="O836" s="107"/>
      <c r="P836" s="106" t="s">
        <v>3523</v>
      </c>
    </row>
    <row r="837" spans="1:16" outlineLevel="3" x14ac:dyDescent="0.3">
      <c r="A837" s="105" t="s">
        <v>3524</v>
      </c>
      <c r="B837" s="106"/>
      <c r="C837" s="106"/>
      <c r="D837" s="106"/>
      <c r="E837" s="106" t="s">
        <v>3525</v>
      </c>
      <c r="F837" s="106" t="s">
        <v>3526</v>
      </c>
      <c r="G837" s="105">
        <v>4</v>
      </c>
      <c r="H837" s="106" t="s">
        <v>7</v>
      </c>
      <c r="I837" s="105" t="s">
        <v>39</v>
      </c>
      <c r="J837" s="105"/>
      <c r="K837" s="105"/>
      <c r="L837" s="105"/>
      <c r="M837" s="106"/>
      <c r="N837" s="106" t="s">
        <v>40</v>
      </c>
      <c r="O837" s="107" t="s">
        <v>600</v>
      </c>
      <c r="P837" s="106" t="s">
        <v>3527</v>
      </c>
    </row>
    <row r="838" spans="1:16" outlineLevel="3" x14ac:dyDescent="0.3">
      <c r="A838" s="105" t="s">
        <v>3528</v>
      </c>
      <c r="B838" s="106"/>
      <c r="C838" s="106"/>
      <c r="D838" s="106"/>
      <c r="E838" s="106" t="s">
        <v>3529</v>
      </c>
      <c r="F838" s="106" t="s">
        <v>3530</v>
      </c>
      <c r="G838" s="105">
        <v>4</v>
      </c>
      <c r="H838" s="106" t="s">
        <v>7</v>
      </c>
      <c r="I838" s="105" t="s">
        <v>3470</v>
      </c>
      <c r="J838" s="105"/>
      <c r="K838" s="105"/>
      <c r="L838" s="105"/>
      <c r="M838" s="106"/>
      <c r="N838" s="106" t="s">
        <v>223</v>
      </c>
      <c r="O838" s="107"/>
      <c r="P838" s="106" t="s">
        <v>3531</v>
      </c>
    </row>
    <row r="839" spans="1:16" ht="27.6" outlineLevel="1" x14ac:dyDescent="0.3">
      <c r="A839" s="165" t="s">
        <v>3532</v>
      </c>
      <c r="B839" s="166"/>
      <c r="C839" s="167" t="s">
        <v>3533</v>
      </c>
      <c r="D839" s="166"/>
      <c r="E839" s="166"/>
      <c r="F839" s="166"/>
      <c r="G839" s="165">
        <v>2</v>
      </c>
      <c r="H839" s="166" t="s">
        <v>25</v>
      </c>
      <c r="I839" s="165" t="s">
        <v>26</v>
      </c>
      <c r="J839" s="165">
        <v>39</v>
      </c>
      <c r="K839" s="165">
        <v>0</v>
      </c>
      <c r="L839" s="165">
        <v>17</v>
      </c>
      <c r="M839" s="168" t="s">
        <v>3534</v>
      </c>
      <c r="N839" s="168" t="s">
        <v>223</v>
      </c>
      <c r="O839" s="169"/>
      <c r="P839" s="168" t="s">
        <v>3535</v>
      </c>
    </row>
    <row r="840" spans="1:16" outlineLevel="2" x14ac:dyDescent="0.3">
      <c r="A840" s="105" t="s">
        <v>3536</v>
      </c>
      <c r="B840" s="106"/>
      <c r="C840" s="106"/>
      <c r="D840" s="106"/>
      <c r="E840" s="106" t="s">
        <v>3537</v>
      </c>
      <c r="F840" s="106" t="s">
        <v>3538</v>
      </c>
      <c r="G840" s="105">
        <v>4</v>
      </c>
      <c r="H840" s="106" t="s">
        <v>7</v>
      </c>
      <c r="I840" s="105" t="s">
        <v>39</v>
      </c>
      <c r="J840" s="105"/>
      <c r="K840" s="105"/>
      <c r="L840" s="105"/>
      <c r="M840" s="106" t="s">
        <v>3539</v>
      </c>
      <c r="N840" s="106" t="s">
        <v>40</v>
      </c>
      <c r="O840" s="107"/>
      <c r="P840" s="106" t="s">
        <v>3540</v>
      </c>
    </row>
    <row r="841" spans="1:16" outlineLevel="2" x14ac:dyDescent="0.3">
      <c r="A841" s="105" t="s">
        <v>3541</v>
      </c>
      <c r="B841" s="106"/>
      <c r="C841" s="106"/>
      <c r="D841" s="106"/>
      <c r="E841" s="106" t="s">
        <v>3542</v>
      </c>
      <c r="F841" s="106" t="s">
        <v>3543</v>
      </c>
      <c r="G841" s="105">
        <v>4</v>
      </c>
      <c r="H841" s="106" t="s">
        <v>7</v>
      </c>
      <c r="I841" s="105" t="s">
        <v>39</v>
      </c>
      <c r="J841" s="105"/>
      <c r="K841" s="105"/>
      <c r="L841" s="105"/>
      <c r="M841" s="106" t="s">
        <v>3539</v>
      </c>
      <c r="N841" s="106" t="s">
        <v>40</v>
      </c>
      <c r="O841" s="107"/>
      <c r="P841" s="106" t="s">
        <v>3544</v>
      </c>
    </row>
    <row r="842" spans="1:16" outlineLevel="2" x14ac:dyDescent="0.3">
      <c r="A842" s="105" t="s">
        <v>3545</v>
      </c>
      <c r="B842" s="106"/>
      <c r="C842" s="106"/>
      <c r="D842" s="106"/>
      <c r="E842" s="106" t="s">
        <v>3546</v>
      </c>
      <c r="F842" s="106" t="s">
        <v>3547</v>
      </c>
      <c r="G842" s="105">
        <v>4</v>
      </c>
      <c r="H842" s="106" t="s">
        <v>7</v>
      </c>
      <c r="I842" s="105" t="s">
        <v>39</v>
      </c>
      <c r="J842" s="105"/>
      <c r="K842" s="105"/>
      <c r="L842" s="105"/>
      <c r="M842" s="106" t="s">
        <v>3539</v>
      </c>
      <c r="N842" s="106" t="s">
        <v>40</v>
      </c>
      <c r="O842" s="107"/>
      <c r="P842" s="106" t="s">
        <v>3548</v>
      </c>
    </row>
    <row r="843" spans="1:16" outlineLevel="2" x14ac:dyDescent="0.3">
      <c r="A843" s="105" t="s">
        <v>3549</v>
      </c>
      <c r="B843" s="106"/>
      <c r="C843" s="106"/>
      <c r="D843" s="106"/>
      <c r="E843" s="106" t="s">
        <v>3550</v>
      </c>
      <c r="F843" s="106" t="s">
        <v>3551</v>
      </c>
      <c r="G843" s="105">
        <v>4</v>
      </c>
      <c r="H843" s="106" t="s">
        <v>7</v>
      </c>
      <c r="I843" s="105" t="s">
        <v>26</v>
      </c>
      <c r="J843" s="105"/>
      <c r="K843" s="105"/>
      <c r="L843" s="105"/>
      <c r="M843" s="106"/>
      <c r="N843" s="106" t="s">
        <v>287</v>
      </c>
      <c r="O843" s="107"/>
      <c r="P843" s="106"/>
    </row>
    <row r="844" spans="1:16" outlineLevel="2" x14ac:dyDescent="0.3">
      <c r="A844" s="105" t="s">
        <v>3552</v>
      </c>
      <c r="B844" s="106"/>
      <c r="C844" s="106"/>
      <c r="D844" s="106"/>
      <c r="E844" s="106" t="s">
        <v>3553</v>
      </c>
      <c r="F844" s="106" t="s">
        <v>3554</v>
      </c>
      <c r="G844" s="105">
        <v>4</v>
      </c>
      <c r="H844" s="106" t="s">
        <v>7</v>
      </c>
      <c r="I844" s="105" t="s">
        <v>26</v>
      </c>
      <c r="J844" s="105"/>
      <c r="K844" s="105"/>
      <c r="L844" s="105"/>
      <c r="M844" s="106" t="s">
        <v>3539</v>
      </c>
      <c r="N844" s="106" t="s">
        <v>223</v>
      </c>
      <c r="O844" s="107"/>
      <c r="P844" s="106" t="s">
        <v>3555</v>
      </c>
    </row>
    <row r="845" spans="1:16" outlineLevel="2" x14ac:dyDescent="0.3">
      <c r="A845" s="105" t="s">
        <v>3556</v>
      </c>
      <c r="B845" s="106"/>
      <c r="C845" s="106"/>
      <c r="D845" s="106"/>
      <c r="E845" s="106" t="s">
        <v>3557</v>
      </c>
      <c r="F845" s="106" t="s">
        <v>3558</v>
      </c>
      <c r="G845" s="105">
        <v>4</v>
      </c>
      <c r="H845" s="106" t="s">
        <v>7</v>
      </c>
      <c r="I845" s="105" t="s">
        <v>39</v>
      </c>
      <c r="J845" s="105"/>
      <c r="K845" s="105"/>
      <c r="L845" s="105"/>
      <c r="M845" s="106" t="s">
        <v>3539</v>
      </c>
      <c r="N845" s="106" t="s">
        <v>40</v>
      </c>
      <c r="O845" s="107"/>
      <c r="P845" s="106" t="s">
        <v>3559</v>
      </c>
    </row>
    <row r="846" spans="1:16" outlineLevel="2" x14ac:dyDescent="0.3">
      <c r="A846" s="105" t="s">
        <v>3560</v>
      </c>
      <c r="B846" s="106"/>
      <c r="C846" s="106"/>
      <c r="D846" s="106"/>
      <c r="E846" s="106" t="s">
        <v>3561</v>
      </c>
      <c r="F846" s="106" t="s">
        <v>3562</v>
      </c>
      <c r="G846" s="105">
        <v>4</v>
      </c>
      <c r="H846" s="106" t="s">
        <v>7</v>
      </c>
      <c r="I846" s="105" t="s">
        <v>26</v>
      </c>
      <c r="J846" s="105"/>
      <c r="K846" s="105"/>
      <c r="L846" s="105"/>
      <c r="M846" s="106"/>
      <c r="N846" s="106" t="s">
        <v>287</v>
      </c>
      <c r="O846" s="107"/>
      <c r="P846" s="106"/>
    </row>
    <row r="847" spans="1:16" outlineLevel="2" x14ac:dyDescent="0.3">
      <c r="A847" s="105" t="s">
        <v>3563</v>
      </c>
      <c r="B847" s="106"/>
      <c r="C847" s="106"/>
      <c r="D847" s="106"/>
      <c r="E847" s="106" t="s">
        <v>3393</v>
      </c>
      <c r="F847" s="106" t="s">
        <v>3564</v>
      </c>
      <c r="G847" s="105">
        <v>4</v>
      </c>
      <c r="H847" s="106" t="s">
        <v>7</v>
      </c>
      <c r="I847" s="105" t="s">
        <v>39</v>
      </c>
      <c r="J847" s="105"/>
      <c r="K847" s="105"/>
      <c r="L847" s="105"/>
      <c r="M847" s="106" t="s">
        <v>3539</v>
      </c>
      <c r="N847" s="106" t="s">
        <v>40</v>
      </c>
      <c r="O847" s="107"/>
      <c r="P847" s="106" t="s">
        <v>3565</v>
      </c>
    </row>
    <row r="848" spans="1:16" outlineLevel="2" x14ac:dyDescent="0.3">
      <c r="A848" s="105" t="s">
        <v>3566</v>
      </c>
      <c r="B848" s="106"/>
      <c r="C848" s="106"/>
      <c r="D848" s="106"/>
      <c r="E848" s="106" t="s">
        <v>3567</v>
      </c>
      <c r="F848" s="106" t="s">
        <v>3568</v>
      </c>
      <c r="G848" s="105">
        <v>4</v>
      </c>
      <c r="H848" s="106" t="s">
        <v>7</v>
      </c>
      <c r="I848" s="105" t="s">
        <v>26</v>
      </c>
      <c r="J848" s="105"/>
      <c r="K848" s="105"/>
      <c r="L848" s="105"/>
      <c r="M848" s="106"/>
      <c r="N848" s="106" t="s">
        <v>287</v>
      </c>
      <c r="O848" s="107"/>
      <c r="P848" s="106"/>
    </row>
    <row r="849" spans="1:16" outlineLevel="2" x14ac:dyDescent="0.3">
      <c r="A849" s="105" t="s">
        <v>3569</v>
      </c>
      <c r="B849" s="106"/>
      <c r="C849" s="106"/>
      <c r="D849" s="106"/>
      <c r="E849" s="106" t="s">
        <v>3570</v>
      </c>
      <c r="F849" s="106" t="s">
        <v>3571</v>
      </c>
      <c r="G849" s="105">
        <v>4</v>
      </c>
      <c r="H849" s="106" t="s">
        <v>7</v>
      </c>
      <c r="I849" s="105" t="s">
        <v>26</v>
      </c>
      <c r="J849" s="105"/>
      <c r="K849" s="105"/>
      <c r="L849" s="105"/>
      <c r="M849" s="106" t="s">
        <v>3539</v>
      </c>
      <c r="N849" s="106" t="s">
        <v>223</v>
      </c>
      <c r="O849" s="107"/>
      <c r="P849" s="106" t="s">
        <v>3572</v>
      </c>
    </row>
    <row r="850" spans="1:16" outlineLevel="2" x14ac:dyDescent="0.3">
      <c r="A850" s="105" t="s">
        <v>3573</v>
      </c>
      <c r="B850" s="106"/>
      <c r="C850" s="106"/>
      <c r="D850" s="106"/>
      <c r="E850" s="106" t="s">
        <v>3574</v>
      </c>
      <c r="F850" s="106" t="s">
        <v>3575</v>
      </c>
      <c r="G850" s="105">
        <v>4</v>
      </c>
      <c r="H850" s="106" t="s">
        <v>7</v>
      </c>
      <c r="I850" s="105" t="s">
        <v>26</v>
      </c>
      <c r="J850" s="105"/>
      <c r="K850" s="105"/>
      <c r="L850" s="105"/>
      <c r="M850" s="106" t="s">
        <v>3576</v>
      </c>
      <c r="N850" s="106" t="s">
        <v>223</v>
      </c>
      <c r="O850" s="107"/>
      <c r="P850" s="106" t="s">
        <v>3577</v>
      </c>
    </row>
    <row r="851" spans="1:16" outlineLevel="2" x14ac:dyDescent="0.3">
      <c r="A851" s="105" t="s">
        <v>3578</v>
      </c>
      <c r="B851" s="106"/>
      <c r="C851" s="106"/>
      <c r="D851" s="106"/>
      <c r="E851" s="106" t="s">
        <v>3579</v>
      </c>
      <c r="F851" s="106" t="s">
        <v>3580</v>
      </c>
      <c r="G851" s="105">
        <v>4</v>
      </c>
      <c r="H851" s="106" t="s">
        <v>7</v>
      </c>
      <c r="I851" s="105" t="s">
        <v>26</v>
      </c>
      <c r="J851" s="105"/>
      <c r="K851" s="105"/>
      <c r="L851" s="105"/>
      <c r="M851" s="106" t="s">
        <v>3581</v>
      </c>
      <c r="N851" s="106" t="s">
        <v>287</v>
      </c>
      <c r="O851" s="107"/>
      <c r="P851" s="106"/>
    </row>
    <row r="852" spans="1:16" outlineLevel="2" x14ac:dyDescent="0.3">
      <c r="A852" s="105" t="s">
        <v>3582</v>
      </c>
      <c r="B852" s="106"/>
      <c r="C852" s="106"/>
      <c r="D852" s="106"/>
      <c r="E852" s="106" t="s">
        <v>3583</v>
      </c>
      <c r="F852" s="106" t="s">
        <v>3584</v>
      </c>
      <c r="G852" s="105">
        <v>4</v>
      </c>
      <c r="H852" s="106" t="s">
        <v>7</v>
      </c>
      <c r="I852" s="105" t="s">
        <v>26</v>
      </c>
      <c r="J852" s="105"/>
      <c r="K852" s="105"/>
      <c r="L852" s="105"/>
      <c r="M852" s="106" t="s">
        <v>3539</v>
      </c>
      <c r="N852" s="106" t="s">
        <v>223</v>
      </c>
      <c r="O852" s="107"/>
      <c r="P852" s="106" t="s">
        <v>3585</v>
      </c>
    </row>
    <row r="853" spans="1:16" outlineLevel="2" x14ac:dyDescent="0.3">
      <c r="A853" s="105" t="s">
        <v>3586</v>
      </c>
      <c r="B853" s="106"/>
      <c r="C853" s="106"/>
      <c r="D853" s="106"/>
      <c r="E853" s="106" t="s">
        <v>3587</v>
      </c>
      <c r="F853" s="106" t="s">
        <v>3588</v>
      </c>
      <c r="G853" s="105">
        <v>4</v>
      </c>
      <c r="H853" s="106" t="s">
        <v>7</v>
      </c>
      <c r="I853" s="105" t="s">
        <v>26</v>
      </c>
      <c r="J853" s="105"/>
      <c r="K853" s="105"/>
      <c r="L853" s="105"/>
      <c r="M853" s="106"/>
      <c r="N853" s="106" t="s">
        <v>287</v>
      </c>
      <c r="O853" s="107"/>
      <c r="P853" s="106"/>
    </row>
    <row r="854" spans="1:16" outlineLevel="2" x14ac:dyDescent="0.3">
      <c r="A854" s="105" t="s">
        <v>3589</v>
      </c>
      <c r="B854" s="106"/>
      <c r="C854" s="106"/>
      <c r="D854" s="106"/>
      <c r="E854" s="106" t="s">
        <v>3590</v>
      </c>
      <c r="F854" s="106" t="s">
        <v>3591</v>
      </c>
      <c r="G854" s="105">
        <v>4</v>
      </c>
      <c r="H854" s="106" t="s">
        <v>7</v>
      </c>
      <c r="I854" s="105" t="s">
        <v>39</v>
      </c>
      <c r="J854" s="105"/>
      <c r="K854" s="105"/>
      <c r="L854" s="105"/>
      <c r="M854" s="106" t="s">
        <v>3539</v>
      </c>
      <c r="N854" s="106" t="s">
        <v>40</v>
      </c>
      <c r="O854" s="107"/>
      <c r="P854" s="106" t="s">
        <v>3592</v>
      </c>
    </row>
    <row r="855" spans="1:16" outlineLevel="2" x14ac:dyDescent="0.3">
      <c r="A855" s="105" t="s">
        <v>3593</v>
      </c>
      <c r="B855" s="106"/>
      <c r="C855" s="106"/>
      <c r="D855" s="106"/>
      <c r="E855" s="106" t="s">
        <v>3594</v>
      </c>
      <c r="F855" s="106" t="s">
        <v>3595</v>
      </c>
      <c r="G855" s="105">
        <v>4</v>
      </c>
      <c r="H855" s="106" t="s">
        <v>7</v>
      </c>
      <c r="I855" s="105" t="s">
        <v>39</v>
      </c>
      <c r="J855" s="105"/>
      <c r="K855" s="105"/>
      <c r="L855" s="105"/>
      <c r="M855" s="106" t="s">
        <v>3539</v>
      </c>
      <c r="N855" s="106" t="s">
        <v>40</v>
      </c>
      <c r="O855" s="107"/>
      <c r="P855" s="106" t="s">
        <v>3596</v>
      </c>
    </row>
    <row r="856" spans="1:16" outlineLevel="2" x14ac:dyDescent="0.3">
      <c r="A856" s="105" t="s">
        <v>3597</v>
      </c>
      <c r="B856" s="106"/>
      <c r="C856" s="106"/>
      <c r="D856" s="106"/>
      <c r="E856" s="106" t="s">
        <v>3598</v>
      </c>
      <c r="F856" s="106" t="s">
        <v>3599</v>
      </c>
      <c r="G856" s="105">
        <v>4</v>
      </c>
      <c r="H856" s="106" t="s">
        <v>7</v>
      </c>
      <c r="I856" s="105" t="s">
        <v>26</v>
      </c>
      <c r="J856" s="105"/>
      <c r="K856" s="105"/>
      <c r="L856" s="105"/>
      <c r="M856" s="106" t="s">
        <v>3539</v>
      </c>
      <c r="N856" s="106" t="s">
        <v>223</v>
      </c>
      <c r="O856" s="107"/>
      <c r="P856" s="106" t="s">
        <v>3600</v>
      </c>
    </row>
    <row r="857" spans="1:16" outlineLevel="2" x14ac:dyDescent="0.3">
      <c r="A857" s="105" t="s">
        <v>3601</v>
      </c>
      <c r="B857" s="106"/>
      <c r="C857" s="106"/>
      <c r="D857" s="106"/>
      <c r="E857" s="106" t="s">
        <v>3602</v>
      </c>
      <c r="F857" s="106" t="s">
        <v>3603</v>
      </c>
      <c r="G857" s="105">
        <v>4</v>
      </c>
      <c r="H857" s="106" t="s">
        <v>7</v>
      </c>
      <c r="I857" s="105" t="s">
        <v>26</v>
      </c>
      <c r="J857" s="105"/>
      <c r="K857" s="105"/>
      <c r="L857" s="105"/>
      <c r="M857" s="106"/>
      <c r="N857" s="106" t="s">
        <v>287</v>
      </c>
      <c r="O857" s="107"/>
      <c r="P857" s="106"/>
    </row>
    <row r="858" spans="1:16" outlineLevel="2" x14ac:dyDescent="0.3">
      <c r="A858" s="105" t="s">
        <v>3604</v>
      </c>
      <c r="B858" s="106"/>
      <c r="C858" s="106"/>
      <c r="D858" s="106"/>
      <c r="E858" s="106" t="s">
        <v>3605</v>
      </c>
      <c r="F858" s="106" t="s">
        <v>3606</v>
      </c>
      <c r="G858" s="105">
        <v>4</v>
      </c>
      <c r="H858" s="106" t="s">
        <v>7</v>
      </c>
      <c r="I858" s="105" t="s">
        <v>39</v>
      </c>
      <c r="J858" s="105"/>
      <c r="K858" s="105"/>
      <c r="L858" s="105"/>
      <c r="M858" s="106" t="s">
        <v>3539</v>
      </c>
      <c r="N858" s="106" t="s">
        <v>40</v>
      </c>
      <c r="O858" s="107"/>
      <c r="P858" s="106" t="s">
        <v>3607</v>
      </c>
    </row>
    <row r="859" spans="1:16" outlineLevel="2" x14ac:dyDescent="0.3">
      <c r="A859" s="105" t="s">
        <v>3608</v>
      </c>
      <c r="B859" s="106"/>
      <c r="C859" s="106"/>
      <c r="D859" s="106"/>
      <c r="E859" s="106" t="s">
        <v>3609</v>
      </c>
      <c r="F859" s="106" t="s">
        <v>3610</v>
      </c>
      <c r="G859" s="105">
        <v>4</v>
      </c>
      <c r="H859" s="106" t="s">
        <v>7</v>
      </c>
      <c r="I859" s="105" t="s">
        <v>26</v>
      </c>
      <c r="J859" s="105"/>
      <c r="K859" s="105"/>
      <c r="L859" s="105"/>
      <c r="M859" s="106"/>
      <c r="N859" s="106" t="s">
        <v>287</v>
      </c>
      <c r="O859" s="107"/>
      <c r="P859" s="106"/>
    </row>
    <row r="860" spans="1:16" outlineLevel="2" x14ac:dyDescent="0.3">
      <c r="A860" s="105" t="s">
        <v>3611</v>
      </c>
      <c r="B860" s="106"/>
      <c r="C860" s="106"/>
      <c r="D860" s="106"/>
      <c r="E860" s="106" t="s">
        <v>3612</v>
      </c>
      <c r="F860" s="106" t="s">
        <v>3613</v>
      </c>
      <c r="G860" s="105">
        <v>4</v>
      </c>
      <c r="H860" s="106" t="s">
        <v>7</v>
      </c>
      <c r="I860" s="105" t="s">
        <v>26</v>
      </c>
      <c r="J860" s="105"/>
      <c r="K860" s="105"/>
      <c r="L860" s="105"/>
      <c r="M860" s="106"/>
      <c r="N860" s="106" t="s">
        <v>287</v>
      </c>
      <c r="O860" s="107"/>
      <c r="P860" s="106"/>
    </row>
    <row r="861" spans="1:16" outlineLevel="2" x14ac:dyDescent="0.3">
      <c r="A861" s="105" t="s">
        <v>3614</v>
      </c>
      <c r="B861" s="106"/>
      <c r="C861" s="106"/>
      <c r="D861" s="106"/>
      <c r="E861" s="106" t="s">
        <v>3615</v>
      </c>
      <c r="F861" s="106" t="s">
        <v>3616</v>
      </c>
      <c r="G861" s="105">
        <v>4</v>
      </c>
      <c r="H861" s="106" t="s">
        <v>7</v>
      </c>
      <c r="I861" s="105" t="s">
        <v>39</v>
      </c>
      <c r="J861" s="105"/>
      <c r="K861" s="105"/>
      <c r="L861" s="105"/>
      <c r="M861" s="106" t="s">
        <v>3539</v>
      </c>
      <c r="N861" s="106" t="s">
        <v>40</v>
      </c>
      <c r="O861" s="107"/>
      <c r="P861" s="106" t="s">
        <v>3617</v>
      </c>
    </row>
    <row r="862" spans="1:16" outlineLevel="2" x14ac:dyDescent="0.3">
      <c r="A862" s="105" t="s">
        <v>3618</v>
      </c>
      <c r="B862" s="106"/>
      <c r="C862" s="106"/>
      <c r="D862" s="106"/>
      <c r="E862" s="106" t="s">
        <v>3619</v>
      </c>
      <c r="F862" s="106" t="s">
        <v>3620</v>
      </c>
      <c r="G862" s="105">
        <v>4</v>
      </c>
      <c r="H862" s="106" t="s">
        <v>7</v>
      </c>
      <c r="I862" s="105" t="s">
        <v>26</v>
      </c>
      <c r="J862" s="105"/>
      <c r="K862" s="105"/>
      <c r="L862" s="105"/>
      <c r="M862" s="106"/>
      <c r="N862" s="106" t="s">
        <v>287</v>
      </c>
      <c r="O862" s="107"/>
      <c r="P862" s="106"/>
    </row>
    <row r="863" spans="1:16" outlineLevel="2" x14ac:dyDescent="0.3">
      <c r="A863" s="105" t="s">
        <v>3621</v>
      </c>
      <c r="B863" s="106"/>
      <c r="C863" s="106"/>
      <c r="D863" s="106"/>
      <c r="E863" s="106" t="s">
        <v>3622</v>
      </c>
      <c r="F863" s="106" t="s">
        <v>3623</v>
      </c>
      <c r="G863" s="105">
        <v>4</v>
      </c>
      <c r="H863" s="106" t="s">
        <v>7</v>
      </c>
      <c r="I863" s="105" t="s">
        <v>26</v>
      </c>
      <c r="J863" s="105"/>
      <c r="K863" s="105"/>
      <c r="L863" s="105"/>
      <c r="M863" s="106"/>
      <c r="N863" s="106" t="s">
        <v>287</v>
      </c>
      <c r="O863" s="107"/>
      <c r="P863" s="106"/>
    </row>
    <row r="864" spans="1:16" outlineLevel="2" x14ac:dyDescent="0.3">
      <c r="A864" s="105" t="s">
        <v>3624</v>
      </c>
      <c r="B864" s="106"/>
      <c r="C864" s="106"/>
      <c r="D864" s="106"/>
      <c r="E864" s="106" t="s">
        <v>3625</v>
      </c>
      <c r="F864" s="106" t="s">
        <v>3626</v>
      </c>
      <c r="G864" s="105">
        <v>4</v>
      </c>
      <c r="H864" s="106" t="s">
        <v>7</v>
      </c>
      <c r="I864" s="105" t="s">
        <v>26</v>
      </c>
      <c r="J864" s="105"/>
      <c r="K864" s="105"/>
      <c r="L864" s="105"/>
      <c r="M864" s="106"/>
      <c r="N864" s="106" t="s">
        <v>287</v>
      </c>
      <c r="O864" s="107"/>
      <c r="P864" s="106"/>
    </row>
    <row r="865" spans="1:16" outlineLevel="2" x14ac:dyDescent="0.3">
      <c r="A865" s="105" t="s">
        <v>3627</v>
      </c>
      <c r="B865" s="106"/>
      <c r="C865" s="106"/>
      <c r="D865" s="106"/>
      <c r="E865" s="106" t="s">
        <v>3628</v>
      </c>
      <c r="F865" s="106" t="s">
        <v>3629</v>
      </c>
      <c r="G865" s="105">
        <v>4</v>
      </c>
      <c r="H865" s="106" t="s">
        <v>7</v>
      </c>
      <c r="I865" s="105" t="s">
        <v>26</v>
      </c>
      <c r="J865" s="105"/>
      <c r="K865" s="105"/>
      <c r="L865" s="105"/>
      <c r="M865" s="106" t="s">
        <v>3539</v>
      </c>
      <c r="N865" s="106" t="s">
        <v>223</v>
      </c>
      <c r="O865" s="107"/>
      <c r="P865" s="106" t="s">
        <v>3630</v>
      </c>
    </row>
    <row r="866" spans="1:16" outlineLevel="2" x14ac:dyDescent="0.3">
      <c r="A866" s="105" t="s">
        <v>3631</v>
      </c>
      <c r="B866" s="106"/>
      <c r="C866" s="106"/>
      <c r="D866" s="106"/>
      <c r="E866" s="106" t="s">
        <v>3632</v>
      </c>
      <c r="F866" s="106" t="s">
        <v>3633</v>
      </c>
      <c r="G866" s="105">
        <v>4</v>
      </c>
      <c r="H866" s="106" t="s">
        <v>7</v>
      </c>
      <c r="I866" s="105" t="s">
        <v>26</v>
      </c>
      <c r="J866" s="105"/>
      <c r="K866" s="105"/>
      <c r="L866" s="105"/>
      <c r="M866" s="106" t="s">
        <v>3539</v>
      </c>
      <c r="N866" s="106" t="s">
        <v>223</v>
      </c>
      <c r="O866" s="107"/>
      <c r="P866" s="106" t="s">
        <v>3634</v>
      </c>
    </row>
    <row r="867" spans="1:16" outlineLevel="2" x14ac:dyDescent="0.3">
      <c r="A867" s="105" t="s">
        <v>3635</v>
      </c>
      <c r="B867" s="106"/>
      <c r="C867" s="106"/>
      <c r="D867" s="106"/>
      <c r="E867" s="106" t="s">
        <v>3636</v>
      </c>
      <c r="F867" s="106" t="s">
        <v>3637</v>
      </c>
      <c r="G867" s="105">
        <v>4</v>
      </c>
      <c r="H867" s="106" t="s">
        <v>7</v>
      </c>
      <c r="I867" s="105" t="s">
        <v>26</v>
      </c>
      <c r="J867" s="105"/>
      <c r="K867" s="105"/>
      <c r="L867" s="105"/>
      <c r="M867" s="106"/>
      <c r="N867" s="106" t="s">
        <v>287</v>
      </c>
      <c r="O867" s="107"/>
      <c r="P867" s="106"/>
    </row>
    <row r="868" spans="1:16" outlineLevel="2" x14ac:dyDescent="0.3">
      <c r="A868" s="105" t="s">
        <v>3638</v>
      </c>
      <c r="B868" s="106"/>
      <c r="C868" s="106"/>
      <c r="D868" s="106"/>
      <c r="E868" s="106" t="s">
        <v>3639</v>
      </c>
      <c r="F868" s="106" t="s">
        <v>3640</v>
      </c>
      <c r="G868" s="105">
        <v>4</v>
      </c>
      <c r="H868" s="106" t="s">
        <v>7</v>
      </c>
      <c r="I868" s="105" t="s">
        <v>26</v>
      </c>
      <c r="J868" s="105"/>
      <c r="K868" s="105"/>
      <c r="L868" s="105"/>
      <c r="M868" s="106"/>
      <c r="N868" s="106" t="s">
        <v>287</v>
      </c>
      <c r="O868" s="107"/>
      <c r="P868" s="106"/>
    </row>
    <row r="869" spans="1:16" outlineLevel="2" x14ac:dyDescent="0.3">
      <c r="A869" s="105" t="s">
        <v>3641</v>
      </c>
      <c r="B869" s="106"/>
      <c r="C869" s="106"/>
      <c r="D869" s="106"/>
      <c r="E869" s="106" t="s">
        <v>3642</v>
      </c>
      <c r="F869" s="106" t="s">
        <v>3643</v>
      </c>
      <c r="G869" s="105">
        <v>4</v>
      </c>
      <c r="H869" s="106" t="s">
        <v>7</v>
      </c>
      <c r="I869" s="105" t="s">
        <v>26</v>
      </c>
      <c r="J869" s="105"/>
      <c r="K869" s="105"/>
      <c r="L869" s="105"/>
      <c r="M869" s="106"/>
      <c r="N869" s="106" t="s">
        <v>287</v>
      </c>
      <c r="O869" s="107"/>
      <c r="P869" s="106"/>
    </row>
    <row r="870" spans="1:16" outlineLevel="2" x14ac:dyDescent="0.3">
      <c r="A870" s="105" t="s">
        <v>3644</v>
      </c>
      <c r="B870" s="106"/>
      <c r="C870" s="106"/>
      <c r="D870" s="106"/>
      <c r="E870" s="106" t="s">
        <v>3645</v>
      </c>
      <c r="F870" s="106" t="s">
        <v>3646</v>
      </c>
      <c r="G870" s="105">
        <v>4</v>
      </c>
      <c r="H870" s="106" t="s">
        <v>7</v>
      </c>
      <c r="I870" s="105" t="s">
        <v>26</v>
      </c>
      <c r="J870" s="105"/>
      <c r="K870" s="105"/>
      <c r="L870" s="105"/>
      <c r="M870" s="106"/>
      <c r="N870" s="106" t="s">
        <v>287</v>
      </c>
      <c r="O870" s="107"/>
      <c r="P870" s="106"/>
    </row>
    <row r="871" spans="1:16" outlineLevel="2" x14ac:dyDescent="0.3">
      <c r="A871" s="105" t="s">
        <v>3647</v>
      </c>
      <c r="B871" s="106"/>
      <c r="C871" s="106"/>
      <c r="D871" s="106"/>
      <c r="E871" s="106" t="s">
        <v>3648</v>
      </c>
      <c r="F871" s="106" t="s">
        <v>3649</v>
      </c>
      <c r="G871" s="105">
        <v>4</v>
      </c>
      <c r="H871" s="106" t="s">
        <v>7</v>
      </c>
      <c r="I871" s="105" t="s">
        <v>39</v>
      </c>
      <c r="J871" s="105"/>
      <c r="K871" s="105"/>
      <c r="L871" s="105"/>
      <c r="M871" s="106" t="s">
        <v>3539</v>
      </c>
      <c r="N871" s="106" t="s">
        <v>40</v>
      </c>
      <c r="O871" s="107"/>
      <c r="P871" s="106" t="s">
        <v>3650</v>
      </c>
    </row>
    <row r="872" spans="1:16" outlineLevel="2" x14ac:dyDescent="0.3">
      <c r="A872" s="105" t="s">
        <v>3651</v>
      </c>
      <c r="B872" s="106"/>
      <c r="C872" s="106"/>
      <c r="D872" s="106"/>
      <c r="E872" s="106" t="s">
        <v>3652</v>
      </c>
      <c r="F872" s="106" t="s">
        <v>3653</v>
      </c>
      <c r="G872" s="105">
        <v>4</v>
      </c>
      <c r="H872" s="106" t="s">
        <v>7</v>
      </c>
      <c r="I872" s="105" t="s">
        <v>26</v>
      </c>
      <c r="J872" s="105"/>
      <c r="K872" s="105"/>
      <c r="L872" s="105"/>
      <c r="M872" s="106"/>
      <c r="N872" s="106" t="s">
        <v>287</v>
      </c>
      <c r="O872" s="107"/>
      <c r="P872" s="106"/>
    </row>
    <row r="873" spans="1:16" outlineLevel="2" x14ac:dyDescent="0.3">
      <c r="A873" s="105" t="s">
        <v>3654</v>
      </c>
      <c r="B873" s="106"/>
      <c r="C873" s="106"/>
      <c r="D873" s="106"/>
      <c r="E873" s="106" t="s">
        <v>3655</v>
      </c>
      <c r="F873" s="106" t="s">
        <v>3656</v>
      </c>
      <c r="G873" s="105">
        <v>4</v>
      </c>
      <c r="H873" s="106" t="s">
        <v>7</v>
      </c>
      <c r="I873" s="105" t="s">
        <v>26</v>
      </c>
      <c r="J873" s="105"/>
      <c r="K873" s="105"/>
      <c r="L873" s="105"/>
      <c r="M873" s="106"/>
      <c r="N873" s="106" t="s">
        <v>287</v>
      </c>
      <c r="O873" s="107"/>
      <c r="P873" s="106"/>
    </row>
    <row r="874" spans="1:16" outlineLevel="2" x14ac:dyDescent="0.3">
      <c r="A874" s="105" t="s">
        <v>3657</v>
      </c>
      <c r="B874" s="106"/>
      <c r="C874" s="106"/>
      <c r="D874" s="106"/>
      <c r="E874" s="106" t="s">
        <v>3658</v>
      </c>
      <c r="F874" s="106" t="s">
        <v>3659</v>
      </c>
      <c r="G874" s="105">
        <v>4</v>
      </c>
      <c r="H874" s="106" t="s">
        <v>7</v>
      </c>
      <c r="I874" s="105" t="s">
        <v>26</v>
      </c>
      <c r="J874" s="105"/>
      <c r="K874" s="105"/>
      <c r="L874" s="105"/>
      <c r="M874" s="106"/>
      <c r="N874" s="106" t="s">
        <v>287</v>
      </c>
      <c r="O874" s="107"/>
      <c r="P874" s="106"/>
    </row>
    <row r="875" spans="1:16" outlineLevel="2" x14ac:dyDescent="0.3">
      <c r="A875" s="105" t="s">
        <v>3660</v>
      </c>
      <c r="B875" s="106"/>
      <c r="C875" s="106"/>
      <c r="D875" s="106"/>
      <c r="E875" s="106" t="s">
        <v>3661</v>
      </c>
      <c r="F875" s="106" t="s">
        <v>3662</v>
      </c>
      <c r="G875" s="105">
        <v>4</v>
      </c>
      <c r="H875" s="106" t="s">
        <v>7</v>
      </c>
      <c r="I875" s="105" t="s">
        <v>26</v>
      </c>
      <c r="J875" s="105"/>
      <c r="K875" s="105"/>
      <c r="L875" s="105"/>
      <c r="M875" s="106"/>
      <c r="N875" s="106" t="s">
        <v>287</v>
      </c>
      <c r="O875" s="107"/>
      <c r="P875" s="106"/>
    </row>
    <row r="876" spans="1:16" outlineLevel="2" x14ac:dyDescent="0.3">
      <c r="A876" s="105" t="s">
        <v>3663</v>
      </c>
      <c r="B876" s="106"/>
      <c r="C876" s="106"/>
      <c r="D876" s="106"/>
      <c r="E876" s="106" t="s">
        <v>3664</v>
      </c>
      <c r="F876" s="106" t="s">
        <v>3665</v>
      </c>
      <c r="G876" s="105">
        <v>4</v>
      </c>
      <c r="H876" s="106" t="s">
        <v>7</v>
      </c>
      <c r="I876" s="105" t="s">
        <v>26</v>
      </c>
      <c r="J876" s="105"/>
      <c r="K876" s="105"/>
      <c r="L876" s="105"/>
      <c r="M876" s="106"/>
      <c r="N876" s="106" t="s">
        <v>287</v>
      </c>
      <c r="O876" s="107"/>
      <c r="P876" s="106"/>
    </row>
    <row r="877" spans="1:16" outlineLevel="2" x14ac:dyDescent="0.3">
      <c r="A877" s="105" t="s">
        <v>3666</v>
      </c>
      <c r="B877" s="106"/>
      <c r="C877" s="106"/>
      <c r="D877" s="106"/>
      <c r="E877" s="106" t="s">
        <v>3667</v>
      </c>
      <c r="F877" s="106" t="s">
        <v>3668</v>
      </c>
      <c r="G877" s="105">
        <v>4</v>
      </c>
      <c r="H877" s="106" t="s">
        <v>7</v>
      </c>
      <c r="I877" s="105" t="s">
        <v>26</v>
      </c>
      <c r="J877" s="105"/>
      <c r="K877" s="105"/>
      <c r="L877" s="105"/>
      <c r="M877" s="106"/>
      <c r="N877" s="106" t="s">
        <v>287</v>
      </c>
      <c r="O877" s="107"/>
      <c r="P877" s="106"/>
    </row>
    <row r="878" spans="1:16" outlineLevel="2" x14ac:dyDescent="0.3">
      <c r="A878" s="105" t="s">
        <v>3669</v>
      </c>
      <c r="B878" s="106"/>
      <c r="C878" s="106"/>
      <c r="D878" s="106"/>
      <c r="E878" s="106" t="s">
        <v>3670</v>
      </c>
      <c r="F878" s="106" t="s">
        <v>3671</v>
      </c>
      <c r="G878" s="105">
        <v>4</v>
      </c>
      <c r="H878" s="106" t="s">
        <v>7</v>
      </c>
      <c r="I878" s="105" t="s">
        <v>26</v>
      </c>
      <c r="J878" s="105"/>
      <c r="K878" s="105"/>
      <c r="L878" s="105"/>
      <c r="M878" s="106"/>
      <c r="N878" s="106" t="s">
        <v>287</v>
      </c>
      <c r="O878" s="107"/>
      <c r="P878" s="106"/>
    </row>
    <row r="879" spans="1:16" outlineLevel="1" x14ac:dyDescent="0.3">
      <c r="A879" s="165" t="s">
        <v>3672</v>
      </c>
      <c r="B879" s="166"/>
      <c r="C879" s="175" t="s">
        <v>3673</v>
      </c>
      <c r="D879" s="176"/>
      <c r="E879" s="166"/>
      <c r="F879" s="166"/>
      <c r="G879" s="165">
        <v>2</v>
      </c>
      <c r="H879" s="176" t="s">
        <v>396</v>
      </c>
      <c r="I879" s="165" t="s">
        <v>3470</v>
      </c>
      <c r="J879" s="165">
        <v>2</v>
      </c>
      <c r="K879" s="165">
        <v>0</v>
      </c>
      <c r="L879" s="165">
        <v>0</v>
      </c>
      <c r="M879" s="168" t="s">
        <v>3674</v>
      </c>
      <c r="N879" s="168" t="s">
        <v>287</v>
      </c>
      <c r="O879" s="169"/>
      <c r="P879" s="168"/>
    </row>
    <row r="880" spans="1:16" outlineLevel="2" x14ac:dyDescent="0.3">
      <c r="A880" s="105" t="s">
        <v>3675</v>
      </c>
      <c r="B880" s="106"/>
      <c r="C880" s="106"/>
      <c r="D880" s="106"/>
      <c r="E880" s="106" t="s">
        <v>3676</v>
      </c>
      <c r="F880" s="106" t="s">
        <v>3677</v>
      </c>
      <c r="G880" s="105">
        <v>4</v>
      </c>
      <c r="H880" s="106" t="s">
        <v>7</v>
      </c>
      <c r="I880" s="105" t="s">
        <v>3470</v>
      </c>
      <c r="J880" s="105"/>
      <c r="K880" s="105"/>
      <c r="L880" s="105"/>
      <c r="M880" s="106"/>
      <c r="N880" s="106" t="s">
        <v>287</v>
      </c>
      <c r="O880" s="107"/>
      <c r="P880" s="106" t="s">
        <v>3678</v>
      </c>
    </row>
    <row r="881" spans="1:16" outlineLevel="2" x14ac:dyDescent="0.3">
      <c r="A881" s="105" t="s">
        <v>3679</v>
      </c>
      <c r="B881" s="106"/>
      <c r="C881" s="106"/>
      <c r="D881" s="106"/>
      <c r="E881" s="106" t="s">
        <v>3680</v>
      </c>
      <c r="F881" s="106" t="s">
        <v>3681</v>
      </c>
      <c r="G881" s="105">
        <v>4</v>
      </c>
      <c r="H881" s="106" t="s">
        <v>7</v>
      </c>
      <c r="I881" s="105" t="s">
        <v>3470</v>
      </c>
      <c r="J881" s="105"/>
      <c r="K881" s="105"/>
      <c r="L881" s="105"/>
      <c r="M881" s="106"/>
      <c r="N881" s="106" t="s">
        <v>287</v>
      </c>
      <c r="O881" s="107"/>
      <c r="P881" s="106" t="s">
        <v>3682</v>
      </c>
    </row>
    <row r="882" spans="1:16" x14ac:dyDescent="0.3">
      <c r="A882" s="177" t="s">
        <v>3683</v>
      </c>
      <c r="B882" s="178" t="s">
        <v>3684</v>
      </c>
      <c r="C882" s="179" t="str">
        <f>COUNTIFS($G883:$G920,2)&amp;" subcapas"</f>
        <v>2 subcapas</v>
      </c>
      <c r="D882" s="178"/>
      <c r="E882" s="178"/>
      <c r="F882" s="178"/>
      <c r="G882" s="177">
        <v>1</v>
      </c>
      <c r="H882" s="178" t="s">
        <v>2</v>
      </c>
      <c r="I882" s="177"/>
      <c r="J882" s="180">
        <f>SUMIFS(J883:J920,$G883:$G920,2)</f>
        <v>33</v>
      </c>
      <c r="K882" s="180">
        <f>SUMIFS(K883:K920,$G883:$G920,2)</f>
        <v>3</v>
      </c>
      <c r="L882" s="180">
        <f>SUMIFS(L883:L920,$G883:$G920,2)</f>
        <v>30</v>
      </c>
      <c r="M882" s="181" t="s">
        <v>3685</v>
      </c>
      <c r="N882" s="178"/>
      <c r="O882" s="178"/>
      <c r="P882" s="178" t="s">
        <v>3381</v>
      </c>
    </row>
    <row r="883" spans="1:16" ht="27.6" outlineLevel="1" x14ac:dyDescent="0.3">
      <c r="A883" s="182" t="s">
        <v>3686</v>
      </c>
      <c r="B883" s="183"/>
      <c r="C883" s="184" t="s">
        <v>3687</v>
      </c>
      <c r="D883" s="183"/>
      <c r="E883" s="183"/>
      <c r="F883" s="183"/>
      <c r="G883" s="182">
        <v>2</v>
      </c>
      <c r="H883" s="183" t="s">
        <v>25</v>
      </c>
      <c r="I883" s="182" t="s">
        <v>39</v>
      </c>
      <c r="J883" s="182">
        <v>23</v>
      </c>
      <c r="K883" s="182">
        <v>1</v>
      </c>
      <c r="L883" s="182">
        <v>20</v>
      </c>
      <c r="M883" s="185" t="s">
        <v>3688</v>
      </c>
      <c r="N883" s="185" t="s">
        <v>223</v>
      </c>
      <c r="O883" s="186"/>
      <c r="P883" s="185" t="s">
        <v>3689</v>
      </c>
    </row>
    <row r="884" spans="1:16" outlineLevel="2" x14ac:dyDescent="0.3">
      <c r="A884" s="105" t="s">
        <v>3690</v>
      </c>
      <c r="B884" s="106"/>
      <c r="C884" s="106"/>
      <c r="D884" s="106"/>
      <c r="E884" s="106" t="s">
        <v>3691</v>
      </c>
      <c r="F884" s="106" t="s">
        <v>3692</v>
      </c>
      <c r="G884" s="105">
        <v>4</v>
      </c>
      <c r="H884" s="106" t="s">
        <v>7</v>
      </c>
      <c r="I884" s="105" t="s">
        <v>39</v>
      </c>
      <c r="J884" s="105"/>
      <c r="K884" s="105"/>
      <c r="L884" s="105"/>
      <c r="M884" s="106" t="s">
        <v>3693</v>
      </c>
      <c r="N884" s="106" t="s">
        <v>40</v>
      </c>
      <c r="O884" s="107"/>
      <c r="P884" s="106" t="s">
        <v>3694</v>
      </c>
    </row>
    <row r="885" spans="1:16" outlineLevel="2" x14ac:dyDescent="0.3">
      <c r="A885" s="105" t="s">
        <v>3695</v>
      </c>
      <c r="B885" s="106"/>
      <c r="C885" s="106"/>
      <c r="D885" s="106"/>
      <c r="E885" s="106" t="s">
        <v>3696</v>
      </c>
      <c r="F885" s="106" t="s">
        <v>3697</v>
      </c>
      <c r="G885" s="105">
        <v>4</v>
      </c>
      <c r="H885" s="106" t="s">
        <v>7</v>
      </c>
      <c r="I885" s="105" t="s">
        <v>39</v>
      </c>
      <c r="J885" s="105"/>
      <c r="K885" s="105"/>
      <c r="L885" s="105"/>
      <c r="M885" s="106" t="s">
        <v>3698</v>
      </c>
      <c r="N885" s="106" t="s">
        <v>40</v>
      </c>
      <c r="O885" s="107"/>
      <c r="P885" s="106" t="s">
        <v>3699</v>
      </c>
    </row>
    <row r="886" spans="1:16" outlineLevel="2" x14ac:dyDescent="0.3">
      <c r="A886" s="105" t="s">
        <v>3700</v>
      </c>
      <c r="B886" s="106"/>
      <c r="C886" s="106"/>
      <c r="D886" s="106"/>
      <c r="E886" s="106" t="s">
        <v>3701</v>
      </c>
      <c r="F886" s="106" t="s">
        <v>3702</v>
      </c>
      <c r="G886" s="105">
        <v>4</v>
      </c>
      <c r="H886" s="106" t="s">
        <v>7</v>
      </c>
      <c r="I886" s="105" t="s">
        <v>39</v>
      </c>
      <c r="J886" s="105"/>
      <c r="K886" s="105"/>
      <c r="L886" s="105"/>
      <c r="M886" s="106"/>
      <c r="N886" s="106" t="s">
        <v>287</v>
      </c>
      <c r="O886" s="107"/>
      <c r="P886" s="106" t="s">
        <v>3703</v>
      </c>
    </row>
    <row r="887" spans="1:16" outlineLevel="2" x14ac:dyDescent="0.3">
      <c r="A887" s="105" t="s">
        <v>3704</v>
      </c>
      <c r="B887" s="106"/>
      <c r="C887" s="106"/>
      <c r="D887" s="106"/>
      <c r="E887" s="106" t="s">
        <v>3705</v>
      </c>
      <c r="F887" s="106" t="s">
        <v>3706</v>
      </c>
      <c r="G887" s="105">
        <v>4</v>
      </c>
      <c r="H887" s="106" t="s">
        <v>7</v>
      </c>
      <c r="I887" s="105" t="s">
        <v>39</v>
      </c>
      <c r="J887" s="105"/>
      <c r="K887" s="105"/>
      <c r="L887" s="105"/>
      <c r="M887" s="106" t="s">
        <v>3707</v>
      </c>
      <c r="N887" s="106" t="s">
        <v>40</v>
      </c>
      <c r="O887" s="107"/>
      <c r="P887" s="106" t="s">
        <v>3708</v>
      </c>
    </row>
    <row r="888" spans="1:16" outlineLevel="2" x14ac:dyDescent="0.3">
      <c r="A888" s="105" t="s">
        <v>3709</v>
      </c>
      <c r="B888" s="106"/>
      <c r="C888" s="106"/>
      <c r="D888" s="106"/>
      <c r="E888" s="106" t="s">
        <v>3710</v>
      </c>
      <c r="F888" s="106" t="s">
        <v>3711</v>
      </c>
      <c r="G888" s="105">
        <v>4</v>
      </c>
      <c r="H888" s="106" t="s">
        <v>7</v>
      </c>
      <c r="I888" s="105" t="s">
        <v>39</v>
      </c>
      <c r="J888" s="105"/>
      <c r="K888" s="105"/>
      <c r="L888" s="105"/>
      <c r="M888" s="106" t="s">
        <v>3712</v>
      </c>
      <c r="N888" s="106" t="s">
        <v>287</v>
      </c>
      <c r="O888" s="107"/>
      <c r="P888" s="106" t="s">
        <v>3713</v>
      </c>
    </row>
    <row r="889" spans="1:16" outlineLevel="2" x14ac:dyDescent="0.3">
      <c r="A889" s="105" t="s">
        <v>3714</v>
      </c>
      <c r="B889" s="106"/>
      <c r="C889" s="106"/>
      <c r="D889" s="106"/>
      <c r="E889" s="106" t="s">
        <v>3715</v>
      </c>
      <c r="F889" s="106" t="s">
        <v>3716</v>
      </c>
      <c r="G889" s="105">
        <v>4</v>
      </c>
      <c r="H889" s="106" t="s">
        <v>7</v>
      </c>
      <c r="I889" s="105" t="s">
        <v>39</v>
      </c>
      <c r="J889" s="105"/>
      <c r="K889" s="105"/>
      <c r="L889" s="105"/>
      <c r="M889" s="106" t="s">
        <v>3717</v>
      </c>
      <c r="N889" s="106" t="s">
        <v>40</v>
      </c>
      <c r="O889" s="107"/>
      <c r="P889" s="106" t="s">
        <v>3718</v>
      </c>
    </row>
    <row r="890" spans="1:16" outlineLevel="2" x14ac:dyDescent="0.3">
      <c r="A890" s="105" t="s">
        <v>3719</v>
      </c>
      <c r="B890" s="106"/>
      <c r="C890" s="106"/>
      <c r="D890" s="106"/>
      <c r="E890" s="106" t="s">
        <v>3720</v>
      </c>
      <c r="F890" s="106" t="s">
        <v>3721</v>
      </c>
      <c r="G890" s="105">
        <v>4</v>
      </c>
      <c r="H890" s="106" t="s">
        <v>7</v>
      </c>
      <c r="I890" s="105" t="s">
        <v>39</v>
      </c>
      <c r="J890" s="105"/>
      <c r="K890" s="105"/>
      <c r="L890" s="105"/>
      <c r="M890" s="106" t="s">
        <v>3722</v>
      </c>
      <c r="N890" s="106" t="s">
        <v>287</v>
      </c>
      <c r="O890" s="107"/>
      <c r="P890" s="106"/>
    </row>
    <row r="891" spans="1:16" outlineLevel="2" x14ac:dyDescent="0.3">
      <c r="A891" s="105" t="s">
        <v>3723</v>
      </c>
      <c r="B891" s="106"/>
      <c r="C891" s="106"/>
      <c r="D891" s="106"/>
      <c r="E891" s="106" t="s">
        <v>3724</v>
      </c>
      <c r="F891" s="106" t="s">
        <v>13</v>
      </c>
      <c r="G891" s="105">
        <v>4</v>
      </c>
      <c r="H891" s="106" t="s">
        <v>7</v>
      </c>
      <c r="I891" s="105"/>
      <c r="J891" s="105"/>
      <c r="K891" s="105"/>
      <c r="L891" s="105"/>
      <c r="M891" s="106"/>
      <c r="N891" s="106" t="s">
        <v>40</v>
      </c>
      <c r="O891" s="107" t="s">
        <v>447</v>
      </c>
      <c r="P891" s="106" t="s">
        <v>3725</v>
      </c>
    </row>
    <row r="892" spans="1:16" outlineLevel="2" x14ac:dyDescent="0.3">
      <c r="A892" s="105" t="s">
        <v>3726</v>
      </c>
      <c r="B892" s="106"/>
      <c r="C892" s="106"/>
      <c r="D892" s="106"/>
      <c r="E892" s="106" t="s">
        <v>3727</v>
      </c>
      <c r="F892" s="106" t="s">
        <v>3728</v>
      </c>
      <c r="G892" s="105">
        <v>4</v>
      </c>
      <c r="H892" s="106" t="s">
        <v>7</v>
      </c>
      <c r="I892" s="105" t="s">
        <v>39</v>
      </c>
      <c r="J892" s="105"/>
      <c r="K892" s="105"/>
      <c r="L892" s="105"/>
      <c r="M892" s="106" t="s">
        <v>3729</v>
      </c>
      <c r="N892" s="106" t="s">
        <v>40</v>
      </c>
      <c r="O892" s="107"/>
      <c r="P892" s="106" t="s">
        <v>3730</v>
      </c>
    </row>
    <row r="893" spans="1:16" outlineLevel="2" x14ac:dyDescent="0.3">
      <c r="A893" s="105" t="s">
        <v>3731</v>
      </c>
      <c r="B893" s="106"/>
      <c r="C893" s="106"/>
      <c r="D893" s="106"/>
      <c r="E893" s="106" t="s">
        <v>3732</v>
      </c>
      <c r="F893" s="106" t="s">
        <v>3733</v>
      </c>
      <c r="G893" s="105">
        <v>4</v>
      </c>
      <c r="H893" s="106" t="s">
        <v>7</v>
      </c>
      <c r="I893" s="105" t="s">
        <v>39</v>
      </c>
      <c r="J893" s="105"/>
      <c r="K893" s="105"/>
      <c r="L893" s="105"/>
      <c r="M893" s="106"/>
      <c r="N893" s="106" t="s">
        <v>287</v>
      </c>
      <c r="O893" s="107"/>
      <c r="P893" s="106" t="s">
        <v>3734</v>
      </c>
    </row>
    <row r="894" spans="1:16" outlineLevel="2" x14ac:dyDescent="0.3">
      <c r="A894" s="105" t="s">
        <v>3735</v>
      </c>
      <c r="B894" s="106"/>
      <c r="C894" s="106"/>
      <c r="D894" s="106"/>
      <c r="E894" s="106" t="s">
        <v>3736</v>
      </c>
      <c r="F894" s="106" t="s">
        <v>3737</v>
      </c>
      <c r="G894" s="105">
        <v>4</v>
      </c>
      <c r="H894" s="106" t="s">
        <v>7</v>
      </c>
      <c r="I894" s="105" t="s">
        <v>39</v>
      </c>
      <c r="J894" s="105"/>
      <c r="K894" s="105"/>
      <c r="L894" s="105"/>
      <c r="M894" s="106" t="s">
        <v>3738</v>
      </c>
      <c r="N894" s="106" t="s">
        <v>40</v>
      </c>
      <c r="O894" s="107"/>
      <c r="P894" s="106" t="s">
        <v>3739</v>
      </c>
    </row>
    <row r="895" spans="1:16" outlineLevel="2" x14ac:dyDescent="0.3">
      <c r="A895" s="105" t="s">
        <v>3740</v>
      </c>
      <c r="B895" s="106"/>
      <c r="C895" s="106"/>
      <c r="D895" s="106"/>
      <c r="E895" s="106" t="s">
        <v>3741</v>
      </c>
      <c r="F895" s="106" t="s">
        <v>3742</v>
      </c>
      <c r="G895" s="105">
        <v>4</v>
      </c>
      <c r="H895" s="106" t="s">
        <v>7</v>
      </c>
      <c r="I895" s="105" t="s">
        <v>39</v>
      </c>
      <c r="J895" s="105"/>
      <c r="K895" s="105"/>
      <c r="L895" s="105"/>
      <c r="M895" s="106" t="s">
        <v>3743</v>
      </c>
      <c r="N895" s="106" t="s">
        <v>40</v>
      </c>
      <c r="O895" s="107" t="s">
        <v>332</v>
      </c>
      <c r="P895" s="106" t="s">
        <v>3744</v>
      </c>
    </row>
    <row r="896" spans="1:16" outlineLevel="2" x14ac:dyDescent="0.3">
      <c r="A896" s="105" t="s">
        <v>3745</v>
      </c>
      <c r="B896" s="106"/>
      <c r="C896" s="106"/>
      <c r="D896" s="106"/>
      <c r="E896" s="106" t="s">
        <v>3746</v>
      </c>
      <c r="F896" s="106" t="s">
        <v>3747</v>
      </c>
      <c r="G896" s="105">
        <v>4</v>
      </c>
      <c r="H896" s="106" t="s">
        <v>7</v>
      </c>
      <c r="I896" s="105" t="s">
        <v>39</v>
      </c>
      <c r="J896" s="105"/>
      <c r="K896" s="105"/>
      <c r="L896" s="105"/>
      <c r="M896" s="106" t="s">
        <v>3748</v>
      </c>
      <c r="N896" s="106" t="s">
        <v>40</v>
      </c>
      <c r="O896" s="107"/>
      <c r="P896" s="106" t="s">
        <v>3749</v>
      </c>
    </row>
    <row r="897" spans="1:16" outlineLevel="2" x14ac:dyDescent="0.3">
      <c r="A897" s="105" t="s">
        <v>3750</v>
      </c>
      <c r="B897" s="106"/>
      <c r="C897" s="106"/>
      <c r="D897" s="106"/>
      <c r="E897" s="106" t="s">
        <v>3751</v>
      </c>
      <c r="F897" s="106" t="s">
        <v>3752</v>
      </c>
      <c r="G897" s="105">
        <v>4</v>
      </c>
      <c r="H897" s="106" t="s">
        <v>7</v>
      </c>
      <c r="I897" s="105" t="s">
        <v>39</v>
      </c>
      <c r="J897" s="105"/>
      <c r="K897" s="105"/>
      <c r="L897" s="105"/>
      <c r="M897" s="106" t="s">
        <v>3753</v>
      </c>
      <c r="N897" s="106" t="s">
        <v>40</v>
      </c>
      <c r="O897" s="107"/>
      <c r="P897" s="106" t="s">
        <v>3754</v>
      </c>
    </row>
    <row r="898" spans="1:16" outlineLevel="2" x14ac:dyDescent="0.3">
      <c r="A898" s="105" t="s">
        <v>3755</v>
      </c>
      <c r="B898" s="106"/>
      <c r="C898" s="106"/>
      <c r="D898" s="106"/>
      <c r="E898" s="106" t="s">
        <v>3756</v>
      </c>
      <c r="F898" s="106" t="s">
        <v>3757</v>
      </c>
      <c r="G898" s="105">
        <v>4</v>
      </c>
      <c r="H898" s="106" t="s">
        <v>7</v>
      </c>
      <c r="I898" s="105" t="s">
        <v>39</v>
      </c>
      <c r="J898" s="105"/>
      <c r="K898" s="105"/>
      <c r="L898" s="105"/>
      <c r="M898" s="106" t="s">
        <v>3758</v>
      </c>
      <c r="N898" s="106" t="s">
        <v>223</v>
      </c>
      <c r="O898" s="107"/>
      <c r="P898" s="106" t="s">
        <v>3759</v>
      </c>
    </row>
    <row r="899" spans="1:16" outlineLevel="2" x14ac:dyDescent="0.3">
      <c r="A899" s="105" t="s">
        <v>3760</v>
      </c>
      <c r="B899" s="106"/>
      <c r="C899" s="106"/>
      <c r="D899" s="106"/>
      <c r="E899" s="106" t="s">
        <v>3761</v>
      </c>
      <c r="F899" s="106" t="s">
        <v>3762</v>
      </c>
      <c r="G899" s="105">
        <v>4</v>
      </c>
      <c r="H899" s="106" t="s">
        <v>7</v>
      </c>
      <c r="I899" s="105" t="s">
        <v>39</v>
      </c>
      <c r="J899" s="105"/>
      <c r="K899" s="105"/>
      <c r="L899" s="105"/>
      <c r="M899" s="106" t="s">
        <v>3763</v>
      </c>
      <c r="N899" s="106" t="s">
        <v>40</v>
      </c>
      <c r="O899" s="107"/>
      <c r="P899" s="106" t="s">
        <v>3764</v>
      </c>
    </row>
    <row r="900" spans="1:16" outlineLevel="2" x14ac:dyDescent="0.3">
      <c r="A900" s="105" t="s">
        <v>3765</v>
      </c>
      <c r="B900" s="106"/>
      <c r="C900" s="106"/>
      <c r="D900" s="106"/>
      <c r="E900" s="106" t="s">
        <v>3766</v>
      </c>
      <c r="F900" s="106" t="s">
        <v>3767</v>
      </c>
      <c r="G900" s="105">
        <v>4</v>
      </c>
      <c r="H900" s="106" t="s">
        <v>7</v>
      </c>
      <c r="I900" s="105" t="s">
        <v>39</v>
      </c>
      <c r="J900" s="105"/>
      <c r="K900" s="105"/>
      <c r="L900" s="105"/>
      <c r="M900" s="106" t="s">
        <v>3768</v>
      </c>
      <c r="N900" s="106" t="s">
        <v>40</v>
      </c>
      <c r="O900" s="107"/>
      <c r="P900" s="106" t="s">
        <v>3769</v>
      </c>
    </row>
    <row r="901" spans="1:16" outlineLevel="2" x14ac:dyDescent="0.3">
      <c r="A901" s="105" t="s">
        <v>3770</v>
      </c>
      <c r="B901" s="106"/>
      <c r="C901" s="106"/>
      <c r="D901" s="106"/>
      <c r="E901" s="106" t="s">
        <v>3771</v>
      </c>
      <c r="F901" s="106" t="s">
        <v>3772</v>
      </c>
      <c r="G901" s="105">
        <v>4</v>
      </c>
      <c r="H901" s="106" t="s">
        <v>7</v>
      </c>
      <c r="I901" s="105" t="s">
        <v>39</v>
      </c>
      <c r="J901" s="105"/>
      <c r="K901" s="105"/>
      <c r="L901" s="105"/>
      <c r="M901" s="106" t="s">
        <v>3773</v>
      </c>
      <c r="N901" s="106" t="s">
        <v>40</v>
      </c>
      <c r="O901" s="107"/>
      <c r="P901" s="106" t="s">
        <v>3774</v>
      </c>
    </row>
    <row r="902" spans="1:16" outlineLevel="2" x14ac:dyDescent="0.3">
      <c r="A902" s="105" t="s">
        <v>3775</v>
      </c>
      <c r="B902" s="106"/>
      <c r="C902" s="106"/>
      <c r="D902" s="106"/>
      <c r="E902" s="106" t="s">
        <v>3776</v>
      </c>
      <c r="F902" s="106" t="s">
        <v>3777</v>
      </c>
      <c r="G902" s="105">
        <v>4</v>
      </c>
      <c r="H902" s="106" t="s">
        <v>7</v>
      </c>
      <c r="I902" s="105" t="s">
        <v>39</v>
      </c>
      <c r="J902" s="105"/>
      <c r="K902" s="105"/>
      <c r="L902" s="105"/>
      <c r="M902" s="106" t="s">
        <v>3778</v>
      </c>
      <c r="N902" s="106" t="s">
        <v>40</v>
      </c>
      <c r="O902" s="107"/>
      <c r="P902" s="106" t="s">
        <v>3779</v>
      </c>
    </row>
    <row r="903" spans="1:16" outlineLevel="2" x14ac:dyDescent="0.3">
      <c r="A903" s="105" t="s">
        <v>3780</v>
      </c>
      <c r="B903" s="106"/>
      <c r="C903" s="106"/>
      <c r="D903" s="106"/>
      <c r="E903" s="106" t="s">
        <v>3781</v>
      </c>
      <c r="F903" s="106" t="s">
        <v>3782</v>
      </c>
      <c r="G903" s="105">
        <v>4</v>
      </c>
      <c r="H903" s="106" t="s">
        <v>7</v>
      </c>
      <c r="I903" s="105" t="s">
        <v>39</v>
      </c>
      <c r="J903" s="105"/>
      <c r="K903" s="105"/>
      <c r="L903" s="105"/>
      <c r="M903" s="106" t="s">
        <v>3783</v>
      </c>
      <c r="N903" s="106" t="s">
        <v>40</v>
      </c>
      <c r="O903" s="107"/>
      <c r="P903" s="106" t="s">
        <v>3784</v>
      </c>
    </row>
    <row r="904" spans="1:16" outlineLevel="2" x14ac:dyDescent="0.3">
      <c r="A904" s="105" t="s">
        <v>3785</v>
      </c>
      <c r="B904" s="106"/>
      <c r="C904" s="106"/>
      <c r="D904" s="106"/>
      <c r="E904" s="106" t="s">
        <v>3786</v>
      </c>
      <c r="F904" s="106" t="s">
        <v>3787</v>
      </c>
      <c r="G904" s="105">
        <v>4</v>
      </c>
      <c r="H904" s="106" t="s">
        <v>7</v>
      </c>
      <c r="I904" s="105" t="s">
        <v>39</v>
      </c>
      <c r="J904" s="105"/>
      <c r="K904" s="105"/>
      <c r="L904" s="105"/>
      <c r="M904" s="106" t="s">
        <v>3788</v>
      </c>
      <c r="N904" s="106" t="s">
        <v>40</v>
      </c>
      <c r="O904" s="107"/>
      <c r="P904" s="106" t="s">
        <v>3789</v>
      </c>
    </row>
    <row r="905" spans="1:16" outlineLevel="2" x14ac:dyDescent="0.3">
      <c r="A905" s="105" t="s">
        <v>3790</v>
      </c>
      <c r="B905" s="106"/>
      <c r="C905" s="106"/>
      <c r="D905" s="106"/>
      <c r="E905" s="106" t="s">
        <v>3791</v>
      </c>
      <c r="F905" s="106" t="s">
        <v>3792</v>
      </c>
      <c r="G905" s="105">
        <v>4</v>
      </c>
      <c r="H905" s="106" t="s">
        <v>7</v>
      </c>
      <c r="I905" s="105" t="s">
        <v>39</v>
      </c>
      <c r="J905" s="105"/>
      <c r="K905" s="105"/>
      <c r="L905" s="105"/>
      <c r="M905" s="106" t="s">
        <v>3793</v>
      </c>
      <c r="N905" s="106" t="s">
        <v>40</v>
      </c>
      <c r="O905" s="107"/>
      <c r="P905" s="106" t="s">
        <v>3794</v>
      </c>
    </row>
    <row r="906" spans="1:16" outlineLevel="2" x14ac:dyDescent="0.3">
      <c r="A906" s="105" t="s">
        <v>3795</v>
      </c>
      <c r="B906" s="106"/>
      <c r="C906" s="106"/>
      <c r="D906" s="106"/>
      <c r="E906" s="106" t="s">
        <v>3796</v>
      </c>
      <c r="F906" s="106" t="s">
        <v>3797</v>
      </c>
      <c r="G906" s="105">
        <v>4</v>
      </c>
      <c r="H906" s="106" t="s">
        <v>7</v>
      </c>
      <c r="I906" s="105" t="s">
        <v>39</v>
      </c>
      <c r="J906" s="105"/>
      <c r="K906" s="105"/>
      <c r="L906" s="105"/>
      <c r="M906" s="106" t="s">
        <v>3798</v>
      </c>
      <c r="N906" s="106" t="s">
        <v>223</v>
      </c>
      <c r="O906" s="107"/>
      <c r="P906" s="106" t="s">
        <v>3799</v>
      </c>
    </row>
    <row r="907" spans="1:16" outlineLevel="2" x14ac:dyDescent="0.3">
      <c r="A907" s="105" t="s">
        <v>3800</v>
      </c>
      <c r="B907" s="106"/>
      <c r="C907" s="106"/>
      <c r="D907" s="106"/>
      <c r="E907" s="106" t="s">
        <v>3801</v>
      </c>
      <c r="F907" s="106" t="s">
        <v>3802</v>
      </c>
      <c r="G907" s="105">
        <v>4</v>
      </c>
      <c r="H907" s="106" t="s">
        <v>7</v>
      </c>
      <c r="I907" s="105" t="s">
        <v>39</v>
      </c>
      <c r="J907" s="105"/>
      <c r="K907" s="105"/>
      <c r="L907" s="105"/>
      <c r="M907" s="106" t="s">
        <v>3803</v>
      </c>
      <c r="N907" s="106" t="s">
        <v>40</v>
      </c>
      <c r="O907" s="107"/>
      <c r="P907" s="106" t="s">
        <v>3804</v>
      </c>
    </row>
    <row r="908" spans="1:16" ht="27.6" outlineLevel="1" x14ac:dyDescent="0.3">
      <c r="A908" s="182" t="s">
        <v>3805</v>
      </c>
      <c r="B908" s="183"/>
      <c r="C908" s="184" t="s">
        <v>3806</v>
      </c>
      <c r="D908" s="183"/>
      <c r="E908" s="183"/>
      <c r="F908" s="183"/>
      <c r="G908" s="182">
        <v>2</v>
      </c>
      <c r="H908" s="183" t="s">
        <v>25</v>
      </c>
      <c r="I908" s="182" t="s">
        <v>39</v>
      </c>
      <c r="J908" s="182">
        <v>10</v>
      </c>
      <c r="K908" s="182">
        <v>2</v>
      </c>
      <c r="L908" s="182">
        <v>10</v>
      </c>
      <c r="M908" s="185" t="s">
        <v>3807</v>
      </c>
      <c r="N908" s="185" t="s">
        <v>2193</v>
      </c>
      <c r="O908" s="186"/>
      <c r="P908" s="185" t="s">
        <v>3808</v>
      </c>
    </row>
    <row r="909" spans="1:16" outlineLevel="2" x14ac:dyDescent="0.3">
      <c r="A909" s="105" t="s">
        <v>3809</v>
      </c>
      <c r="B909" s="106"/>
      <c r="C909" s="106"/>
      <c r="D909" s="106"/>
      <c r="E909" s="106" t="s">
        <v>3810</v>
      </c>
      <c r="F909" s="106" t="s">
        <v>3811</v>
      </c>
      <c r="G909" s="105">
        <v>4</v>
      </c>
      <c r="H909" s="106" t="s">
        <v>7</v>
      </c>
      <c r="I909" s="105" t="s">
        <v>39</v>
      </c>
      <c r="J909" s="105"/>
      <c r="K909" s="105"/>
      <c r="L909" s="105"/>
      <c r="M909" s="106" t="s">
        <v>3812</v>
      </c>
      <c r="N909" s="106" t="s">
        <v>40</v>
      </c>
      <c r="O909" s="107"/>
      <c r="P909" s="106" t="s">
        <v>3813</v>
      </c>
    </row>
    <row r="910" spans="1:16" outlineLevel="2" x14ac:dyDescent="0.3">
      <c r="A910" s="105" t="s">
        <v>3814</v>
      </c>
      <c r="B910" s="106"/>
      <c r="C910" s="106"/>
      <c r="D910" s="106"/>
      <c r="E910" s="106" t="s">
        <v>3815</v>
      </c>
      <c r="F910" s="106" t="s">
        <v>13</v>
      </c>
      <c r="G910" s="105">
        <v>4</v>
      </c>
      <c r="H910" s="106" t="s">
        <v>7</v>
      </c>
      <c r="I910" s="105"/>
      <c r="J910" s="105"/>
      <c r="K910" s="105"/>
      <c r="L910" s="105"/>
      <c r="M910" s="106"/>
      <c r="N910" s="106" t="s">
        <v>40</v>
      </c>
      <c r="O910" s="107" t="s">
        <v>447</v>
      </c>
      <c r="P910" s="106" t="s">
        <v>3816</v>
      </c>
    </row>
    <row r="911" spans="1:16" outlineLevel="2" x14ac:dyDescent="0.3">
      <c r="A911" s="105" t="s">
        <v>3817</v>
      </c>
      <c r="B911" s="106"/>
      <c r="C911" s="106"/>
      <c r="D911" s="106"/>
      <c r="E911" s="106" t="s">
        <v>3818</v>
      </c>
      <c r="F911" s="106" t="s">
        <v>3819</v>
      </c>
      <c r="G911" s="105">
        <v>4</v>
      </c>
      <c r="H911" s="106" t="s">
        <v>7</v>
      </c>
      <c r="I911" s="105" t="s">
        <v>39</v>
      </c>
      <c r="J911" s="105"/>
      <c r="K911" s="105"/>
      <c r="L911" s="105"/>
      <c r="M911" s="106" t="s">
        <v>3820</v>
      </c>
      <c r="N911" s="106" t="s">
        <v>223</v>
      </c>
      <c r="O911" s="107"/>
      <c r="P911" s="106" t="s">
        <v>3821</v>
      </c>
    </row>
    <row r="912" spans="1:16" outlineLevel="2" x14ac:dyDescent="0.3">
      <c r="A912" s="105" t="s">
        <v>3822</v>
      </c>
      <c r="B912" s="106"/>
      <c r="C912" s="106"/>
      <c r="D912" s="106"/>
      <c r="E912" s="106" t="s">
        <v>3823</v>
      </c>
      <c r="F912" s="106" t="s">
        <v>3824</v>
      </c>
      <c r="G912" s="105">
        <v>4</v>
      </c>
      <c r="H912" s="106" t="s">
        <v>7</v>
      </c>
      <c r="I912" s="105" t="s">
        <v>39</v>
      </c>
      <c r="J912" s="105"/>
      <c r="K912" s="105"/>
      <c r="L912" s="105"/>
      <c r="M912" s="106" t="s">
        <v>3825</v>
      </c>
      <c r="N912" s="106" t="s">
        <v>40</v>
      </c>
      <c r="O912" s="107"/>
      <c r="P912" s="106" t="s">
        <v>3826</v>
      </c>
    </row>
    <row r="913" spans="1:16" outlineLevel="2" x14ac:dyDescent="0.3">
      <c r="A913" s="105" t="s">
        <v>3827</v>
      </c>
      <c r="B913" s="106"/>
      <c r="C913" s="106"/>
      <c r="D913" s="106"/>
      <c r="E913" s="106" t="s">
        <v>3828</v>
      </c>
      <c r="F913" s="106" t="s">
        <v>13</v>
      </c>
      <c r="G913" s="105">
        <v>4</v>
      </c>
      <c r="H913" s="106" t="s">
        <v>7</v>
      </c>
      <c r="I913" s="105"/>
      <c r="J913" s="105"/>
      <c r="K913" s="105"/>
      <c r="L913" s="105"/>
      <c r="M913" s="106"/>
      <c r="N913" s="106" t="s">
        <v>40</v>
      </c>
      <c r="O913" s="107" t="s">
        <v>447</v>
      </c>
      <c r="P913" s="106" t="s">
        <v>3829</v>
      </c>
    </row>
    <row r="914" spans="1:16" outlineLevel="2" x14ac:dyDescent="0.3">
      <c r="A914" s="105" t="s">
        <v>3830</v>
      </c>
      <c r="B914" s="106"/>
      <c r="C914" s="106"/>
      <c r="D914" s="106"/>
      <c r="E914" s="106" t="s">
        <v>3831</v>
      </c>
      <c r="F914" s="106" t="s">
        <v>1117</v>
      </c>
      <c r="G914" s="105">
        <v>4</v>
      </c>
      <c r="H914" s="106" t="s">
        <v>7</v>
      </c>
      <c r="I914" s="105" t="s">
        <v>39</v>
      </c>
      <c r="J914" s="105"/>
      <c r="K914" s="105"/>
      <c r="L914" s="105"/>
      <c r="M914" s="106" t="s">
        <v>3832</v>
      </c>
      <c r="N914" s="106" t="s">
        <v>40</v>
      </c>
      <c r="O914" s="107" t="s">
        <v>332</v>
      </c>
      <c r="P914" s="106" t="s">
        <v>3833</v>
      </c>
    </row>
    <row r="915" spans="1:16" outlineLevel="2" x14ac:dyDescent="0.3">
      <c r="A915" s="105" t="s">
        <v>3834</v>
      </c>
      <c r="B915" s="106"/>
      <c r="C915" s="106"/>
      <c r="D915" s="106"/>
      <c r="E915" s="106" t="s">
        <v>3835</v>
      </c>
      <c r="F915" s="106" t="s">
        <v>3836</v>
      </c>
      <c r="G915" s="105">
        <v>4</v>
      </c>
      <c r="H915" s="106" t="s">
        <v>7</v>
      </c>
      <c r="I915" s="105" t="s">
        <v>39</v>
      </c>
      <c r="J915" s="105"/>
      <c r="K915" s="105"/>
      <c r="L915" s="105"/>
      <c r="M915" s="106" t="s">
        <v>3837</v>
      </c>
      <c r="N915" s="106" t="s">
        <v>40</v>
      </c>
      <c r="O915" s="107"/>
      <c r="P915" s="106" t="s">
        <v>3838</v>
      </c>
    </row>
    <row r="916" spans="1:16" outlineLevel="2" x14ac:dyDescent="0.3">
      <c r="A916" s="105" t="s">
        <v>3839</v>
      </c>
      <c r="B916" s="106"/>
      <c r="C916" s="106"/>
      <c r="D916" s="106"/>
      <c r="E916" s="106" t="s">
        <v>3840</v>
      </c>
      <c r="F916" s="106" t="s">
        <v>3841</v>
      </c>
      <c r="G916" s="105">
        <v>4</v>
      </c>
      <c r="H916" s="106" t="s">
        <v>7</v>
      </c>
      <c r="I916" s="105" t="s">
        <v>39</v>
      </c>
      <c r="J916" s="105"/>
      <c r="K916" s="105"/>
      <c r="L916" s="105"/>
      <c r="M916" s="106" t="s">
        <v>3842</v>
      </c>
      <c r="N916" s="106" t="s">
        <v>40</v>
      </c>
      <c r="O916" s="107"/>
      <c r="P916" s="106" t="s">
        <v>3843</v>
      </c>
    </row>
    <row r="917" spans="1:16" outlineLevel="2" x14ac:dyDescent="0.3">
      <c r="A917" s="105" t="s">
        <v>3844</v>
      </c>
      <c r="B917" s="106"/>
      <c r="C917" s="106"/>
      <c r="D917" s="106"/>
      <c r="E917" s="106" t="s">
        <v>3845</v>
      </c>
      <c r="F917" s="106" t="s">
        <v>3846</v>
      </c>
      <c r="G917" s="105">
        <v>4</v>
      </c>
      <c r="H917" s="106" t="s">
        <v>7</v>
      </c>
      <c r="I917" s="105" t="s">
        <v>39</v>
      </c>
      <c r="J917" s="105"/>
      <c r="K917" s="105"/>
      <c r="L917" s="105"/>
      <c r="M917" s="106" t="s">
        <v>3847</v>
      </c>
      <c r="N917" s="106" t="s">
        <v>513</v>
      </c>
      <c r="O917" s="107" t="s">
        <v>332</v>
      </c>
      <c r="P917" s="106"/>
    </row>
    <row r="918" spans="1:16" outlineLevel="2" x14ac:dyDescent="0.3">
      <c r="A918" s="105" t="s">
        <v>3848</v>
      </c>
      <c r="B918" s="106"/>
      <c r="C918" s="106"/>
      <c r="D918" s="106"/>
      <c r="E918" s="106" t="s">
        <v>3796</v>
      </c>
      <c r="F918" s="106" t="s">
        <v>511</v>
      </c>
      <c r="G918" s="105">
        <v>4</v>
      </c>
      <c r="H918" s="106" t="s">
        <v>7</v>
      </c>
      <c r="I918" s="105" t="s">
        <v>39</v>
      </c>
      <c r="J918" s="105"/>
      <c r="K918" s="105"/>
      <c r="L918" s="105"/>
      <c r="M918" s="106" t="s">
        <v>3849</v>
      </c>
      <c r="N918" s="106" t="s">
        <v>513</v>
      </c>
      <c r="O918" s="107" t="s">
        <v>332</v>
      </c>
      <c r="P918" s="106"/>
    </row>
    <row r="919" spans="1:16" outlineLevel="2" x14ac:dyDescent="0.3">
      <c r="A919" s="105" t="s">
        <v>3850</v>
      </c>
      <c r="B919" s="106"/>
      <c r="C919" s="106"/>
      <c r="D919" s="106"/>
      <c r="E919" s="106" t="s">
        <v>3851</v>
      </c>
      <c r="F919" s="106" t="s">
        <v>3852</v>
      </c>
      <c r="G919" s="105">
        <v>4</v>
      </c>
      <c r="H919" s="106" t="s">
        <v>7</v>
      </c>
      <c r="I919" s="105" t="s">
        <v>39</v>
      </c>
      <c r="J919" s="105"/>
      <c r="K919" s="105"/>
      <c r="L919" s="105"/>
      <c r="M919" s="106" t="s">
        <v>3853</v>
      </c>
      <c r="N919" s="106" t="s">
        <v>40</v>
      </c>
      <c r="O919" s="107"/>
      <c r="P919" s="106" t="s">
        <v>3854</v>
      </c>
    </row>
    <row r="920" spans="1:16" outlineLevel="2" x14ac:dyDescent="0.3">
      <c r="A920" s="105" t="s">
        <v>3855</v>
      </c>
      <c r="B920" s="106"/>
      <c r="C920" s="106"/>
      <c r="D920" s="106"/>
      <c r="E920" s="106" t="s">
        <v>3856</v>
      </c>
      <c r="F920" s="106" t="s">
        <v>3857</v>
      </c>
      <c r="G920" s="105">
        <v>4</v>
      </c>
      <c r="H920" s="106" t="s">
        <v>7</v>
      </c>
      <c r="I920" s="105" t="s">
        <v>39</v>
      </c>
      <c r="J920" s="105"/>
      <c r="K920" s="105"/>
      <c r="L920" s="105"/>
      <c r="M920" s="106" t="s">
        <v>3858</v>
      </c>
      <c r="N920" s="106" t="s">
        <v>40</v>
      </c>
      <c r="O920" s="107"/>
      <c r="P920" s="106" t="s">
        <v>3859</v>
      </c>
    </row>
    <row r="921" spans="1:16" ht="27.6" x14ac:dyDescent="0.3">
      <c r="A921" s="187" t="s">
        <v>3860</v>
      </c>
      <c r="B921" s="188" t="s">
        <v>3861</v>
      </c>
      <c r="C921" s="189" t="str">
        <f>COUNTIFS($G922:$G997,2)&amp;" subcapas"</f>
        <v>3 subcapas</v>
      </c>
      <c r="D921" s="188"/>
      <c r="E921" s="188"/>
      <c r="F921" s="188"/>
      <c r="G921" s="187">
        <v>1</v>
      </c>
      <c r="H921" s="188" t="s">
        <v>2</v>
      </c>
      <c r="I921" s="187"/>
      <c r="J921" s="190">
        <f>SUMIFS(J922:J997,$G922:$G997,2)</f>
        <v>73</v>
      </c>
      <c r="K921" s="190">
        <f>SUMIFS(K922:K997,$G922:$G997,2)</f>
        <v>0</v>
      </c>
      <c r="L921" s="190">
        <f>SUMIFS(L922:L997,$G922:$G997,2)</f>
        <v>68</v>
      </c>
      <c r="M921" s="191" t="s">
        <v>3862</v>
      </c>
      <c r="N921" s="188"/>
      <c r="O921" s="188"/>
      <c r="P921" s="188" t="s">
        <v>3863</v>
      </c>
    </row>
    <row r="922" spans="1:16" ht="27.6" outlineLevel="1" x14ac:dyDescent="0.3">
      <c r="A922" s="192" t="s">
        <v>3864</v>
      </c>
      <c r="B922" s="193"/>
      <c r="C922" s="194" t="s">
        <v>3865</v>
      </c>
      <c r="D922" s="193"/>
      <c r="E922" s="193"/>
      <c r="F922" s="193"/>
      <c r="G922" s="192">
        <v>2</v>
      </c>
      <c r="H922" s="193" t="s">
        <v>25</v>
      </c>
      <c r="I922" s="192" t="s">
        <v>39</v>
      </c>
      <c r="J922" s="192">
        <v>16</v>
      </c>
      <c r="K922" s="192">
        <v>0</v>
      </c>
      <c r="L922" s="192">
        <v>14</v>
      </c>
      <c r="M922" s="195" t="s">
        <v>3866</v>
      </c>
      <c r="N922" s="195" t="s">
        <v>223</v>
      </c>
      <c r="O922" s="196"/>
      <c r="P922" s="195" t="s">
        <v>3867</v>
      </c>
    </row>
    <row r="923" spans="1:16" outlineLevel="2" x14ac:dyDescent="0.3">
      <c r="A923" s="105" t="s">
        <v>3868</v>
      </c>
      <c r="B923" s="106"/>
      <c r="C923" s="106"/>
      <c r="D923" s="106"/>
      <c r="E923" s="106" t="s">
        <v>3869</v>
      </c>
      <c r="F923" s="106" t="s">
        <v>3870</v>
      </c>
      <c r="G923" s="105">
        <v>4</v>
      </c>
      <c r="H923" s="106" t="s">
        <v>7</v>
      </c>
      <c r="I923" s="105" t="s">
        <v>39</v>
      </c>
      <c r="J923" s="105"/>
      <c r="K923" s="105"/>
      <c r="L923" s="105"/>
      <c r="M923" s="106" t="s">
        <v>3871</v>
      </c>
      <c r="N923" s="106" t="s">
        <v>40</v>
      </c>
      <c r="O923" s="107"/>
      <c r="P923" s="106" t="s">
        <v>3872</v>
      </c>
    </row>
    <row r="924" spans="1:16" outlineLevel="2" x14ac:dyDescent="0.3">
      <c r="A924" s="105" t="s">
        <v>3873</v>
      </c>
      <c r="B924" s="106"/>
      <c r="C924" s="106"/>
      <c r="D924" s="106"/>
      <c r="E924" s="106" t="s">
        <v>3874</v>
      </c>
      <c r="F924" s="106" t="s">
        <v>3870</v>
      </c>
      <c r="G924" s="105">
        <v>4</v>
      </c>
      <c r="H924" s="106" t="s">
        <v>7</v>
      </c>
      <c r="I924" s="105" t="s">
        <v>39</v>
      </c>
      <c r="J924" s="105"/>
      <c r="K924" s="105"/>
      <c r="L924" s="105"/>
      <c r="M924" s="106" t="s">
        <v>3871</v>
      </c>
      <c r="N924" s="106" t="s">
        <v>40</v>
      </c>
      <c r="O924" s="107"/>
      <c r="P924" s="106" t="s">
        <v>3875</v>
      </c>
    </row>
    <row r="925" spans="1:16" outlineLevel="2" x14ac:dyDescent="0.3">
      <c r="A925" s="105" t="s">
        <v>3876</v>
      </c>
      <c r="B925" s="106"/>
      <c r="C925" s="106"/>
      <c r="D925" s="106"/>
      <c r="E925" s="106" t="s">
        <v>3877</v>
      </c>
      <c r="F925" s="106" t="s">
        <v>3878</v>
      </c>
      <c r="G925" s="105">
        <v>4</v>
      </c>
      <c r="H925" s="106" t="s">
        <v>7</v>
      </c>
      <c r="I925" s="105" t="s">
        <v>39</v>
      </c>
      <c r="J925" s="105"/>
      <c r="K925" s="105"/>
      <c r="L925" s="105"/>
      <c r="M925" s="106" t="s">
        <v>3879</v>
      </c>
      <c r="N925" s="106" t="s">
        <v>40</v>
      </c>
      <c r="O925" s="107"/>
      <c r="P925" s="106" t="s">
        <v>3880</v>
      </c>
    </row>
    <row r="926" spans="1:16" outlineLevel="2" x14ac:dyDescent="0.3">
      <c r="A926" s="105" t="s">
        <v>3881</v>
      </c>
      <c r="B926" s="106"/>
      <c r="C926" s="106"/>
      <c r="D926" s="106"/>
      <c r="E926" s="106" t="s">
        <v>3882</v>
      </c>
      <c r="F926" s="106" t="s">
        <v>3883</v>
      </c>
      <c r="G926" s="105">
        <v>4</v>
      </c>
      <c r="H926" s="106" t="s">
        <v>7</v>
      </c>
      <c r="I926" s="105" t="s">
        <v>39</v>
      </c>
      <c r="J926" s="105"/>
      <c r="K926" s="105"/>
      <c r="L926" s="105"/>
      <c r="M926" s="106" t="s">
        <v>3884</v>
      </c>
      <c r="N926" s="106" t="s">
        <v>40</v>
      </c>
      <c r="O926" s="107"/>
      <c r="P926" s="106" t="s">
        <v>3885</v>
      </c>
    </row>
    <row r="927" spans="1:16" outlineLevel="2" x14ac:dyDescent="0.3">
      <c r="A927" s="105" t="s">
        <v>3886</v>
      </c>
      <c r="B927" s="106"/>
      <c r="C927" s="106"/>
      <c r="D927" s="106"/>
      <c r="E927" s="106" t="s">
        <v>3887</v>
      </c>
      <c r="F927" s="106" t="s">
        <v>3888</v>
      </c>
      <c r="G927" s="105">
        <v>4</v>
      </c>
      <c r="H927" s="106" t="s">
        <v>7</v>
      </c>
      <c r="I927" s="105" t="s">
        <v>39</v>
      </c>
      <c r="J927" s="105"/>
      <c r="K927" s="105"/>
      <c r="L927" s="105"/>
      <c r="M927" s="106" t="s">
        <v>3889</v>
      </c>
      <c r="N927" s="106" t="s">
        <v>223</v>
      </c>
      <c r="O927" s="107"/>
      <c r="P927" s="106" t="s">
        <v>3890</v>
      </c>
    </row>
    <row r="928" spans="1:16" outlineLevel="2" x14ac:dyDescent="0.3">
      <c r="A928" s="105" t="s">
        <v>3891</v>
      </c>
      <c r="B928" s="106"/>
      <c r="C928" s="106"/>
      <c r="D928" s="106"/>
      <c r="E928" s="106" t="s">
        <v>3892</v>
      </c>
      <c r="F928" s="106" t="s">
        <v>3893</v>
      </c>
      <c r="G928" s="105">
        <v>4</v>
      </c>
      <c r="H928" s="106" t="s">
        <v>7</v>
      </c>
      <c r="I928" s="105" t="s">
        <v>39</v>
      </c>
      <c r="J928" s="105"/>
      <c r="K928" s="105"/>
      <c r="L928" s="105"/>
      <c r="M928" s="106" t="s">
        <v>3894</v>
      </c>
      <c r="N928" s="106" t="s">
        <v>40</v>
      </c>
      <c r="O928" s="107"/>
      <c r="P928" s="106" t="s">
        <v>3895</v>
      </c>
    </row>
    <row r="929" spans="1:16" outlineLevel="2" x14ac:dyDescent="0.3">
      <c r="A929" s="105" t="s">
        <v>3896</v>
      </c>
      <c r="B929" s="106"/>
      <c r="C929" s="106"/>
      <c r="D929" s="106"/>
      <c r="E929" s="106" t="s">
        <v>3897</v>
      </c>
      <c r="F929" s="106" t="s">
        <v>3898</v>
      </c>
      <c r="G929" s="105">
        <v>4</v>
      </c>
      <c r="H929" s="106" t="s">
        <v>7</v>
      </c>
      <c r="I929" s="105" t="s">
        <v>39</v>
      </c>
      <c r="J929" s="105"/>
      <c r="K929" s="105"/>
      <c r="L929" s="105"/>
      <c r="M929" s="106" t="s">
        <v>3899</v>
      </c>
      <c r="N929" s="106" t="s">
        <v>40</v>
      </c>
      <c r="O929" s="107"/>
      <c r="P929" s="106" t="s">
        <v>3900</v>
      </c>
    </row>
    <row r="930" spans="1:16" outlineLevel="2" x14ac:dyDescent="0.3">
      <c r="A930" s="105" t="s">
        <v>3901</v>
      </c>
      <c r="B930" s="106"/>
      <c r="C930" s="106"/>
      <c r="D930" s="106"/>
      <c r="E930" s="106" t="s">
        <v>3902</v>
      </c>
      <c r="F930" s="106" t="s">
        <v>3903</v>
      </c>
      <c r="G930" s="105">
        <v>4</v>
      </c>
      <c r="H930" s="106" t="s">
        <v>7</v>
      </c>
      <c r="I930" s="105" t="s">
        <v>39</v>
      </c>
      <c r="J930" s="105"/>
      <c r="K930" s="105"/>
      <c r="L930" s="105"/>
      <c r="M930" s="106"/>
      <c r="N930" s="106" t="s">
        <v>287</v>
      </c>
      <c r="O930" s="107"/>
      <c r="P930" s="106"/>
    </row>
    <row r="931" spans="1:16" outlineLevel="2" x14ac:dyDescent="0.3">
      <c r="A931" s="105" t="s">
        <v>3904</v>
      </c>
      <c r="B931" s="106"/>
      <c r="C931" s="106"/>
      <c r="D931" s="106"/>
      <c r="E931" s="106" t="s">
        <v>3905</v>
      </c>
      <c r="F931" s="106" t="s">
        <v>3906</v>
      </c>
      <c r="G931" s="105">
        <v>4</v>
      </c>
      <c r="H931" s="106" t="s">
        <v>7</v>
      </c>
      <c r="I931" s="105" t="s">
        <v>39</v>
      </c>
      <c r="J931" s="105"/>
      <c r="K931" s="105"/>
      <c r="L931" s="105"/>
      <c r="M931" s="106"/>
      <c r="N931" s="106" t="s">
        <v>287</v>
      </c>
      <c r="O931" s="107"/>
      <c r="P931" s="106"/>
    </row>
    <row r="932" spans="1:16" outlineLevel="2" x14ac:dyDescent="0.3">
      <c r="A932" s="105" t="s">
        <v>3907</v>
      </c>
      <c r="B932" s="106"/>
      <c r="C932" s="106"/>
      <c r="D932" s="106"/>
      <c r="E932" s="106" t="s">
        <v>3908</v>
      </c>
      <c r="F932" s="106" t="s">
        <v>3909</v>
      </c>
      <c r="G932" s="105">
        <v>4</v>
      </c>
      <c r="H932" s="106" t="s">
        <v>7</v>
      </c>
      <c r="I932" s="105" t="s">
        <v>39</v>
      </c>
      <c r="J932" s="105"/>
      <c r="K932" s="105"/>
      <c r="L932" s="105"/>
      <c r="M932" s="106" t="s">
        <v>3910</v>
      </c>
      <c r="N932" s="106" t="s">
        <v>40</v>
      </c>
      <c r="O932" s="107"/>
      <c r="P932" s="106" t="s">
        <v>3911</v>
      </c>
    </row>
    <row r="933" spans="1:16" outlineLevel="2" x14ac:dyDescent="0.3">
      <c r="A933" s="105" t="s">
        <v>3912</v>
      </c>
      <c r="B933" s="106"/>
      <c r="C933" s="106"/>
      <c r="D933" s="106"/>
      <c r="E933" s="106" t="s">
        <v>3913</v>
      </c>
      <c r="F933" s="106" t="s">
        <v>3914</v>
      </c>
      <c r="G933" s="105">
        <v>4</v>
      </c>
      <c r="H933" s="106" t="s">
        <v>7</v>
      </c>
      <c r="I933" s="105" t="s">
        <v>39</v>
      </c>
      <c r="J933" s="105"/>
      <c r="K933" s="105"/>
      <c r="L933" s="105"/>
      <c r="M933" s="106" t="s">
        <v>3915</v>
      </c>
      <c r="N933" s="106" t="s">
        <v>223</v>
      </c>
      <c r="O933" s="107"/>
      <c r="P933" s="106" t="s">
        <v>3916</v>
      </c>
    </row>
    <row r="934" spans="1:16" outlineLevel="2" x14ac:dyDescent="0.3">
      <c r="A934" s="105" t="s">
        <v>3917</v>
      </c>
      <c r="B934" s="106"/>
      <c r="C934" s="106"/>
      <c r="D934" s="106"/>
      <c r="E934" s="106" t="s">
        <v>3918</v>
      </c>
      <c r="F934" s="106" t="s">
        <v>3919</v>
      </c>
      <c r="G934" s="105">
        <v>4</v>
      </c>
      <c r="H934" s="106" t="s">
        <v>7</v>
      </c>
      <c r="I934" s="105" t="s">
        <v>39</v>
      </c>
      <c r="J934" s="105"/>
      <c r="K934" s="105"/>
      <c r="L934" s="105"/>
      <c r="M934" s="106" t="s">
        <v>3920</v>
      </c>
      <c r="N934" s="106" t="s">
        <v>223</v>
      </c>
      <c r="O934" s="107"/>
      <c r="P934" s="106" t="s">
        <v>3921</v>
      </c>
    </row>
    <row r="935" spans="1:16" outlineLevel="2" x14ac:dyDescent="0.3">
      <c r="A935" s="105" t="s">
        <v>3922</v>
      </c>
      <c r="B935" s="106"/>
      <c r="C935" s="106"/>
      <c r="D935" s="106"/>
      <c r="E935" s="106" t="s">
        <v>3923</v>
      </c>
      <c r="F935" s="106" t="s">
        <v>3924</v>
      </c>
      <c r="G935" s="105">
        <v>4</v>
      </c>
      <c r="H935" s="106" t="s">
        <v>7</v>
      </c>
      <c r="I935" s="105" t="s">
        <v>39</v>
      </c>
      <c r="J935" s="105"/>
      <c r="K935" s="105"/>
      <c r="L935" s="105"/>
      <c r="M935" s="106" t="s">
        <v>3925</v>
      </c>
      <c r="N935" s="106" t="s">
        <v>40</v>
      </c>
      <c r="O935" s="107"/>
      <c r="P935" s="106" t="s">
        <v>3926</v>
      </c>
    </row>
    <row r="936" spans="1:16" outlineLevel="2" x14ac:dyDescent="0.3">
      <c r="A936" s="105" t="s">
        <v>3927</v>
      </c>
      <c r="B936" s="106"/>
      <c r="C936" s="106"/>
      <c r="D936" s="106"/>
      <c r="E936" s="106" t="s">
        <v>3928</v>
      </c>
      <c r="F936" s="106" t="s">
        <v>3929</v>
      </c>
      <c r="G936" s="105">
        <v>4</v>
      </c>
      <c r="H936" s="106" t="s">
        <v>7</v>
      </c>
      <c r="I936" s="105" t="s">
        <v>39</v>
      </c>
      <c r="J936" s="105"/>
      <c r="K936" s="105"/>
      <c r="L936" s="105"/>
      <c r="M936" s="106" t="s">
        <v>3930</v>
      </c>
      <c r="N936" s="106" t="s">
        <v>223</v>
      </c>
      <c r="O936" s="107"/>
      <c r="P936" s="106" t="s">
        <v>3931</v>
      </c>
    </row>
    <row r="937" spans="1:16" outlineLevel="2" x14ac:dyDescent="0.3">
      <c r="A937" s="105" t="s">
        <v>3932</v>
      </c>
      <c r="B937" s="106"/>
      <c r="C937" s="106"/>
      <c r="D937" s="106"/>
      <c r="E937" s="106" t="s">
        <v>3933</v>
      </c>
      <c r="F937" s="106" t="s">
        <v>3934</v>
      </c>
      <c r="G937" s="105">
        <v>4</v>
      </c>
      <c r="H937" s="106" t="s">
        <v>7</v>
      </c>
      <c r="I937" s="105" t="s">
        <v>39</v>
      </c>
      <c r="J937" s="105"/>
      <c r="K937" s="105"/>
      <c r="L937" s="105"/>
      <c r="M937" s="106" t="s">
        <v>3935</v>
      </c>
      <c r="N937" s="106" t="s">
        <v>40</v>
      </c>
      <c r="O937" s="107"/>
      <c r="P937" s="106" t="s">
        <v>3936</v>
      </c>
    </row>
    <row r="938" spans="1:16" outlineLevel="2" x14ac:dyDescent="0.3">
      <c r="A938" s="105" t="s">
        <v>3937</v>
      </c>
      <c r="B938" s="106"/>
      <c r="C938" s="106"/>
      <c r="D938" s="106"/>
      <c r="E938" s="106" t="s">
        <v>3938</v>
      </c>
      <c r="F938" s="106" t="s">
        <v>3939</v>
      </c>
      <c r="G938" s="105">
        <v>4</v>
      </c>
      <c r="H938" s="106" t="s">
        <v>7</v>
      </c>
      <c r="I938" s="105" t="s">
        <v>39</v>
      </c>
      <c r="J938" s="105"/>
      <c r="K938" s="105"/>
      <c r="L938" s="105"/>
      <c r="M938" s="106" t="s">
        <v>3940</v>
      </c>
      <c r="N938" s="106" t="s">
        <v>40</v>
      </c>
      <c r="O938" s="107"/>
      <c r="P938" s="106" t="s">
        <v>3941</v>
      </c>
    </row>
    <row r="939" spans="1:16" ht="27.6" outlineLevel="1" x14ac:dyDescent="0.3">
      <c r="A939" s="192" t="s">
        <v>3942</v>
      </c>
      <c r="B939" s="193"/>
      <c r="C939" s="194" t="s">
        <v>3943</v>
      </c>
      <c r="D939" s="193"/>
      <c r="E939" s="193"/>
      <c r="F939" s="193"/>
      <c r="G939" s="192">
        <v>2</v>
      </c>
      <c r="H939" s="193" t="s">
        <v>25</v>
      </c>
      <c r="I939" s="192" t="s">
        <v>39</v>
      </c>
      <c r="J939" s="192">
        <v>17</v>
      </c>
      <c r="K939" s="192">
        <v>0</v>
      </c>
      <c r="L939" s="192">
        <v>14</v>
      </c>
      <c r="M939" s="195" t="s">
        <v>3944</v>
      </c>
      <c r="N939" s="195" t="s">
        <v>223</v>
      </c>
      <c r="O939" s="196"/>
      <c r="P939" s="195" t="s">
        <v>3945</v>
      </c>
    </row>
    <row r="940" spans="1:16" outlineLevel="2" x14ac:dyDescent="0.3">
      <c r="A940" s="105" t="s">
        <v>3946</v>
      </c>
      <c r="B940" s="106"/>
      <c r="C940" s="106"/>
      <c r="D940" s="106"/>
      <c r="E940" s="106" t="s">
        <v>3947</v>
      </c>
      <c r="F940" s="106" t="s">
        <v>3948</v>
      </c>
      <c r="G940" s="105">
        <v>4</v>
      </c>
      <c r="H940" s="106" t="s">
        <v>7</v>
      </c>
      <c r="I940" s="105" t="s">
        <v>39</v>
      </c>
      <c r="J940" s="105"/>
      <c r="K940" s="105"/>
      <c r="L940" s="105"/>
      <c r="M940" s="106" t="s">
        <v>3949</v>
      </c>
      <c r="N940" s="106" t="s">
        <v>40</v>
      </c>
      <c r="O940" s="107"/>
      <c r="P940" s="106" t="s">
        <v>3950</v>
      </c>
    </row>
    <row r="941" spans="1:16" outlineLevel="2" x14ac:dyDescent="0.3">
      <c r="A941" s="105" t="s">
        <v>3951</v>
      </c>
      <c r="B941" s="106"/>
      <c r="C941" s="106"/>
      <c r="D941" s="106"/>
      <c r="E941" s="106" t="s">
        <v>3952</v>
      </c>
      <c r="F941" s="106" t="s">
        <v>3953</v>
      </c>
      <c r="G941" s="105">
        <v>4</v>
      </c>
      <c r="H941" s="106" t="s">
        <v>7</v>
      </c>
      <c r="I941" s="105" t="s">
        <v>39</v>
      </c>
      <c r="J941" s="105"/>
      <c r="K941" s="105"/>
      <c r="L941" s="105"/>
      <c r="M941" s="106" t="s">
        <v>3954</v>
      </c>
      <c r="N941" s="106" t="s">
        <v>223</v>
      </c>
      <c r="O941" s="107"/>
      <c r="P941" s="106" t="s">
        <v>3955</v>
      </c>
    </row>
    <row r="942" spans="1:16" outlineLevel="2" x14ac:dyDescent="0.3">
      <c r="A942" s="105" t="s">
        <v>3956</v>
      </c>
      <c r="B942" s="106"/>
      <c r="C942" s="106"/>
      <c r="D942" s="106"/>
      <c r="E942" s="106" t="s">
        <v>3957</v>
      </c>
      <c r="F942" s="106" t="s">
        <v>3958</v>
      </c>
      <c r="G942" s="105">
        <v>4</v>
      </c>
      <c r="H942" s="106" t="s">
        <v>7</v>
      </c>
      <c r="I942" s="105" t="s">
        <v>39</v>
      </c>
      <c r="J942" s="105"/>
      <c r="K942" s="105"/>
      <c r="L942" s="105"/>
      <c r="M942" s="106" t="s">
        <v>3959</v>
      </c>
      <c r="N942" s="106" t="s">
        <v>40</v>
      </c>
      <c r="O942" s="107"/>
      <c r="P942" s="106" t="s">
        <v>3960</v>
      </c>
    </row>
    <row r="943" spans="1:16" outlineLevel="2" x14ac:dyDescent="0.3">
      <c r="A943" s="105" t="s">
        <v>3961</v>
      </c>
      <c r="B943" s="106"/>
      <c r="C943" s="106"/>
      <c r="D943" s="106"/>
      <c r="E943" s="106" t="s">
        <v>3962</v>
      </c>
      <c r="F943" s="106" t="s">
        <v>3963</v>
      </c>
      <c r="G943" s="105">
        <v>4</v>
      </c>
      <c r="H943" s="106" t="s">
        <v>7</v>
      </c>
      <c r="I943" s="105" t="s">
        <v>39</v>
      </c>
      <c r="J943" s="105"/>
      <c r="K943" s="105"/>
      <c r="L943" s="105"/>
      <c r="M943" s="106"/>
      <c r="N943" s="106" t="s">
        <v>287</v>
      </c>
      <c r="O943" s="107"/>
      <c r="P943" s="106"/>
    </row>
    <row r="944" spans="1:16" outlineLevel="2" x14ac:dyDescent="0.3">
      <c r="A944" s="105" t="s">
        <v>3964</v>
      </c>
      <c r="B944" s="106"/>
      <c r="C944" s="106"/>
      <c r="D944" s="106"/>
      <c r="E944" s="106" t="s">
        <v>3965</v>
      </c>
      <c r="F944" s="106" t="s">
        <v>3966</v>
      </c>
      <c r="G944" s="105">
        <v>4</v>
      </c>
      <c r="H944" s="106" t="s">
        <v>7</v>
      </c>
      <c r="I944" s="105" t="s">
        <v>39</v>
      </c>
      <c r="J944" s="105"/>
      <c r="K944" s="105"/>
      <c r="L944" s="105"/>
      <c r="M944" s="106" t="s">
        <v>3967</v>
      </c>
      <c r="N944" s="106" t="s">
        <v>40</v>
      </c>
      <c r="O944" s="107"/>
      <c r="P944" s="106" t="s">
        <v>3968</v>
      </c>
    </row>
    <row r="945" spans="1:16" outlineLevel="2" x14ac:dyDescent="0.3">
      <c r="A945" s="105" t="s">
        <v>3969</v>
      </c>
      <c r="B945" s="106"/>
      <c r="C945" s="106"/>
      <c r="D945" s="106"/>
      <c r="E945" s="106" t="s">
        <v>3970</v>
      </c>
      <c r="F945" s="106" t="s">
        <v>3971</v>
      </c>
      <c r="G945" s="105">
        <v>4</v>
      </c>
      <c r="H945" s="106" t="s">
        <v>7</v>
      </c>
      <c r="I945" s="105" t="s">
        <v>39</v>
      </c>
      <c r="J945" s="105"/>
      <c r="K945" s="105"/>
      <c r="L945" s="105"/>
      <c r="M945" s="106" t="s">
        <v>3972</v>
      </c>
      <c r="N945" s="106" t="s">
        <v>40</v>
      </c>
      <c r="O945" s="107"/>
      <c r="P945" s="106" t="s">
        <v>3973</v>
      </c>
    </row>
    <row r="946" spans="1:16" outlineLevel="2" x14ac:dyDescent="0.3">
      <c r="A946" s="105" t="s">
        <v>3974</v>
      </c>
      <c r="B946" s="106"/>
      <c r="C946" s="106"/>
      <c r="D946" s="106"/>
      <c r="E946" s="106" t="s">
        <v>3975</v>
      </c>
      <c r="F946" s="106" t="s">
        <v>3976</v>
      </c>
      <c r="G946" s="105">
        <v>4</v>
      </c>
      <c r="H946" s="106" t="s">
        <v>7</v>
      </c>
      <c r="I946" s="105" t="s">
        <v>39</v>
      </c>
      <c r="J946" s="105"/>
      <c r="K946" s="105"/>
      <c r="L946" s="105"/>
      <c r="M946" s="106" t="s">
        <v>3977</v>
      </c>
      <c r="N946" s="106" t="s">
        <v>40</v>
      </c>
      <c r="O946" s="107"/>
      <c r="P946" s="106" t="s">
        <v>3978</v>
      </c>
    </row>
    <row r="947" spans="1:16" outlineLevel="2" x14ac:dyDescent="0.3">
      <c r="A947" s="105" t="s">
        <v>3979</v>
      </c>
      <c r="B947" s="106"/>
      <c r="C947" s="106"/>
      <c r="D947" s="106"/>
      <c r="E947" s="106" t="s">
        <v>3980</v>
      </c>
      <c r="F947" s="106" t="s">
        <v>3981</v>
      </c>
      <c r="G947" s="105">
        <v>4</v>
      </c>
      <c r="H947" s="106" t="s">
        <v>7</v>
      </c>
      <c r="I947" s="105" t="s">
        <v>39</v>
      </c>
      <c r="J947" s="105"/>
      <c r="K947" s="105"/>
      <c r="L947" s="105"/>
      <c r="M947" s="106" t="s">
        <v>3982</v>
      </c>
      <c r="N947" s="106" t="s">
        <v>223</v>
      </c>
      <c r="O947" s="107"/>
      <c r="P947" s="106" t="s">
        <v>3983</v>
      </c>
    </row>
    <row r="948" spans="1:16" outlineLevel="2" x14ac:dyDescent="0.3">
      <c r="A948" s="105" t="s">
        <v>3984</v>
      </c>
      <c r="B948" s="106"/>
      <c r="C948" s="106"/>
      <c r="D948" s="106"/>
      <c r="E948" s="106" t="s">
        <v>3985</v>
      </c>
      <c r="F948" s="106" t="s">
        <v>3986</v>
      </c>
      <c r="G948" s="105">
        <v>4</v>
      </c>
      <c r="H948" s="106" t="s">
        <v>7</v>
      </c>
      <c r="I948" s="105" t="s">
        <v>39</v>
      </c>
      <c r="J948" s="105"/>
      <c r="K948" s="105"/>
      <c r="L948" s="105"/>
      <c r="M948" s="106" t="s">
        <v>3987</v>
      </c>
      <c r="N948" s="106" t="s">
        <v>223</v>
      </c>
      <c r="O948" s="107"/>
      <c r="P948" s="106" t="s">
        <v>3988</v>
      </c>
    </row>
    <row r="949" spans="1:16" outlineLevel="2" x14ac:dyDescent="0.3">
      <c r="A949" s="105" t="s">
        <v>3989</v>
      </c>
      <c r="B949" s="106"/>
      <c r="C949" s="106"/>
      <c r="D949" s="106"/>
      <c r="E949" s="106" t="s">
        <v>3990</v>
      </c>
      <c r="F949" s="106" t="s">
        <v>3991</v>
      </c>
      <c r="G949" s="105">
        <v>4</v>
      </c>
      <c r="H949" s="106" t="s">
        <v>7</v>
      </c>
      <c r="I949" s="105" t="s">
        <v>39</v>
      </c>
      <c r="J949" s="105"/>
      <c r="K949" s="105"/>
      <c r="L949" s="105"/>
      <c r="M949" s="106" t="s">
        <v>3992</v>
      </c>
      <c r="N949" s="106" t="s">
        <v>223</v>
      </c>
      <c r="O949" s="107"/>
      <c r="P949" s="106" t="s">
        <v>3993</v>
      </c>
    </row>
    <row r="950" spans="1:16" outlineLevel="2" x14ac:dyDescent="0.3">
      <c r="A950" s="105" t="s">
        <v>3994</v>
      </c>
      <c r="B950" s="106"/>
      <c r="C950" s="106"/>
      <c r="D950" s="106"/>
      <c r="E950" s="106" t="s">
        <v>3995</v>
      </c>
      <c r="F950" s="106" t="s">
        <v>3996</v>
      </c>
      <c r="G950" s="105">
        <v>4</v>
      </c>
      <c r="H950" s="106" t="s">
        <v>7</v>
      </c>
      <c r="I950" s="105" t="s">
        <v>39</v>
      </c>
      <c r="J950" s="105"/>
      <c r="K950" s="105"/>
      <c r="L950" s="105"/>
      <c r="M950" s="106" t="s">
        <v>3992</v>
      </c>
      <c r="N950" s="106" t="s">
        <v>40</v>
      </c>
      <c r="O950" s="107"/>
      <c r="P950" s="106" t="s">
        <v>3997</v>
      </c>
    </row>
    <row r="951" spans="1:16" outlineLevel="2" x14ac:dyDescent="0.3">
      <c r="A951" s="105" t="s">
        <v>3998</v>
      </c>
      <c r="B951" s="106"/>
      <c r="C951" s="106"/>
      <c r="D951" s="106"/>
      <c r="E951" s="106" t="s">
        <v>2746</v>
      </c>
      <c r="F951" s="106" t="s">
        <v>3999</v>
      </c>
      <c r="G951" s="105">
        <v>4</v>
      </c>
      <c r="H951" s="106" t="s">
        <v>7</v>
      </c>
      <c r="I951" s="105" t="s">
        <v>39</v>
      </c>
      <c r="J951" s="105"/>
      <c r="K951" s="105"/>
      <c r="L951" s="105"/>
      <c r="M951" s="106" t="s">
        <v>4000</v>
      </c>
      <c r="N951" s="106" t="s">
        <v>223</v>
      </c>
      <c r="O951" s="107"/>
      <c r="P951" s="106" t="s">
        <v>4001</v>
      </c>
    </row>
    <row r="952" spans="1:16" outlineLevel="2" x14ac:dyDescent="0.3">
      <c r="A952" s="105" t="s">
        <v>4002</v>
      </c>
      <c r="B952" s="106"/>
      <c r="C952" s="106"/>
      <c r="D952" s="106"/>
      <c r="E952" s="106" t="s">
        <v>4003</v>
      </c>
      <c r="F952" s="106" t="s">
        <v>4004</v>
      </c>
      <c r="G952" s="105">
        <v>4</v>
      </c>
      <c r="H952" s="106" t="s">
        <v>7</v>
      </c>
      <c r="I952" s="105" t="s">
        <v>39</v>
      </c>
      <c r="J952" s="105"/>
      <c r="K952" s="105"/>
      <c r="L952" s="105"/>
      <c r="M952" s="106" t="s">
        <v>4005</v>
      </c>
      <c r="N952" s="106" t="s">
        <v>40</v>
      </c>
      <c r="O952" s="107"/>
      <c r="P952" s="106" t="s">
        <v>4006</v>
      </c>
    </row>
    <row r="953" spans="1:16" outlineLevel="2" x14ac:dyDescent="0.3">
      <c r="A953" s="105" t="s">
        <v>4007</v>
      </c>
      <c r="B953" s="106"/>
      <c r="C953" s="106"/>
      <c r="D953" s="106"/>
      <c r="E953" s="106" t="s">
        <v>4008</v>
      </c>
      <c r="F953" s="106" t="s">
        <v>4009</v>
      </c>
      <c r="G953" s="105">
        <v>4</v>
      </c>
      <c r="H953" s="106" t="s">
        <v>7</v>
      </c>
      <c r="I953" s="105" t="s">
        <v>39</v>
      </c>
      <c r="J953" s="105"/>
      <c r="K953" s="105"/>
      <c r="L953" s="105"/>
      <c r="M953" s="106" t="s">
        <v>4010</v>
      </c>
      <c r="N953" s="106" t="s">
        <v>223</v>
      </c>
      <c r="O953" s="107"/>
      <c r="P953" s="106" t="s">
        <v>4011</v>
      </c>
    </row>
    <row r="954" spans="1:16" outlineLevel="2" x14ac:dyDescent="0.3">
      <c r="A954" s="105" t="s">
        <v>4012</v>
      </c>
      <c r="B954" s="106"/>
      <c r="C954" s="106"/>
      <c r="D954" s="106"/>
      <c r="E954" s="106" t="s">
        <v>3648</v>
      </c>
      <c r="F954" s="106" t="s">
        <v>4013</v>
      </c>
      <c r="G954" s="105">
        <v>4</v>
      </c>
      <c r="H954" s="106" t="s">
        <v>7</v>
      </c>
      <c r="I954" s="105" t="s">
        <v>39</v>
      </c>
      <c r="J954" s="105"/>
      <c r="K954" s="105"/>
      <c r="L954" s="105"/>
      <c r="M954" s="106" t="s">
        <v>4014</v>
      </c>
      <c r="N954" s="106" t="s">
        <v>287</v>
      </c>
      <c r="O954" s="107"/>
      <c r="P954" s="106"/>
    </row>
    <row r="955" spans="1:16" outlineLevel="2" x14ac:dyDescent="0.3">
      <c r="A955" s="105" t="s">
        <v>4015</v>
      </c>
      <c r="B955" s="106"/>
      <c r="C955" s="106"/>
      <c r="D955" s="106"/>
      <c r="E955" s="106" t="s">
        <v>4016</v>
      </c>
      <c r="F955" s="106" t="s">
        <v>4017</v>
      </c>
      <c r="G955" s="105">
        <v>4</v>
      </c>
      <c r="H955" s="106" t="s">
        <v>7</v>
      </c>
      <c r="I955" s="105" t="s">
        <v>39</v>
      </c>
      <c r="J955" s="105"/>
      <c r="K955" s="105"/>
      <c r="L955" s="105"/>
      <c r="M955" s="106"/>
      <c r="N955" s="106" t="s">
        <v>287</v>
      </c>
      <c r="O955" s="107"/>
      <c r="P955" s="106"/>
    </row>
    <row r="956" spans="1:16" outlineLevel="2" x14ac:dyDescent="0.3">
      <c r="A956" s="105" t="s">
        <v>4018</v>
      </c>
      <c r="B956" s="106"/>
      <c r="C956" s="106"/>
      <c r="D956" s="106"/>
      <c r="E956" s="106" t="s">
        <v>4019</v>
      </c>
      <c r="F956" s="106" t="s">
        <v>4020</v>
      </c>
      <c r="G956" s="105">
        <v>4</v>
      </c>
      <c r="H956" s="106" t="s">
        <v>7</v>
      </c>
      <c r="I956" s="105" t="s">
        <v>39</v>
      </c>
      <c r="J956" s="105"/>
      <c r="K956" s="105"/>
      <c r="L956" s="105"/>
      <c r="M956" s="106" t="s">
        <v>4021</v>
      </c>
      <c r="N956" s="106" t="s">
        <v>40</v>
      </c>
      <c r="O956" s="107"/>
      <c r="P956" s="106" t="s">
        <v>4022</v>
      </c>
    </row>
    <row r="957" spans="1:16" ht="41.4" outlineLevel="1" x14ac:dyDescent="0.3">
      <c r="A957" s="192" t="s">
        <v>4023</v>
      </c>
      <c r="B957" s="193"/>
      <c r="C957" s="194" t="s">
        <v>4024</v>
      </c>
      <c r="D957" s="193"/>
      <c r="E957" s="193"/>
      <c r="F957" s="193"/>
      <c r="G957" s="192">
        <v>2</v>
      </c>
      <c r="H957" s="193" t="s">
        <v>25</v>
      </c>
      <c r="I957" s="192" t="s">
        <v>39</v>
      </c>
      <c r="J957" s="192">
        <v>40</v>
      </c>
      <c r="K957" s="192">
        <v>0</v>
      </c>
      <c r="L957" s="192">
        <v>40</v>
      </c>
      <c r="M957" s="195" t="s">
        <v>4025</v>
      </c>
      <c r="N957" s="195" t="s">
        <v>40</v>
      </c>
      <c r="O957" s="196"/>
      <c r="P957" s="195" t="s">
        <v>4026</v>
      </c>
    </row>
    <row r="958" spans="1:16" outlineLevel="2" x14ac:dyDescent="0.3">
      <c r="A958" s="105" t="s">
        <v>4027</v>
      </c>
      <c r="B958" s="106"/>
      <c r="C958" s="106"/>
      <c r="D958" s="106"/>
      <c r="E958" s="106" t="s">
        <v>4028</v>
      </c>
      <c r="F958" s="106" t="s">
        <v>4029</v>
      </c>
      <c r="G958" s="105">
        <v>4</v>
      </c>
      <c r="H958" s="106" t="s">
        <v>7</v>
      </c>
      <c r="I958" s="105" t="s">
        <v>39</v>
      </c>
      <c r="J958" s="105"/>
      <c r="K958" s="105"/>
      <c r="L958" s="105"/>
      <c r="M958" s="106" t="s">
        <v>4030</v>
      </c>
      <c r="N958" s="106" t="s">
        <v>40</v>
      </c>
      <c r="O958" s="107"/>
      <c r="P958" s="106" t="s">
        <v>4031</v>
      </c>
    </row>
    <row r="959" spans="1:16" outlineLevel="2" x14ac:dyDescent="0.3">
      <c r="A959" s="105" t="s">
        <v>4032</v>
      </c>
      <c r="B959" s="106"/>
      <c r="C959" s="106"/>
      <c r="D959" s="106"/>
      <c r="E959" s="106" t="s">
        <v>4033</v>
      </c>
      <c r="F959" s="106" t="s">
        <v>4034</v>
      </c>
      <c r="G959" s="105">
        <v>4</v>
      </c>
      <c r="H959" s="106" t="s">
        <v>7</v>
      </c>
      <c r="I959" s="105" t="s">
        <v>39</v>
      </c>
      <c r="J959" s="105"/>
      <c r="K959" s="105"/>
      <c r="L959" s="105"/>
      <c r="M959" s="106" t="s">
        <v>4035</v>
      </c>
      <c r="N959" s="106" t="s">
        <v>40</v>
      </c>
      <c r="O959" s="107"/>
      <c r="P959" s="106" t="s">
        <v>4036</v>
      </c>
    </row>
    <row r="960" spans="1:16" outlineLevel="2" x14ac:dyDescent="0.3">
      <c r="A960" s="105" t="s">
        <v>4037</v>
      </c>
      <c r="B960" s="106"/>
      <c r="C960" s="106"/>
      <c r="D960" s="106"/>
      <c r="E960" s="106" t="s">
        <v>4038</v>
      </c>
      <c r="F960" s="106" t="s">
        <v>4039</v>
      </c>
      <c r="G960" s="105">
        <v>4</v>
      </c>
      <c r="H960" s="106" t="s">
        <v>7</v>
      </c>
      <c r="I960" s="105" t="s">
        <v>39</v>
      </c>
      <c r="J960" s="105"/>
      <c r="K960" s="105"/>
      <c r="L960" s="105"/>
      <c r="M960" s="106" t="s">
        <v>4040</v>
      </c>
      <c r="N960" s="106" t="s">
        <v>40</v>
      </c>
      <c r="O960" s="107"/>
      <c r="P960" s="106" t="s">
        <v>4041</v>
      </c>
    </row>
    <row r="961" spans="1:16" outlineLevel="2" x14ac:dyDescent="0.3">
      <c r="A961" s="105" t="s">
        <v>4042</v>
      </c>
      <c r="B961" s="106"/>
      <c r="C961" s="106"/>
      <c r="D961" s="106"/>
      <c r="E961" s="106" t="s">
        <v>4043</v>
      </c>
      <c r="F961" s="106" t="s">
        <v>4044</v>
      </c>
      <c r="G961" s="105">
        <v>4</v>
      </c>
      <c r="H961" s="106" t="s">
        <v>7</v>
      </c>
      <c r="I961" s="105" t="s">
        <v>39</v>
      </c>
      <c r="J961" s="105"/>
      <c r="K961" s="105"/>
      <c r="L961" s="105"/>
      <c r="M961" s="106" t="s">
        <v>4045</v>
      </c>
      <c r="N961" s="106" t="s">
        <v>40</v>
      </c>
      <c r="O961" s="107"/>
      <c r="P961" s="106" t="s">
        <v>4046</v>
      </c>
    </row>
    <row r="962" spans="1:16" outlineLevel="2" x14ac:dyDescent="0.3">
      <c r="A962" s="105" t="s">
        <v>4047</v>
      </c>
      <c r="B962" s="106"/>
      <c r="C962" s="106"/>
      <c r="D962" s="106"/>
      <c r="E962" s="106" t="s">
        <v>4048</v>
      </c>
      <c r="F962" s="106" t="s">
        <v>4049</v>
      </c>
      <c r="G962" s="105">
        <v>4</v>
      </c>
      <c r="H962" s="106" t="s">
        <v>7</v>
      </c>
      <c r="I962" s="105" t="s">
        <v>39</v>
      </c>
      <c r="J962" s="105"/>
      <c r="K962" s="105"/>
      <c r="L962" s="105"/>
      <c r="M962" s="106" t="s">
        <v>4050</v>
      </c>
      <c r="N962" s="106" t="s">
        <v>223</v>
      </c>
      <c r="O962" s="107"/>
      <c r="P962" s="106" t="s">
        <v>4051</v>
      </c>
    </row>
    <row r="963" spans="1:16" outlineLevel="2" x14ac:dyDescent="0.3">
      <c r="A963" s="105" t="s">
        <v>4052</v>
      </c>
      <c r="B963" s="106"/>
      <c r="C963" s="106"/>
      <c r="D963" s="106"/>
      <c r="E963" s="106" t="s">
        <v>4053</v>
      </c>
      <c r="F963" s="106" t="s">
        <v>4054</v>
      </c>
      <c r="G963" s="105">
        <v>4</v>
      </c>
      <c r="H963" s="106" t="s">
        <v>7</v>
      </c>
      <c r="I963" s="105" t="s">
        <v>39</v>
      </c>
      <c r="J963" s="105"/>
      <c r="K963" s="105"/>
      <c r="L963" s="105"/>
      <c r="M963" s="106" t="s">
        <v>4055</v>
      </c>
      <c r="N963" s="106" t="s">
        <v>223</v>
      </c>
      <c r="O963" s="107"/>
      <c r="P963" s="106" t="s">
        <v>4056</v>
      </c>
    </row>
    <row r="964" spans="1:16" outlineLevel="2" x14ac:dyDescent="0.3">
      <c r="A964" s="105" t="s">
        <v>4057</v>
      </c>
      <c r="B964" s="106"/>
      <c r="C964" s="106"/>
      <c r="D964" s="106"/>
      <c r="E964" s="106" t="s">
        <v>4058</v>
      </c>
      <c r="F964" s="106" t="s">
        <v>4059</v>
      </c>
      <c r="G964" s="105">
        <v>4</v>
      </c>
      <c r="H964" s="106" t="s">
        <v>7</v>
      </c>
      <c r="I964" s="105" t="s">
        <v>39</v>
      </c>
      <c r="J964" s="105"/>
      <c r="K964" s="105"/>
      <c r="L964" s="105"/>
      <c r="M964" s="106" t="s">
        <v>4060</v>
      </c>
      <c r="N964" s="106" t="s">
        <v>223</v>
      </c>
      <c r="O964" s="107"/>
      <c r="P964" s="106" t="s">
        <v>4061</v>
      </c>
    </row>
    <row r="965" spans="1:16" outlineLevel="2" x14ac:dyDescent="0.3">
      <c r="A965" s="105" t="s">
        <v>4062</v>
      </c>
      <c r="B965" s="106"/>
      <c r="C965" s="106"/>
      <c r="D965" s="106"/>
      <c r="E965" s="106" t="s">
        <v>4063</v>
      </c>
      <c r="F965" s="106" t="s">
        <v>4064</v>
      </c>
      <c r="G965" s="105">
        <v>4</v>
      </c>
      <c r="H965" s="106" t="s">
        <v>7</v>
      </c>
      <c r="I965" s="105" t="s">
        <v>39</v>
      </c>
      <c r="J965" s="105"/>
      <c r="K965" s="105"/>
      <c r="L965" s="105"/>
      <c r="M965" s="106" t="s">
        <v>4065</v>
      </c>
      <c r="N965" s="106" t="s">
        <v>223</v>
      </c>
      <c r="O965" s="107"/>
      <c r="P965" s="106" t="s">
        <v>4066</v>
      </c>
    </row>
    <row r="966" spans="1:16" outlineLevel="2" x14ac:dyDescent="0.3">
      <c r="A966" s="105" t="s">
        <v>4067</v>
      </c>
      <c r="B966" s="106"/>
      <c r="C966" s="106"/>
      <c r="D966" s="106"/>
      <c r="E966" s="106" t="s">
        <v>4068</v>
      </c>
      <c r="F966" s="106" t="s">
        <v>4069</v>
      </c>
      <c r="G966" s="105">
        <v>4</v>
      </c>
      <c r="H966" s="106" t="s">
        <v>7</v>
      </c>
      <c r="I966" s="105" t="s">
        <v>39</v>
      </c>
      <c r="J966" s="105"/>
      <c r="K966" s="105"/>
      <c r="L966" s="105"/>
      <c r="M966" s="106" t="s">
        <v>4070</v>
      </c>
      <c r="N966" s="106" t="s">
        <v>40</v>
      </c>
      <c r="O966" s="107"/>
      <c r="P966" s="106" t="s">
        <v>4071</v>
      </c>
    </row>
    <row r="967" spans="1:16" outlineLevel="2" x14ac:dyDescent="0.3">
      <c r="A967" s="105" t="s">
        <v>4072</v>
      </c>
      <c r="B967" s="106"/>
      <c r="C967" s="106"/>
      <c r="D967" s="106"/>
      <c r="E967" s="106" t="s">
        <v>4073</v>
      </c>
      <c r="F967" s="106" t="s">
        <v>4074</v>
      </c>
      <c r="G967" s="105">
        <v>4</v>
      </c>
      <c r="H967" s="106" t="s">
        <v>7</v>
      </c>
      <c r="I967" s="105" t="s">
        <v>39</v>
      </c>
      <c r="J967" s="105"/>
      <c r="K967" s="105"/>
      <c r="L967" s="105"/>
      <c r="M967" s="106" t="s">
        <v>226</v>
      </c>
      <c r="N967" s="106" t="s">
        <v>40</v>
      </c>
      <c r="O967" s="107"/>
      <c r="P967" s="106" t="s">
        <v>4075</v>
      </c>
    </row>
    <row r="968" spans="1:16" outlineLevel="2" x14ac:dyDescent="0.3">
      <c r="A968" s="105" t="s">
        <v>4076</v>
      </c>
      <c r="B968" s="106"/>
      <c r="C968" s="106"/>
      <c r="D968" s="106"/>
      <c r="E968" s="106" t="s">
        <v>4077</v>
      </c>
      <c r="F968" s="106" t="s">
        <v>4078</v>
      </c>
      <c r="G968" s="105">
        <v>4</v>
      </c>
      <c r="H968" s="106" t="s">
        <v>7</v>
      </c>
      <c r="I968" s="105" t="s">
        <v>39</v>
      </c>
      <c r="J968" s="105"/>
      <c r="K968" s="105"/>
      <c r="L968" s="105"/>
      <c r="M968" s="106" t="s">
        <v>4079</v>
      </c>
      <c r="N968" s="106" t="s">
        <v>40</v>
      </c>
      <c r="O968" s="107"/>
      <c r="P968" s="106" t="s">
        <v>4080</v>
      </c>
    </row>
    <row r="969" spans="1:16" outlineLevel="2" x14ac:dyDescent="0.3">
      <c r="A969" s="105" t="s">
        <v>4081</v>
      </c>
      <c r="B969" s="106"/>
      <c r="C969" s="106"/>
      <c r="D969" s="106"/>
      <c r="E969" s="106" t="s">
        <v>4082</v>
      </c>
      <c r="F969" s="106" t="s">
        <v>4083</v>
      </c>
      <c r="G969" s="105">
        <v>4</v>
      </c>
      <c r="H969" s="106" t="s">
        <v>7</v>
      </c>
      <c r="I969" s="105" t="s">
        <v>39</v>
      </c>
      <c r="J969" s="105"/>
      <c r="K969" s="105"/>
      <c r="L969" s="105"/>
      <c r="M969" s="106" t="s">
        <v>4084</v>
      </c>
      <c r="N969" s="106" t="s">
        <v>223</v>
      </c>
      <c r="O969" s="107"/>
      <c r="P969" s="106" t="s">
        <v>4085</v>
      </c>
    </row>
    <row r="970" spans="1:16" outlineLevel="2" x14ac:dyDescent="0.3">
      <c r="A970" s="105" t="s">
        <v>4086</v>
      </c>
      <c r="B970" s="106"/>
      <c r="C970" s="106"/>
      <c r="D970" s="106"/>
      <c r="E970" s="106" t="s">
        <v>4087</v>
      </c>
      <c r="F970" s="106" t="s">
        <v>4088</v>
      </c>
      <c r="G970" s="105">
        <v>4</v>
      </c>
      <c r="H970" s="106" t="s">
        <v>7</v>
      </c>
      <c r="I970" s="105" t="s">
        <v>39</v>
      </c>
      <c r="J970" s="105"/>
      <c r="K970" s="105"/>
      <c r="L970" s="105"/>
      <c r="M970" s="106" t="s">
        <v>4089</v>
      </c>
      <c r="N970" s="106" t="s">
        <v>223</v>
      </c>
      <c r="O970" s="107"/>
      <c r="P970" s="106" t="s">
        <v>4090</v>
      </c>
    </row>
    <row r="971" spans="1:16" outlineLevel="2" x14ac:dyDescent="0.3">
      <c r="A971" s="105" t="s">
        <v>4091</v>
      </c>
      <c r="B971" s="106"/>
      <c r="C971" s="106"/>
      <c r="D971" s="106"/>
      <c r="E971" s="106" t="s">
        <v>4092</v>
      </c>
      <c r="F971" s="106" t="s">
        <v>4093</v>
      </c>
      <c r="G971" s="105">
        <v>4</v>
      </c>
      <c r="H971" s="106" t="s">
        <v>7</v>
      </c>
      <c r="I971" s="105" t="s">
        <v>39</v>
      </c>
      <c r="J971" s="105"/>
      <c r="K971" s="105"/>
      <c r="L971" s="105"/>
      <c r="M971" s="106" t="s">
        <v>4094</v>
      </c>
      <c r="N971" s="106" t="s">
        <v>40</v>
      </c>
      <c r="O971" s="107"/>
      <c r="P971" s="106" t="s">
        <v>4095</v>
      </c>
    </row>
    <row r="972" spans="1:16" outlineLevel="2" x14ac:dyDescent="0.3">
      <c r="A972" s="105" t="s">
        <v>4096</v>
      </c>
      <c r="B972" s="106"/>
      <c r="C972" s="106"/>
      <c r="D972" s="106"/>
      <c r="E972" s="106" t="s">
        <v>4097</v>
      </c>
      <c r="F972" s="106" t="s">
        <v>4098</v>
      </c>
      <c r="G972" s="105">
        <v>4</v>
      </c>
      <c r="H972" s="106" t="s">
        <v>7</v>
      </c>
      <c r="I972" s="105" t="s">
        <v>39</v>
      </c>
      <c r="J972" s="105"/>
      <c r="K972" s="105"/>
      <c r="L972" s="105"/>
      <c r="M972" s="106" t="s">
        <v>4099</v>
      </c>
      <c r="N972" s="106" t="s">
        <v>40</v>
      </c>
      <c r="O972" s="107"/>
      <c r="P972" s="106" t="s">
        <v>4100</v>
      </c>
    </row>
    <row r="973" spans="1:16" outlineLevel="2" x14ac:dyDescent="0.3">
      <c r="A973" s="105" t="s">
        <v>4101</v>
      </c>
      <c r="B973" s="106"/>
      <c r="C973" s="106"/>
      <c r="D973" s="106"/>
      <c r="E973" s="106" t="s">
        <v>4102</v>
      </c>
      <c r="F973" s="106" t="s">
        <v>4103</v>
      </c>
      <c r="G973" s="105">
        <v>4</v>
      </c>
      <c r="H973" s="106" t="s">
        <v>7</v>
      </c>
      <c r="I973" s="105" t="s">
        <v>39</v>
      </c>
      <c r="J973" s="105"/>
      <c r="K973" s="105"/>
      <c r="L973" s="105"/>
      <c r="M973" s="106" t="s">
        <v>4104</v>
      </c>
      <c r="N973" s="106" t="s">
        <v>223</v>
      </c>
      <c r="O973" s="107"/>
      <c r="P973" s="106" t="s">
        <v>4105</v>
      </c>
    </row>
    <row r="974" spans="1:16" outlineLevel="2" x14ac:dyDescent="0.3">
      <c r="A974" s="105" t="s">
        <v>4106</v>
      </c>
      <c r="B974" s="106"/>
      <c r="C974" s="106"/>
      <c r="D974" s="106"/>
      <c r="E974" s="106" t="s">
        <v>4107</v>
      </c>
      <c r="F974" s="106" t="s">
        <v>3996</v>
      </c>
      <c r="G974" s="105">
        <v>4</v>
      </c>
      <c r="H974" s="106" t="s">
        <v>7</v>
      </c>
      <c r="I974" s="105" t="s">
        <v>39</v>
      </c>
      <c r="J974" s="105"/>
      <c r="K974" s="105"/>
      <c r="L974" s="105"/>
      <c r="M974" s="106" t="s">
        <v>4108</v>
      </c>
      <c r="N974" s="106" t="s">
        <v>40</v>
      </c>
      <c r="O974" s="107"/>
      <c r="P974" s="106" t="s">
        <v>4109</v>
      </c>
    </row>
    <row r="975" spans="1:16" outlineLevel="2" x14ac:dyDescent="0.3">
      <c r="A975" s="105" t="s">
        <v>4110</v>
      </c>
      <c r="B975" s="106"/>
      <c r="C975" s="106"/>
      <c r="D975" s="106"/>
      <c r="E975" s="106" t="s">
        <v>4111</v>
      </c>
      <c r="F975" s="106" t="s">
        <v>4112</v>
      </c>
      <c r="G975" s="105">
        <v>4</v>
      </c>
      <c r="H975" s="106" t="s">
        <v>7</v>
      </c>
      <c r="I975" s="105" t="s">
        <v>39</v>
      </c>
      <c r="J975" s="105"/>
      <c r="K975" s="105"/>
      <c r="L975" s="105"/>
      <c r="M975" s="106" t="s">
        <v>4113</v>
      </c>
      <c r="N975" s="106" t="s">
        <v>40</v>
      </c>
      <c r="O975" s="107"/>
      <c r="P975" s="106" t="s">
        <v>4114</v>
      </c>
    </row>
    <row r="976" spans="1:16" outlineLevel="2" x14ac:dyDescent="0.3">
      <c r="A976" s="105" t="s">
        <v>4115</v>
      </c>
      <c r="B976" s="106"/>
      <c r="C976" s="106"/>
      <c r="D976" s="106"/>
      <c r="E976" s="106" t="s">
        <v>4116</v>
      </c>
      <c r="F976" s="106" t="s">
        <v>4117</v>
      </c>
      <c r="G976" s="105">
        <v>4</v>
      </c>
      <c r="H976" s="106" t="s">
        <v>7</v>
      </c>
      <c r="I976" s="105" t="s">
        <v>39</v>
      </c>
      <c r="J976" s="105"/>
      <c r="K976" s="105"/>
      <c r="L976" s="105"/>
      <c r="M976" s="106" t="s">
        <v>4118</v>
      </c>
      <c r="N976" s="106" t="s">
        <v>40</v>
      </c>
      <c r="O976" s="107"/>
      <c r="P976" s="106" t="s">
        <v>4119</v>
      </c>
    </row>
    <row r="977" spans="1:16" outlineLevel="2" x14ac:dyDescent="0.3">
      <c r="A977" s="105" t="s">
        <v>4120</v>
      </c>
      <c r="B977" s="106"/>
      <c r="C977" s="106"/>
      <c r="D977" s="106"/>
      <c r="E977" s="106" t="s">
        <v>4121</v>
      </c>
      <c r="F977" s="106" t="s">
        <v>4122</v>
      </c>
      <c r="G977" s="105">
        <v>4</v>
      </c>
      <c r="H977" s="106" t="s">
        <v>7</v>
      </c>
      <c r="I977" s="105" t="s">
        <v>39</v>
      </c>
      <c r="J977" s="105"/>
      <c r="K977" s="105"/>
      <c r="L977" s="105"/>
      <c r="M977" s="106" t="s">
        <v>4123</v>
      </c>
      <c r="N977" s="106" t="s">
        <v>40</v>
      </c>
      <c r="O977" s="107"/>
      <c r="P977" s="106" t="s">
        <v>4124</v>
      </c>
    </row>
    <row r="978" spans="1:16" outlineLevel="2" x14ac:dyDescent="0.3">
      <c r="A978" s="105" t="s">
        <v>4125</v>
      </c>
      <c r="B978" s="106"/>
      <c r="C978" s="106"/>
      <c r="D978" s="106"/>
      <c r="E978" s="106" t="s">
        <v>4126</v>
      </c>
      <c r="F978" s="106" t="s">
        <v>4127</v>
      </c>
      <c r="G978" s="105">
        <v>4</v>
      </c>
      <c r="H978" s="106" t="s">
        <v>7</v>
      </c>
      <c r="I978" s="105" t="s">
        <v>39</v>
      </c>
      <c r="J978" s="105"/>
      <c r="K978" s="105"/>
      <c r="L978" s="105"/>
      <c r="M978" s="106" t="s">
        <v>4128</v>
      </c>
      <c r="N978" s="106" t="s">
        <v>223</v>
      </c>
      <c r="O978" s="107"/>
      <c r="P978" s="106" t="s">
        <v>4129</v>
      </c>
    </row>
    <row r="979" spans="1:16" outlineLevel="2" x14ac:dyDescent="0.3">
      <c r="A979" s="105" t="s">
        <v>4130</v>
      </c>
      <c r="B979" s="106"/>
      <c r="C979" s="106"/>
      <c r="D979" s="106"/>
      <c r="E979" s="106" t="s">
        <v>4131</v>
      </c>
      <c r="F979" s="106" t="s">
        <v>4132</v>
      </c>
      <c r="G979" s="105">
        <v>4</v>
      </c>
      <c r="H979" s="106" t="s">
        <v>7</v>
      </c>
      <c r="I979" s="105" t="s">
        <v>39</v>
      </c>
      <c r="J979" s="105"/>
      <c r="K979" s="105"/>
      <c r="L979" s="105"/>
      <c r="M979" s="106" t="s">
        <v>4133</v>
      </c>
      <c r="N979" s="106" t="s">
        <v>40</v>
      </c>
      <c r="O979" s="107"/>
      <c r="P979" s="106" t="s">
        <v>4134</v>
      </c>
    </row>
    <row r="980" spans="1:16" outlineLevel="2" x14ac:dyDescent="0.3">
      <c r="A980" s="105" t="s">
        <v>4135</v>
      </c>
      <c r="B980" s="106"/>
      <c r="C980" s="106"/>
      <c r="D980" s="106"/>
      <c r="E980" s="106" t="s">
        <v>4136</v>
      </c>
      <c r="F980" s="106" t="s">
        <v>4137</v>
      </c>
      <c r="G980" s="105">
        <v>4</v>
      </c>
      <c r="H980" s="106" t="s">
        <v>7</v>
      </c>
      <c r="I980" s="105" t="s">
        <v>39</v>
      </c>
      <c r="J980" s="105"/>
      <c r="K980" s="105"/>
      <c r="L980" s="105"/>
      <c r="M980" s="106" t="s">
        <v>4138</v>
      </c>
      <c r="N980" s="106" t="s">
        <v>223</v>
      </c>
      <c r="O980" s="107"/>
      <c r="P980" s="106" t="s">
        <v>4139</v>
      </c>
    </row>
    <row r="981" spans="1:16" outlineLevel="2" x14ac:dyDescent="0.3">
      <c r="A981" s="105" t="s">
        <v>4140</v>
      </c>
      <c r="B981" s="106"/>
      <c r="C981" s="106"/>
      <c r="D981" s="106"/>
      <c r="E981" s="106" t="s">
        <v>4141</v>
      </c>
      <c r="F981" s="106" t="s">
        <v>4142</v>
      </c>
      <c r="G981" s="105">
        <v>4</v>
      </c>
      <c r="H981" s="106" t="s">
        <v>7</v>
      </c>
      <c r="I981" s="105" t="s">
        <v>39</v>
      </c>
      <c r="J981" s="105"/>
      <c r="K981" s="105"/>
      <c r="L981" s="105"/>
      <c r="M981" s="106" t="s">
        <v>4143</v>
      </c>
      <c r="N981" s="106" t="s">
        <v>40</v>
      </c>
      <c r="O981" s="107"/>
      <c r="P981" s="106" t="s">
        <v>4144</v>
      </c>
    </row>
    <row r="982" spans="1:16" outlineLevel="2" x14ac:dyDescent="0.3">
      <c r="A982" s="105" t="s">
        <v>4145</v>
      </c>
      <c r="B982" s="106"/>
      <c r="C982" s="106"/>
      <c r="D982" s="106"/>
      <c r="E982" s="106" t="s">
        <v>4146</v>
      </c>
      <c r="F982" s="106" t="s">
        <v>4147</v>
      </c>
      <c r="G982" s="105">
        <v>4</v>
      </c>
      <c r="H982" s="106" t="s">
        <v>7</v>
      </c>
      <c r="I982" s="105" t="s">
        <v>39</v>
      </c>
      <c r="J982" s="105"/>
      <c r="K982" s="105"/>
      <c r="L982" s="105"/>
      <c r="M982" s="106" t="s">
        <v>4148</v>
      </c>
      <c r="N982" s="106" t="s">
        <v>40</v>
      </c>
      <c r="O982" s="107"/>
      <c r="P982" s="106" t="s">
        <v>4149</v>
      </c>
    </row>
    <row r="983" spans="1:16" outlineLevel="2" x14ac:dyDescent="0.3">
      <c r="A983" s="105" t="s">
        <v>4150</v>
      </c>
      <c r="B983" s="106"/>
      <c r="C983" s="106"/>
      <c r="D983" s="106"/>
      <c r="E983" s="106" t="s">
        <v>4151</v>
      </c>
      <c r="F983" s="106" t="s">
        <v>4152</v>
      </c>
      <c r="G983" s="105">
        <v>4</v>
      </c>
      <c r="H983" s="106" t="s">
        <v>7</v>
      </c>
      <c r="I983" s="105" t="s">
        <v>39</v>
      </c>
      <c r="J983" s="105"/>
      <c r="K983" s="105"/>
      <c r="L983" s="105"/>
      <c r="M983" s="106" t="s">
        <v>4153</v>
      </c>
      <c r="N983" s="106" t="s">
        <v>40</v>
      </c>
      <c r="O983" s="107"/>
      <c r="P983" s="106" t="s">
        <v>4154</v>
      </c>
    </row>
    <row r="984" spans="1:16" outlineLevel="2" x14ac:dyDescent="0.3">
      <c r="A984" s="105" t="s">
        <v>4155</v>
      </c>
      <c r="B984" s="106"/>
      <c r="C984" s="106"/>
      <c r="D984" s="106"/>
      <c r="E984" s="106" t="s">
        <v>4156</v>
      </c>
      <c r="F984" s="106" t="s">
        <v>4157</v>
      </c>
      <c r="G984" s="105">
        <v>4</v>
      </c>
      <c r="H984" s="106" t="s">
        <v>7</v>
      </c>
      <c r="I984" s="105" t="s">
        <v>39</v>
      </c>
      <c r="J984" s="105"/>
      <c r="K984" s="105"/>
      <c r="L984" s="105"/>
      <c r="M984" s="106" t="s">
        <v>4158</v>
      </c>
      <c r="N984" s="106" t="s">
        <v>40</v>
      </c>
      <c r="O984" s="107"/>
      <c r="P984" s="106" t="s">
        <v>4159</v>
      </c>
    </row>
    <row r="985" spans="1:16" outlineLevel="2" x14ac:dyDescent="0.3">
      <c r="A985" s="105" t="s">
        <v>4160</v>
      </c>
      <c r="B985" s="106"/>
      <c r="C985" s="106"/>
      <c r="D985" s="106"/>
      <c r="E985" s="106" t="s">
        <v>4161</v>
      </c>
      <c r="F985" s="106" t="s">
        <v>4117</v>
      </c>
      <c r="G985" s="105">
        <v>4</v>
      </c>
      <c r="H985" s="106" t="s">
        <v>7</v>
      </c>
      <c r="I985" s="105" t="s">
        <v>39</v>
      </c>
      <c r="J985" s="105"/>
      <c r="K985" s="105"/>
      <c r="L985" s="105"/>
      <c r="M985" s="106" t="s">
        <v>4162</v>
      </c>
      <c r="N985" s="106" t="s">
        <v>40</v>
      </c>
      <c r="O985" s="107"/>
      <c r="P985" s="106" t="s">
        <v>4163</v>
      </c>
    </row>
    <row r="986" spans="1:16" outlineLevel="2" x14ac:dyDescent="0.3">
      <c r="A986" s="105" t="s">
        <v>4164</v>
      </c>
      <c r="B986" s="106"/>
      <c r="C986" s="106"/>
      <c r="D986" s="106"/>
      <c r="E986" s="106" t="s">
        <v>4165</v>
      </c>
      <c r="F986" s="106" t="s">
        <v>4166</v>
      </c>
      <c r="G986" s="105">
        <v>4</v>
      </c>
      <c r="H986" s="106" t="s">
        <v>7</v>
      </c>
      <c r="I986" s="105" t="s">
        <v>39</v>
      </c>
      <c r="J986" s="105"/>
      <c r="K986" s="105"/>
      <c r="L986" s="105"/>
      <c r="M986" s="106" t="s">
        <v>4167</v>
      </c>
      <c r="N986" s="106" t="s">
        <v>40</v>
      </c>
      <c r="O986" s="107"/>
      <c r="P986" s="106" t="s">
        <v>4168</v>
      </c>
    </row>
    <row r="987" spans="1:16" outlineLevel="2" x14ac:dyDescent="0.3">
      <c r="A987" s="105" t="s">
        <v>4169</v>
      </c>
      <c r="B987" s="106"/>
      <c r="C987" s="106"/>
      <c r="D987" s="106"/>
      <c r="E987" s="106" t="s">
        <v>4170</v>
      </c>
      <c r="F987" s="106" t="s">
        <v>4171</v>
      </c>
      <c r="G987" s="105">
        <v>4</v>
      </c>
      <c r="H987" s="106" t="s">
        <v>7</v>
      </c>
      <c r="I987" s="105" t="s">
        <v>39</v>
      </c>
      <c r="J987" s="105"/>
      <c r="K987" s="105"/>
      <c r="L987" s="105"/>
      <c r="M987" s="106" t="s">
        <v>4172</v>
      </c>
      <c r="N987" s="106" t="s">
        <v>223</v>
      </c>
      <c r="O987" s="107"/>
      <c r="P987" s="106" t="s">
        <v>4173</v>
      </c>
    </row>
    <row r="988" spans="1:16" outlineLevel="2" x14ac:dyDescent="0.3">
      <c r="A988" s="105" t="s">
        <v>4174</v>
      </c>
      <c r="B988" s="106"/>
      <c r="C988" s="106"/>
      <c r="D988" s="106"/>
      <c r="E988" s="106" t="s">
        <v>4175</v>
      </c>
      <c r="F988" s="106" t="s">
        <v>4176</v>
      </c>
      <c r="G988" s="105">
        <v>4</v>
      </c>
      <c r="H988" s="106" t="s">
        <v>7</v>
      </c>
      <c r="I988" s="105" t="s">
        <v>39</v>
      </c>
      <c r="J988" s="105"/>
      <c r="K988" s="105"/>
      <c r="L988" s="105"/>
      <c r="M988" s="106" t="s">
        <v>4177</v>
      </c>
      <c r="N988" s="106" t="s">
        <v>40</v>
      </c>
      <c r="O988" s="107"/>
      <c r="P988" s="106" t="s">
        <v>4178</v>
      </c>
    </row>
    <row r="989" spans="1:16" outlineLevel="2" x14ac:dyDescent="0.3">
      <c r="A989" s="105" t="s">
        <v>4179</v>
      </c>
      <c r="B989" s="106"/>
      <c r="C989" s="106"/>
      <c r="D989" s="106"/>
      <c r="E989" s="106" t="s">
        <v>4180</v>
      </c>
      <c r="F989" s="106" t="s">
        <v>4181</v>
      </c>
      <c r="G989" s="105">
        <v>4</v>
      </c>
      <c r="H989" s="106" t="s">
        <v>7</v>
      </c>
      <c r="I989" s="105" t="s">
        <v>39</v>
      </c>
      <c r="J989" s="105"/>
      <c r="K989" s="105"/>
      <c r="L989" s="105"/>
      <c r="M989" s="106" t="s">
        <v>4182</v>
      </c>
      <c r="N989" s="106" t="s">
        <v>40</v>
      </c>
      <c r="O989" s="107"/>
      <c r="P989" s="106" t="s">
        <v>4183</v>
      </c>
    </row>
    <row r="990" spans="1:16" outlineLevel="2" x14ac:dyDescent="0.3">
      <c r="A990" s="105" t="s">
        <v>4184</v>
      </c>
      <c r="B990" s="106"/>
      <c r="C990" s="106"/>
      <c r="D990" s="106"/>
      <c r="E990" s="106" t="s">
        <v>4185</v>
      </c>
      <c r="F990" s="106" t="s">
        <v>4186</v>
      </c>
      <c r="G990" s="105">
        <v>4</v>
      </c>
      <c r="H990" s="106" t="s">
        <v>7</v>
      </c>
      <c r="I990" s="105" t="s">
        <v>39</v>
      </c>
      <c r="J990" s="105"/>
      <c r="K990" s="105"/>
      <c r="L990" s="105"/>
      <c r="M990" s="106" t="s">
        <v>4187</v>
      </c>
      <c r="N990" s="106" t="s">
        <v>40</v>
      </c>
      <c r="O990" s="107"/>
      <c r="P990" s="106" t="s">
        <v>4188</v>
      </c>
    </row>
    <row r="991" spans="1:16" outlineLevel="2" x14ac:dyDescent="0.3">
      <c r="A991" s="105" t="s">
        <v>4189</v>
      </c>
      <c r="B991" s="106"/>
      <c r="C991" s="106"/>
      <c r="D991" s="106"/>
      <c r="E991" s="106" t="s">
        <v>4190</v>
      </c>
      <c r="F991" s="106" t="s">
        <v>4191</v>
      </c>
      <c r="G991" s="105">
        <v>4</v>
      </c>
      <c r="H991" s="106" t="s">
        <v>7</v>
      </c>
      <c r="I991" s="105" t="s">
        <v>39</v>
      </c>
      <c r="J991" s="105"/>
      <c r="K991" s="105"/>
      <c r="L991" s="105"/>
      <c r="M991" s="106" t="s">
        <v>4192</v>
      </c>
      <c r="N991" s="106" t="s">
        <v>223</v>
      </c>
      <c r="O991" s="107"/>
      <c r="P991" s="106" t="s">
        <v>4193</v>
      </c>
    </row>
    <row r="992" spans="1:16" outlineLevel="2" x14ac:dyDescent="0.3">
      <c r="A992" s="105" t="s">
        <v>4194</v>
      </c>
      <c r="B992" s="106"/>
      <c r="C992" s="106"/>
      <c r="D992" s="106"/>
      <c r="E992" s="106" t="s">
        <v>4195</v>
      </c>
      <c r="F992" s="106" t="s">
        <v>4196</v>
      </c>
      <c r="G992" s="105">
        <v>4</v>
      </c>
      <c r="H992" s="106" t="s">
        <v>7</v>
      </c>
      <c r="I992" s="105" t="s">
        <v>39</v>
      </c>
      <c r="J992" s="105"/>
      <c r="K992" s="105"/>
      <c r="L992" s="105"/>
      <c r="M992" s="106" t="s">
        <v>4197</v>
      </c>
      <c r="N992" s="106" t="s">
        <v>223</v>
      </c>
      <c r="O992" s="107"/>
      <c r="P992" s="106" t="s">
        <v>4198</v>
      </c>
    </row>
    <row r="993" spans="1:16" outlineLevel="2" x14ac:dyDescent="0.3">
      <c r="A993" s="105" t="s">
        <v>4199</v>
      </c>
      <c r="B993" s="106"/>
      <c r="C993" s="106"/>
      <c r="D993" s="106"/>
      <c r="E993" s="106" t="s">
        <v>4200</v>
      </c>
      <c r="F993" s="106" t="s">
        <v>4201</v>
      </c>
      <c r="G993" s="105">
        <v>4</v>
      </c>
      <c r="H993" s="106" t="s">
        <v>7</v>
      </c>
      <c r="I993" s="105" t="s">
        <v>39</v>
      </c>
      <c r="J993" s="105"/>
      <c r="K993" s="105"/>
      <c r="L993" s="105"/>
      <c r="M993" s="106" t="s">
        <v>4202</v>
      </c>
      <c r="N993" s="106" t="s">
        <v>223</v>
      </c>
      <c r="O993" s="107"/>
      <c r="P993" s="106" t="s">
        <v>4203</v>
      </c>
    </row>
    <row r="994" spans="1:16" outlineLevel="2" x14ac:dyDescent="0.3">
      <c r="A994" s="105" t="s">
        <v>4204</v>
      </c>
      <c r="B994" s="106"/>
      <c r="C994" s="106"/>
      <c r="D994" s="106"/>
      <c r="E994" s="106" t="s">
        <v>4205</v>
      </c>
      <c r="F994" s="106" t="s">
        <v>4206</v>
      </c>
      <c r="G994" s="105">
        <v>4</v>
      </c>
      <c r="H994" s="106" t="s">
        <v>7</v>
      </c>
      <c r="I994" s="105" t="s">
        <v>39</v>
      </c>
      <c r="J994" s="105"/>
      <c r="K994" s="105"/>
      <c r="L994" s="105"/>
      <c r="M994" s="106" t="s">
        <v>4207</v>
      </c>
      <c r="N994" s="106" t="s">
        <v>40</v>
      </c>
      <c r="O994" s="107"/>
      <c r="P994" s="106" t="s">
        <v>4208</v>
      </c>
    </row>
    <row r="995" spans="1:16" outlineLevel="2" x14ac:dyDescent="0.3">
      <c r="A995" s="105" t="s">
        <v>4209</v>
      </c>
      <c r="B995" s="106"/>
      <c r="C995" s="106"/>
      <c r="D995" s="106"/>
      <c r="E995" s="106" t="s">
        <v>4210</v>
      </c>
      <c r="F995" s="106" t="s">
        <v>4211</v>
      </c>
      <c r="G995" s="105">
        <v>4</v>
      </c>
      <c r="H995" s="106" t="s">
        <v>7</v>
      </c>
      <c r="I995" s="105" t="s">
        <v>39</v>
      </c>
      <c r="J995" s="105"/>
      <c r="K995" s="105"/>
      <c r="L995" s="105"/>
      <c r="M995" s="106" t="s">
        <v>4212</v>
      </c>
      <c r="N995" s="106" t="s">
        <v>223</v>
      </c>
      <c r="O995" s="107"/>
      <c r="P995" s="106" t="s">
        <v>4213</v>
      </c>
    </row>
    <row r="996" spans="1:16" outlineLevel="2" x14ac:dyDescent="0.3">
      <c r="A996" s="105" t="s">
        <v>4214</v>
      </c>
      <c r="B996" s="106"/>
      <c r="C996" s="106"/>
      <c r="D996" s="106"/>
      <c r="E996" s="106" t="s">
        <v>4215</v>
      </c>
      <c r="F996" s="106" t="s">
        <v>4216</v>
      </c>
      <c r="G996" s="105">
        <v>4</v>
      </c>
      <c r="H996" s="106" t="s">
        <v>7</v>
      </c>
      <c r="I996" s="105" t="s">
        <v>39</v>
      </c>
      <c r="J996" s="105"/>
      <c r="K996" s="105"/>
      <c r="L996" s="105"/>
      <c r="M996" s="106" t="s">
        <v>4217</v>
      </c>
      <c r="N996" s="106" t="s">
        <v>40</v>
      </c>
      <c r="O996" s="107"/>
      <c r="P996" s="106" t="s">
        <v>4218</v>
      </c>
    </row>
    <row r="997" spans="1:16" outlineLevel="2" x14ac:dyDescent="0.3">
      <c r="A997" s="105" t="s">
        <v>4219</v>
      </c>
      <c r="B997" s="106"/>
      <c r="C997" s="106"/>
      <c r="D997" s="106"/>
      <c r="E997" s="106" t="s">
        <v>4220</v>
      </c>
      <c r="F997" s="106" t="s">
        <v>4221</v>
      </c>
      <c r="G997" s="105">
        <v>4</v>
      </c>
      <c r="H997" s="106" t="s">
        <v>7</v>
      </c>
      <c r="I997" s="105" t="s">
        <v>39</v>
      </c>
      <c r="J997" s="105"/>
      <c r="K997" s="105"/>
      <c r="L997" s="105"/>
      <c r="M997" s="106" t="s">
        <v>4222</v>
      </c>
      <c r="N997" s="106" t="s">
        <v>40</v>
      </c>
      <c r="O997" s="107"/>
      <c r="P997" s="106" t="s">
        <v>4223</v>
      </c>
    </row>
    <row r="998" spans="1:16" ht="27.6" x14ac:dyDescent="0.3">
      <c r="A998" s="197" t="s">
        <v>4224</v>
      </c>
      <c r="B998" s="198" t="s">
        <v>4225</v>
      </c>
      <c r="C998" s="199" t="str">
        <f>COUNTIFS($G999:$G1100,2)&amp;" subcapas"</f>
        <v>8 subcapas</v>
      </c>
      <c r="D998" s="198"/>
      <c r="E998" s="198"/>
      <c r="F998" s="198"/>
      <c r="G998" s="197">
        <v>1</v>
      </c>
      <c r="H998" s="198" t="s">
        <v>2</v>
      </c>
      <c r="I998" s="197"/>
      <c r="J998" s="200">
        <f>SUMIFS(J999:J1100,$G999:$G1100,2)</f>
        <v>90</v>
      </c>
      <c r="K998" s="200">
        <f>SUMIFS(K999:K1100,$G999:$G1100,2)</f>
        <v>2</v>
      </c>
      <c r="L998" s="200">
        <f>SUMIFS(L999:L1100,$G999:$G1100,2)</f>
        <v>92</v>
      </c>
      <c r="M998" s="201" t="s">
        <v>4226</v>
      </c>
      <c r="N998" s="198"/>
      <c r="O998" s="198"/>
      <c r="P998" s="198" t="s">
        <v>4227</v>
      </c>
    </row>
    <row r="999" spans="1:16" ht="27.6" outlineLevel="1" x14ac:dyDescent="0.3">
      <c r="A999" s="202" t="s">
        <v>4228</v>
      </c>
      <c r="B999" s="203"/>
      <c r="C999" s="204" t="s">
        <v>4229</v>
      </c>
      <c r="D999" s="203"/>
      <c r="E999" s="203"/>
      <c r="F999" s="203"/>
      <c r="G999" s="202">
        <v>2</v>
      </c>
      <c r="H999" s="203" t="s">
        <v>25</v>
      </c>
      <c r="I999" s="202" t="s">
        <v>39</v>
      </c>
      <c r="J999" s="202">
        <v>5</v>
      </c>
      <c r="K999" s="202">
        <v>0</v>
      </c>
      <c r="L999" s="202">
        <v>5</v>
      </c>
      <c r="M999" s="205" t="s">
        <v>4230</v>
      </c>
      <c r="N999" s="205" t="s">
        <v>223</v>
      </c>
      <c r="O999" s="206"/>
      <c r="P999" s="205" t="s">
        <v>4231</v>
      </c>
    </row>
    <row r="1000" spans="1:16" outlineLevel="2" x14ac:dyDescent="0.3">
      <c r="A1000" s="105" t="s">
        <v>4232</v>
      </c>
      <c r="B1000" s="106"/>
      <c r="C1000" s="106"/>
      <c r="D1000" s="106"/>
      <c r="E1000" s="106" t="s">
        <v>4233</v>
      </c>
      <c r="F1000" s="106" t="s">
        <v>4234</v>
      </c>
      <c r="G1000" s="105">
        <v>4</v>
      </c>
      <c r="H1000" s="106" t="s">
        <v>7</v>
      </c>
      <c r="I1000" s="105" t="s">
        <v>39</v>
      </c>
      <c r="J1000" s="105"/>
      <c r="K1000" s="105"/>
      <c r="L1000" s="105"/>
      <c r="M1000" s="106" t="s">
        <v>4235</v>
      </c>
      <c r="N1000" s="106" t="s">
        <v>40</v>
      </c>
      <c r="O1000" s="107"/>
      <c r="P1000" s="106" t="s">
        <v>4236</v>
      </c>
    </row>
    <row r="1001" spans="1:16" outlineLevel="2" x14ac:dyDescent="0.3">
      <c r="A1001" s="105" t="s">
        <v>4237</v>
      </c>
      <c r="B1001" s="106"/>
      <c r="C1001" s="106"/>
      <c r="D1001" s="106"/>
      <c r="E1001" s="106" t="s">
        <v>4238</v>
      </c>
      <c r="F1001" s="106" t="s">
        <v>4239</v>
      </c>
      <c r="G1001" s="105">
        <v>4</v>
      </c>
      <c r="H1001" s="106" t="s">
        <v>7</v>
      </c>
      <c r="I1001" s="105" t="s">
        <v>39</v>
      </c>
      <c r="J1001" s="105"/>
      <c r="K1001" s="105"/>
      <c r="L1001" s="105"/>
      <c r="M1001" s="106" t="s">
        <v>4240</v>
      </c>
      <c r="N1001" s="106" t="s">
        <v>223</v>
      </c>
      <c r="O1001" s="107"/>
      <c r="P1001" s="106" t="s">
        <v>4241</v>
      </c>
    </row>
    <row r="1002" spans="1:16" outlineLevel="2" x14ac:dyDescent="0.3">
      <c r="A1002" s="105" t="s">
        <v>4242</v>
      </c>
      <c r="B1002" s="106"/>
      <c r="C1002" s="106"/>
      <c r="D1002" s="106"/>
      <c r="E1002" s="106" t="s">
        <v>4243</v>
      </c>
      <c r="F1002" s="106" t="s">
        <v>4244</v>
      </c>
      <c r="G1002" s="105">
        <v>4</v>
      </c>
      <c r="H1002" s="106" t="s">
        <v>7</v>
      </c>
      <c r="I1002" s="105" t="s">
        <v>39</v>
      </c>
      <c r="J1002" s="105"/>
      <c r="K1002" s="105"/>
      <c r="L1002" s="105"/>
      <c r="M1002" s="106" t="s">
        <v>4245</v>
      </c>
      <c r="N1002" s="106" t="s">
        <v>40</v>
      </c>
      <c r="O1002" s="107"/>
      <c r="P1002" s="106" t="s">
        <v>4246</v>
      </c>
    </row>
    <row r="1003" spans="1:16" outlineLevel="2" x14ac:dyDescent="0.3">
      <c r="A1003" s="105" t="s">
        <v>4247</v>
      </c>
      <c r="B1003" s="106"/>
      <c r="C1003" s="106"/>
      <c r="D1003" s="106"/>
      <c r="E1003" s="106" t="s">
        <v>4248</v>
      </c>
      <c r="F1003" s="106" t="s">
        <v>4249</v>
      </c>
      <c r="G1003" s="105">
        <v>4</v>
      </c>
      <c r="H1003" s="106" t="s">
        <v>7</v>
      </c>
      <c r="I1003" s="105" t="s">
        <v>39</v>
      </c>
      <c r="J1003" s="105"/>
      <c r="K1003" s="105"/>
      <c r="L1003" s="105"/>
      <c r="M1003" s="106" t="s">
        <v>4250</v>
      </c>
      <c r="N1003" s="106" t="s">
        <v>40</v>
      </c>
      <c r="O1003" s="107"/>
      <c r="P1003" s="106" t="s">
        <v>4251</v>
      </c>
    </row>
    <row r="1004" spans="1:16" outlineLevel="2" x14ac:dyDescent="0.3">
      <c r="A1004" s="105" t="s">
        <v>4252</v>
      </c>
      <c r="B1004" s="106"/>
      <c r="C1004" s="106"/>
      <c r="D1004" s="106"/>
      <c r="E1004" s="106" t="s">
        <v>4253</v>
      </c>
      <c r="F1004" s="106" t="s">
        <v>4254</v>
      </c>
      <c r="G1004" s="105">
        <v>4</v>
      </c>
      <c r="H1004" s="106" t="s">
        <v>7</v>
      </c>
      <c r="I1004" s="105" t="s">
        <v>39</v>
      </c>
      <c r="J1004" s="105"/>
      <c r="K1004" s="105"/>
      <c r="L1004" s="105"/>
      <c r="M1004" s="106" t="s">
        <v>4255</v>
      </c>
      <c r="N1004" s="106" t="s">
        <v>40</v>
      </c>
      <c r="O1004" s="107"/>
      <c r="P1004" s="106" t="s">
        <v>4256</v>
      </c>
    </row>
    <row r="1005" spans="1:16" ht="27.6" outlineLevel="1" x14ac:dyDescent="0.3">
      <c r="A1005" s="202" t="s">
        <v>4257</v>
      </c>
      <c r="B1005" s="203"/>
      <c r="C1005" s="204" t="s">
        <v>4258</v>
      </c>
      <c r="D1005" s="203"/>
      <c r="E1005" s="203"/>
      <c r="F1005" s="203"/>
      <c r="G1005" s="202">
        <v>2</v>
      </c>
      <c r="H1005" s="203" t="s">
        <v>25</v>
      </c>
      <c r="I1005" s="202" t="s">
        <v>39</v>
      </c>
      <c r="J1005" s="202">
        <v>10</v>
      </c>
      <c r="K1005" s="202">
        <v>0</v>
      </c>
      <c r="L1005" s="202">
        <v>10</v>
      </c>
      <c r="M1005" s="205" t="s">
        <v>4259</v>
      </c>
      <c r="N1005" s="205" t="s">
        <v>223</v>
      </c>
      <c r="O1005" s="206"/>
      <c r="P1005" s="205" t="s">
        <v>4231</v>
      </c>
    </row>
    <row r="1006" spans="1:16" outlineLevel="2" x14ac:dyDescent="0.3">
      <c r="A1006" s="105" t="s">
        <v>4260</v>
      </c>
      <c r="B1006" s="106"/>
      <c r="C1006" s="106"/>
      <c r="D1006" s="106"/>
      <c r="E1006" s="106" t="s">
        <v>4261</v>
      </c>
      <c r="F1006" s="106" t="s">
        <v>4262</v>
      </c>
      <c r="G1006" s="105">
        <v>4</v>
      </c>
      <c r="H1006" s="106" t="s">
        <v>7</v>
      </c>
      <c r="I1006" s="105" t="s">
        <v>39</v>
      </c>
      <c r="J1006" s="105"/>
      <c r="K1006" s="105"/>
      <c r="L1006" s="105"/>
      <c r="M1006" s="106" t="s">
        <v>4263</v>
      </c>
      <c r="N1006" s="106" t="s">
        <v>40</v>
      </c>
      <c r="O1006" s="107"/>
      <c r="P1006" s="106" t="s">
        <v>4264</v>
      </c>
    </row>
    <row r="1007" spans="1:16" outlineLevel="2" x14ac:dyDescent="0.3">
      <c r="A1007" s="105" t="s">
        <v>4265</v>
      </c>
      <c r="B1007" s="106"/>
      <c r="C1007" s="106"/>
      <c r="D1007" s="106"/>
      <c r="E1007" s="106" t="s">
        <v>4266</v>
      </c>
      <c r="F1007" s="106" t="s">
        <v>4267</v>
      </c>
      <c r="G1007" s="105">
        <v>4</v>
      </c>
      <c r="H1007" s="106" t="s">
        <v>7</v>
      </c>
      <c r="I1007" s="105" t="s">
        <v>39</v>
      </c>
      <c r="J1007" s="105"/>
      <c r="K1007" s="105"/>
      <c r="L1007" s="105"/>
      <c r="M1007" s="106" t="s">
        <v>4268</v>
      </c>
      <c r="N1007" s="106" t="s">
        <v>223</v>
      </c>
      <c r="O1007" s="107"/>
      <c r="P1007" s="106" t="s">
        <v>4269</v>
      </c>
    </row>
    <row r="1008" spans="1:16" outlineLevel="2" x14ac:dyDescent="0.3">
      <c r="A1008" s="105" t="s">
        <v>4270</v>
      </c>
      <c r="B1008" s="106"/>
      <c r="C1008" s="106"/>
      <c r="D1008" s="106"/>
      <c r="E1008" s="106" t="s">
        <v>4271</v>
      </c>
      <c r="F1008" s="106" t="s">
        <v>4272</v>
      </c>
      <c r="G1008" s="105">
        <v>4</v>
      </c>
      <c r="H1008" s="106" t="s">
        <v>7</v>
      </c>
      <c r="I1008" s="105" t="s">
        <v>39</v>
      </c>
      <c r="J1008" s="105"/>
      <c r="K1008" s="105"/>
      <c r="L1008" s="105"/>
      <c r="M1008" s="106" t="s">
        <v>4273</v>
      </c>
      <c r="N1008" s="106" t="s">
        <v>40</v>
      </c>
      <c r="O1008" s="107"/>
      <c r="P1008" s="106" t="s">
        <v>4274</v>
      </c>
    </row>
    <row r="1009" spans="1:16" outlineLevel="2" x14ac:dyDescent="0.3">
      <c r="A1009" s="105" t="s">
        <v>4275</v>
      </c>
      <c r="B1009" s="106"/>
      <c r="C1009" s="106"/>
      <c r="D1009" s="106"/>
      <c r="E1009" s="106" t="s">
        <v>4276</v>
      </c>
      <c r="F1009" s="106" t="s">
        <v>4277</v>
      </c>
      <c r="G1009" s="105">
        <v>4</v>
      </c>
      <c r="H1009" s="106" t="s">
        <v>7</v>
      </c>
      <c r="I1009" s="105" t="s">
        <v>39</v>
      </c>
      <c r="J1009" s="105"/>
      <c r="K1009" s="105"/>
      <c r="L1009" s="105"/>
      <c r="M1009" s="106" t="s">
        <v>4278</v>
      </c>
      <c r="N1009" s="106" t="s">
        <v>40</v>
      </c>
      <c r="O1009" s="107"/>
      <c r="P1009" s="106" t="s">
        <v>4279</v>
      </c>
    </row>
    <row r="1010" spans="1:16" outlineLevel="2" x14ac:dyDescent="0.3">
      <c r="A1010" s="105" t="s">
        <v>4280</v>
      </c>
      <c r="B1010" s="106"/>
      <c r="C1010" s="106"/>
      <c r="D1010" s="106"/>
      <c r="E1010" s="106" t="s">
        <v>4281</v>
      </c>
      <c r="F1010" s="106" t="s">
        <v>4282</v>
      </c>
      <c r="G1010" s="105">
        <v>4</v>
      </c>
      <c r="H1010" s="106" t="s">
        <v>7</v>
      </c>
      <c r="I1010" s="105" t="s">
        <v>39</v>
      </c>
      <c r="J1010" s="105"/>
      <c r="K1010" s="105"/>
      <c r="L1010" s="105"/>
      <c r="M1010" s="106" t="s">
        <v>4283</v>
      </c>
      <c r="N1010" s="106" t="s">
        <v>40</v>
      </c>
      <c r="O1010" s="107"/>
      <c r="P1010" s="106" t="s">
        <v>4284</v>
      </c>
    </row>
    <row r="1011" spans="1:16" outlineLevel="2" x14ac:dyDescent="0.3">
      <c r="A1011" s="105" t="s">
        <v>4285</v>
      </c>
      <c r="B1011" s="106"/>
      <c r="C1011" s="106"/>
      <c r="D1011" s="106"/>
      <c r="E1011" s="106" t="s">
        <v>4286</v>
      </c>
      <c r="F1011" s="106" t="s">
        <v>4287</v>
      </c>
      <c r="G1011" s="105">
        <v>4</v>
      </c>
      <c r="H1011" s="106" t="s">
        <v>7</v>
      </c>
      <c r="I1011" s="105" t="s">
        <v>39</v>
      </c>
      <c r="J1011" s="105"/>
      <c r="K1011" s="105"/>
      <c r="L1011" s="105"/>
      <c r="M1011" s="106" t="s">
        <v>4288</v>
      </c>
      <c r="N1011" s="106" t="s">
        <v>40</v>
      </c>
      <c r="O1011" s="107"/>
      <c r="P1011" s="106" t="s">
        <v>4289</v>
      </c>
    </row>
    <row r="1012" spans="1:16" outlineLevel="2" x14ac:dyDescent="0.3">
      <c r="A1012" s="105" t="s">
        <v>4290</v>
      </c>
      <c r="B1012" s="106"/>
      <c r="C1012" s="106"/>
      <c r="D1012" s="106"/>
      <c r="E1012" s="106" t="s">
        <v>4291</v>
      </c>
      <c r="F1012" s="106" t="s">
        <v>4292</v>
      </c>
      <c r="G1012" s="105">
        <v>4</v>
      </c>
      <c r="H1012" s="106" t="s">
        <v>7</v>
      </c>
      <c r="I1012" s="105" t="s">
        <v>39</v>
      </c>
      <c r="J1012" s="105"/>
      <c r="K1012" s="105"/>
      <c r="L1012" s="105"/>
      <c r="M1012" s="106" t="s">
        <v>4293</v>
      </c>
      <c r="N1012" s="106" t="s">
        <v>40</v>
      </c>
      <c r="O1012" s="107"/>
      <c r="P1012" s="106" t="s">
        <v>4294</v>
      </c>
    </row>
    <row r="1013" spans="1:16" outlineLevel="2" x14ac:dyDescent="0.3">
      <c r="A1013" s="105" t="s">
        <v>4295</v>
      </c>
      <c r="B1013" s="106"/>
      <c r="C1013" s="106"/>
      <c r="D1013" s="106"/>
      <c r="E1013" s="106" t="s">
        <v>4296</v>
      </c>
      <c r="F1013" s="106" t="s">
        <v>4297</v>
      </c>
      <c r="G1013" s="105">
        <v>4</v>
      </c>
      <c r="H1013" s="106" t="s">
        <v>7</v>
      </c>
      <c r="I1013" s="105" t="s">
        <v>39</v>
      </c>
      <c r="J1013" s="105"/>
      <c r="K1013" s="105"/>
      <c r="L1013" s="105"/>
      <c r="M1013" s="106" t="s">
        <v>4298</v>
      </c>
      <c r="N1013" s="106" t="s">
        <v>40</v>
      </c>
      <c r="O1013" s="107"/>
      <c r="P1013" s="106" t="s">
        <v>4299</v>
      </c>
    </row>
    <row r="1014" spans="1:16" outlineLevel="2" x14ac:dyDescent="0.3">
      <c r="A1014" s="105" t="s">
        <v>4300</v>
      </c>
      <c r="B1014" s="106"/>
      <c r="C1014" s="106"/>
      <c r="D1014" s="106"/>
      <c r="E1014" s="106" t="s">
        <v>4301</v>
      </c>
      <c r="F1014" s="106" t="s">
        <v>4302</v>
      </c>
      <c r="G1014" s="105">
        <v>4</v>
      </c>
      <c r="H1014" s="106" t="s">
        <v>7</v>
      </c>
      <c r="I1014" s="105" t="s">
        <v>39</v>
      </c>
      <c r="J1014" s="105"/>
      <c r="K1014" s="105"/>
      <c r="L1014" s="105"/>
      <c r="M1014" s="106" t="s">
        <v>4303</v>
      </c>
      <c r="N1014" s="106" t="s">
        <v>223</v>
      </c>
      <c r="O1014" s="107"/>
      <c r="P1014" s="106" t="s">
        <v>4304</v>
      </c>
    </row>
    <row r="1015" spans="1:16" outlineLevel="2" x14ac:dyDescent="0.3">
      <c r="A1015" s="105" t="s">
        <v>4305</v>
      </c>
      <c r="B1015" s="106"/>
      <c r="C1015" s="106"/>
      <c r="D1015" s="106"/>
      <c r="E1015" s="106" t="s">
        <v>4306</v>
      </c>
      <c r="F1015" s="106" t="s">
        <v>4307</v>
      </c>
      <c r="G1015" s="105">
        <v>4</v>
      </c>
      <c r="H1015" s="106" t="s">
        <v>7</v>
      </c>
      <c r="I1015" s="105" t="s">
        <v>39</v>
      </c>
      <c r="J1015" s="105"/>
      <c r="K1015" s="105"/>
      <c r="L1015" s="105"/>
      <c r="M1015" s="106" t="s">
        <v>4308</v>
      </c>
      <c r="N1015" s="106" t="s">
        <v>223</v>
      </c>
      <c r="O1015" s="107"/>
      <c r="P1015" s="106" t="s">
        <v>4309</v>
      </c>
    </row>
    <row r="1016" spans="1:16" ht="27.6" outlineLevel="1" x14ac:dyDescent="0.3">
      <c r="A1016" s="202" t="s">
        <v>4310</v>
      </c>
      <c r="B1016" s="203"/>
      <c r="C1016" s="204" t="s">
        <v>4311</v>
      </c>
      <c r="D1016" s="203"/>
      <c r="E1016" s="203"/>
      <c r="F1016" s="203"/>
      <c r="G1016" s="202">
        <v>2</v>
      </c>
      <c r="H1016" s="203" t="s">
        <v>25</v>
      </c>
      <c r="I1016" s="202" t="s">
        <v>39</v>
      </c>
      <c r="J1016" s="202">
        <v>35</v>
      </c>
      <c r="K1016" s="202">
        <v>2</v>
      </c>
      <c r="L1016" s="202">
        <v>37</v>
      </c>
      <c r="M1016" s="205" t="s">
        <v>4312</v>
      </c>
      <c r="N1016" s="205" t="s">
        <v>40</v>
      </c>
      <c r="O1016" s="206"/>
      <c r="P1016" s="205" t="s">
        <v>4313</v>
      </c>
    </row>
    <row r="1017" spans="1:16" outlineLevel="2" x14ac:dyDescent="0.3">
      <c r="A1017" s="105" t="s">
        <v>4314</v>
      </c>
      <c r="B1017" s="106"/>
      <c r="C1017" s="106"/>
      <c r="D1017" s="106"/>
      <c r="E1017" s="106" t="s">
        <v>4315</v>
      </c>
      <c r="F1017" s="106" t="s">
        <v>4316</v>
      </c>
      <c r="G1017" s="105">
        <v>4</v>
      </c>
      <c r="H1017" s="106" t="s">
        <v>7</v>
      </c>
      <c r="I1017" s="105" t="s">
        <v>39</v>
      </c>
      <c r="J1017" s="105"/>
      <c r="K1017" s="105"/>
      <c r="L1017" s="105"/>
      <c r="M1017" s="106" t="s">
        <v>4317</v>
      </c>
      <c r="N1017" s="106" t="s">
        <v>40</v>
      </c>
      <c r="O1017" s="107"/>
      <c r="P1017" s="106" t="s">
        <v>4318</v>
      </c>
    </row>
    <row r="1018" spans="1:16" outlineLevel="2" x14ac:dyDescent="0.3">
      <c r="A1018" s="105" t="s">
        <v>4319</v>
      </c>
      <c r="B1018" s="106"/>
      <c r="C1018" s="106"/>
      <c r="D1018" s="106"/>
      <c r="E1018" s="106" t="s">
        <v>4320</v>
      </c>
      <c r="F1018" s="106" t="s">
        <v>4321</v>
      </c>
      <c r="G1018" s="105">
        <v>4</v>
      </c>
      <c r="H1018" s="106" t="s">
        <v>7</v>
      </c>
      <c r="I1018" s="105" t="s">
        <v>39</v>
      </c>
      <c r="J1018" s="105"/>
      <c r="K1018" s="105"/>
      <c r="L1018" s="105"/>
      <c r="M1018" s="106" t="s">
        <v>4322</v>
      </c>
      <c r="N1018" s="106" t="s">
        <v>40</v>
      </c>
      <c r="O1018" s="107"/>
      <c r="P1018" s="106" t="s">
        <v>4323</v>
      </c>
    </row>
    <row r="1019" spans="1:16" outlineLevel="2" x14ac:dyDescent="0.3">
      <c r="A1019" s="105" t="s">
        <v>4324</v>
      </c>
      <c r="B1019" s="106"/>
      <c r="C1019" s="106"/>
      <c r="D1019" s="106"/>
      <c r="E1019" s="106" t="s">
        <v>4325</v>
      </c>
      <c r="F1019" s="106" t="s">
        <v>4326</v>
      </c>
      <c r="G1019" s="105">
        <v>4</v>
      </c>
      <c r="H1019" s="106" t="s">
        <v>7</v>
      </c>
      <c r="I1019" s="105" t="s">
        <v>39</v>
      </c>
      <c r="J1019" s="105"/>
      <c r="K1019" s="105"/>
      <c r="L1019" s="105"/>
      <c r="M1019" s="106" t="s">
        <v>4327</v>
      </c>
      <c r="N1019" s="106" t="s">
        <v>40</v>
      </c>
      <c r="O1019" s="107"/>
      <c r="P1019" s="106" t="s">
        <v>4328</v>
      </c>
    </row>
    <row r="1020" spans="1:16" outlineLevel="2" x14ac:dyDescent="0.3">
      <c r="A1020" s="105" t="s">
        <v>4329</v>
      </c>
      <c r="B1020" s="106"/>
      <c r="C1020" s="106"/>
      <c r="D1020" s="106"/>
      <c r="E1020" s="106" t="s">
        <v>4330</v>
      </c>
      <c r="F1020" s="106" t="s">
        <v>4331</v>
      </c>
      <c r="G1020" s="105">
        <v>4</v>
      </c>
      <c r="H1020" s="106" t="s">
        <v>7</v>
      </c>
      <c r="I1020" s="105" t="s">
        <v>39</v>
      </c>
      <c r="J1020" s="105"/>
      <c r="K1020" s="105"/>
      <c r="L1020" s="105"/>
      <c r="M1020" s="106" t="s">
        <v>4332</v>
      </c>
      <c r="N1020" s="106" t="s">
        <v>40</v>
      </c>
      <c r="O1020" s="107"/>
      <c r="P1020" s="106" t="s">
        <v>4333</v>
      </c>
    </row>
    <row r="1021" spans="1:16" outlineLevel="2" x14ac:dyDescent="0.3">
      <c r="A1021" s="105" t="s">
        <v>4334</v>
      </c>
      <c r="B1021" s="106"/>
      <c r="C1021" s="106"/>
      <c r="D1021" s="106"/>
      <c r="E1021" s="106" t="s">
        <v>4335</v>
      </c>
      <c r="F1021" s="106" t="s">
        <v>4336</v>
      </c>
      <c r="G1021" s="105">
        <v>4</v>
      </c>
      <c r="H1021" s="106" t="s">
        <v>7</v>
      </c>
      <c r="I1021" s="105" t="s">
        <v>39</v>
      </c>
      <c r="J1021" s="105"/>
      <c r="K1021" s="105"/>
      <c r="L1021" s="105"/>
      <c r="M1021" s="106" t="s">
        <v>4337</v>
      </c>
      <c r="N1021" s="106" t="s">
        <v>40</v>
      </c>
      <c r="O1021" s="107"/>
      <c r="P1021" s="106" t="s">
        <v>4338</v>
      </c>
    </row>
    <row r="1022" spans="1:16" outlineLevel="2" x14ac:dyDescent="0.3">
      <c r="A1022" s="105" t="s">
        <v>4339</v>
      </c>
      <c r="B1022" s="106"/>
      <c r="C1022" s="106"/>
      <c r="D1022" s="106"/>
      <c r="E1022" s="106" t="s">
        <v>4340</v>
      </c>
      <c r="F1022" s="106" t="s">
        <v>4341</v>
      </c>
      <c r="G1022" s="105">
        <v>4</v>
      </c>
      <c r="H1022" s="106" t="s">
        <v>7</v>
      </c>
      <c r="I1022" s="105" t="s">
        <v>39</v>
      </c>
      <c r="J1022" s="105"/>
      <c r="K1022" s="105"/>
      <c r="L1022" s="105"/>
      <c r="M1022" s="106" t="s">
        <v>4342</v>
      </c>
      <c r="N1022" s="106" t="s">
        <v>40</v>
      </c>
      <c r="O1022" s="107"/>
      <c r="P1022" s="106" t="s">
        <v>4343</v>
      </c>
    </row>
    <row r="1023" spans="1:16" outlineLevel="2" x14ac:dyDescent="0.3">
      <c r="A1023" s="105" t="s">
        <v>4344</v>
      </c>
      <c r="B1023" s="106"/>
      <c r="C1023" s="106"/>
      <c r="D1023" s="106"/>
      <c r="E1023" s="106" t="s">
        <v>4345</v>
      </c>
      <c r="F1023" s="106" t="s">
        <v>4346</v>
      </c>
      <c r="G1023" s="105">
        <v>4</v>
      </c>
      <c r="H1023" s="106" t="s">
        <v>7</v>
      </c>
      <c r="I1023" s="105" t="s">
        <v>39</v>
      </c>
      <c r="J1023" s="105"/>
      <c r="K1023" s="105"/>
      <c r="L1023" s="105"/>
      <c r="M1023" s="106" t="s">
        <v>4347</v>
      </c>
      <c r="N1023" s="106" t="s">
        <v>40</v>
      </c>
      <c r="O1023" s="107"/>
      <c r="P1023" s="106" t="s">
        <v>4348</v>
      </c>
    </row>
    <row r="1024" spans="1:16" outlineLevel="2" x14ac:dyDescent="0.3">
      <c r="A1024" s="105" t="s">
        <v>4349</v>
      </c>
      <c r="B1024" s="106"/>
      <c r="C1024" s="106"/>
      <c r="D1024" s="106"/>
      <c r="E1024" s="106" t="s">
        <v>4350</v>
      </c>
      <c r="F1024" s="106" t="s">
        <v>4351</v>
      </c>
      <c r="G1024" s="105">
        <v>4</v>
      </c>
      <c r="H1024" s="106" t="s">
        <v>7</v>
      </c>
      <c r="I1024" s="105" t="s">
        <v>39</v>
      </c>
      <c r="J1024" s="105"/>
      <c r="K1024" s="105"/>
      <c r="L1024" s="105"/>
      <c r="M1024" s="106" t="s">
        <v>4352</v>
      </c>
      <c r="N1024" s="106" t="s">
        <v>40</v>
      </c>
      <c r="O1024" s="107"/>
      <c r="P1024" s="106" t="s">
        <v>4353</v>
      </c>
    </row>
    <row r="1025" spans="1:16" outlineLevel="2" x14ac:dyDescent="0.3">
      <c r="A1025" s="105" t="s">
        <v>4354</v>
      </c>
      <c r="B1025" s="106"/>
      <c r="C1025" s="106"/>
      <c r="D1025" s="106"/>
      <c r="E1025" s="106" t="s">
        <v>4355</v>
      </c>
      <c r="F1025" s="106" t="s">
        <v>4356</v>
      </c>
      <c r="G1025" s="105">
        <v>4</v>
      </c>
      <c r="H1025" s="106" t="s">
        <v>7</v>
      </c>
      <c r="I1025" s="105" t="s">
        <v>39</v>
      </c>
      <c r="J1025" s="105"/>
      <c r="K1025" s="105"/>
      <c r="L1025" s="105"/>
      <c r="M1025" s="106" t="s">
        <v>4357</v>
      </c>
      <c r="N1025" s="106" t="s">
        <v>40</v>
      </c>
      <c r="O1025" s="107"/>
      <c r="P1025" s="106" t="s">
        <v>4358</v>
      </c>
    </row>
    <row r="1026" spans="1:16" outlineLevel="2" x14ac:dyDescent="0.3">
      <c r="A1026" s="105" t="s">
        <v>4359</v>
      </c>
      <c r="B1026" s="106"/>
      <c r="C1026" s="106"/>
      <c r="D1026" s="106"/>
      <c r="E1026" s="106" t="s">
        <v>4360</v>
      </c>
      <c r="F1026" s="106" t="s">
        <v>4361</v>
      </c>
      <c r="G1026" s="105">
        <v>4</v>
      </c>
      <c r="H1026" s="106" t="s">
        <v>7</v>
      </c>
      <c r="I1026" s="105" t="s">
        <v>39</v>
      </c>
      <c r="J1026" s="105"/>
      <c r="K1026" s="105"/>
      <c r="L1026" s="105"/>
      <c r="M1026" s="106" t="s">
        <v>4362</v>
      </c>
      <c r="N1026" s="106" t="s">
        <v>40</v>
      </c>
      <c r="O1026" s="107"/>
      <c r="P1026" s="106" t="s">
        <v>4363</v>
      </c>
    </row>
    <row r="1027" spans="1:16" outlineLevel="2" x14ac:dyDescent="0.3">
      <c r="A1027" s="105" t="s">
        <v>4364</v>
      </c>
      <c r="B1027" s="106"/>
      <c r="C1027" s="106"/>
      <c r="D1027" s="106"/>
      <c r="E1027" s="106" t="s">
        <v>4365</v>
      </c>
      <c r="F1027" s="106" t="s">
        <v>4366</v>
      </c>
      <c r="G1027" s="105">
        <v>4</v>
      </c>
      <c r="H1027" s="106" t="s">
        <v>7</v>
      </c>
      <c r="I1027" s="105" t="s">
        <v>39</v>
      </c>
      <c r="J1027" s="105"/>
      <c r="K1027" s="105"/>
      <c r="L1027" s="105"/>
      <c r="M1027" s="106" t="s">
        <v>4367</v>
      </c>
      <c r="N1027" s="106" t="s">
        <v>40</v>
      </c>
      <c r="O1027" s="107"/>
      <c r="P1027" s="106" t="s">
        <v>4368</v>
      </c>
    </row>
    <row r="1028" spans="1:16" outlineLevel="2" x14ac:dyDescent="0.3">
      <c r="A1028" s="105" t="s">
        <v>4369</v>
      </c>
      <c r="B1028" s="106"/>
      <c r="C1028" s="106"/>
      <c r="D1028" s="106"/>
      <c r="E1028" s="106" t="s">
        <v>4370</v>
      </c>
      <c r="F1028" s="106" t="s">
        <v>4371</v>
      </c>
      <c r="G1028" s="105">
        <v>4</v>
      </c>
      <c r="H1028" s="106" t="s">
        <v>7</v>
      </c>
      <c r="I1028" s="105" t="s">
        <v>39</v>
      </c>
      <c r="J1028" s="105"/>
      <c r="K1028" s="105"/>
      <c r="L1028" s="105"/>
      <c r="M1028" s="106" t="s">
        <v>4372</v>
      </c>
      <c r="N1028" s="106" t="s">
        <v>40</v>
      </c>
      <c r="O1028" s="107"/>
      <c r="P1028" s="106" t="s">
        <v>4373</v>
      </c>
    </row>
    <row r="1029" spans="1:16" outlineLevel="2" x14ac:dyDescent="0.3">
      <c r="A1029" s="105" t="s">
        <v>4374</v>
      </c>
      <c r="B1029" s="106"/>
      <c r="C1029" s="106"/>
      <c r="D1029" s="106"/>
      <c r="E1029" s="106" t="s">
        <v>4375</v>
      </c>
      <c r="F1029" s="106" t="s">
        <v>13</v>
      </c>
      <c r="G1029" s="105">
        <v>4</v>
      </c>
      <c r="H1029" s="106" t="s">
        <v>7</v>
      </c>
      <c r="I1029" s="105"/>
      <c r="J1029" s="105"/>
      <c r="K1029" s="105"/>
      <c r="L1029" s="105"/>
      <c r="M1029" s="106" t="s">
        <v>4376</v>
      </c>
      <c r="N1029" s="106" t="s">
        <v>40</v>
      </c>
      <c r="O1029" s="107" t="s">
        <v>447</v>
      </c>
      <c r="P1029" s="106" t="s">
        <v>4377</v>
      </c>
    </row>
    <row r="1030" spans="1:16" outlineLevel="2" x14ac:dyDescent="0.3">
      <c r="A1030" s="105" t="s">
        <v>4378</v>
      </c>
      <c r="B1030" s="106"/>
      <c r="C1030" s="106"/>
      <c r="D1030" s="106"/>
      <c r="E1030" s="106" t="s">
        <v>4379</v>
      </c>
      <c r="F1030" s="106" t="s">
        <v>13</v>
      </c>
      <c r="G1030" s="105">
        <v>4</v>
      </c>
      <c r="H1030" s="106" t="s">
        <v>7</v>
      </c>
      <c r="I1030" s="105"/>
      <c r="J1030" s="105"/>
      <c r="K1030" s="105"/>
      <c r="L1030" s="105"/>
      <c r="M1030" s="106" t="s">
        <v>4380</v>
      </c>
      <c r="N1030" s="106" t="s">
        <v>40</v>
      </c>
      <c r="O1030" s="107" t="s">
        <v>447</v>
      </c>
      <c r="P1030" s="106" t="s">
        <v>4381</v>
      </c>
    </row>
    <row r="1031" spans="1:16" outlineLevel="2" x14ac:dyDescent="0.3">
      <c r="A1031" s="105" t="s">
        <v>4382</v>
      </c>
      <c r="B1031" s="106"/>
      <c r="C1031" s="106"/>
      <c r="D1031" s="106"/>
      <c r="E1031" s="106" t="s">
        <v>4383</v>
      </c>
      <c r="F1031" s="106" t="s">
        <v>4384</v>
      </c>
      <c r="G1031" s="105">
        <v>4</v>
      </c>
      <c r="H1031" s="106" t="s">
        <v>7</v>
      </c>
      <c r="I1031" s="105" t="s">
        <v>39</v>
      </c>
      <c r="J1031" s="105"/>
      <c r="K1031" s="105"/>
      <c r="L1031" s="105"/>
      <c r="M1031" s="106" t="s">
        <v>4385</v>
      </c>
      <c r="N1031" s="106" t="s">
        <v>40</v>
      </c>
      <c r="O1031" s="107"/>
      <c r="P1031" s="106" t="s">
        <v>4386</v>
      </c>
    </row>
    <row r="1032" spans="1:16" outlineLevel="2" x14ac:dyDescent="0.3">
      <c r="A1032" s="105" t="s">
        <v>4387</v>
      </c>
      <c r="B1032" s="106"/>
      <c r="C1032" s="106"/>
      <c r="D1032" s="106"/>
      <c r="E1032" s="106" t="s">
        <v>4388</v>
      </c>
      <c r="F1032" s="106" t="s">
        <v>4389</v>
      </c>
      <c r="G1032" s="105">
        <v>4</v>
      </c>
      <c r="H1032" s="106" t="s">
        <v>7</v>
      </c>
      <c r="I1032" s="105" t="s">
        <v>39</v>
      </c>
      <c r="J1032" s="105"/>
      <c r="K1032" s="105"/>
      <c r="L1032" s="105"/>
      <c r="M1032" s="106" t="s">
        <v>4390</v>
      </c>
      <c r="N1032" s="106" t="s">
        <v>40</v>
      </c>
      <c r="O1032" s="107"/>
      <c r="P1032" s="106" t="s">
        <v>4391</v>
      </c>
    </row>
    <row r="1033" spans="1:16" outlineLevel="2" x14ac:dyDescent="0.3">
      <c r="A1033" s="105" t="s">
        <v>4392</v>
      </c>
      <c r="B1033" s="106"/>
      <c r="C1033" s="106"/>
      <c r="D1033" s="106"/>
      <c r="E1033" s="106" t="s">
        <v>4393</v>
      </c>
      <c r="F1033" s="106" t="s">
        <v>4394</v>
      </c>
      <c r="G1033" s="105">
        <v>4</v>
      </c>
      <c r="H1033" s="106" t="s">
        <v>7</v>
      </c>
      <c r="I1033" s="105" t="s">
        <v>39</v>
      </c>
      <c r="J1033" s="105"/>
      <c r="K1033" s="105"/>
      <c r="L1033" s="105"/>
      <c r="M1033" s="106" t="s">
        <v>4395</v>
      </c>
      <c r="N1033" s="106" t="s">
        <v>40</v>
      </c>
      <c r="O1033" s="107"/>
      <c r="P1033" s="106" t="s">
        <v>4396</v>
      </c>
    </row>
    <row r="1034" spans="1:16" outlineLevel="2" x14ac:dyDescent="0.3">
      <c r="A1034" s="105" t="s">
        <v>4397</v>
      </c>
      <c r="B1034" s="106"/>
      <c r="C1034" s="106"/>
      <c r="D1034" s="106"/>
      <c r="E1034" s="106" t="s">
        <v>4398</v>
      </c>
      <c r="F1034" s="106" t="s">
        <v>4399</v>
      </c>
      <c r="G1034" s="105">
        <v>4</v>
      </c>
      <c r="H1034" s="106" t="s">
        <v>7</v>
      </c>
      <c r="I1034" s="105" t="s">
        <v>39</v>
      </c>
      <c r="J1034" s="105"/>
      <c r="K1034" s="105"/>
      <c r="L1034" s="105"/>
      <c r="M1034" s="106" t="s">
        <v>4400</v>
      </c>
      <c r="N1034" s="106" t="s">
        <v>40</v>
      </c>
      <c r="O1034" s="107"/>
      <c r="P1034" s="106" t="s">
        <v>4401</v>
      </c>
    </row>
    <row r="1035" spans="1:16" outlineLevel="2" x14ac:dyDescent="0.3">
      <c r="A1035" s="105" t="s">
        <v>4402</v>
      </c>
      <c r="B1035" s="106"/>
      <c r="C1035" s="106"/>
      <c r="D1035" s="106"/>
      <c r="E1035" s="106" t="s">
        <v>4403</v>
      </c>
      <c r="F1035" s="106" t="s">
        <v>4404</v>
      </c>
      <c r="G1035" s="105">
        <v>4</v>
      </c>
      <c r="H1035" s="106" t="s">
        <v>7</v>
      </c>
      <c r="I1035" s="105" t="s">
        <v>39</v>
      </c>
      <c r="J1035" s="105"/>
      <c r="K1035" s="105"/>
      <c r="L1035" s="105"/>
      <c r="M1035" s="106" t="s">
        <v>4405</v>
      </c>
      <c r="N1035" s="106" t="s">
        <v>40</v>
      </c>
      <c r="O1035" s="107"/>
      <c r="P1035" s="106" t="s">
        <v>4406</v>
      </c>
    </row>
    <row r="1036" spans="1:16" outlineLevel="2" x14ac:dyDescent="0.3">
      <c r="A1036" s="105" t="s">
        <v>4407</v>
      </c>
      <c r="B1036" s="106"/>
      <c r="C1036" s="106"/>
      <c r="D1036" s="106"/>
      <c r="E1036" s="106" t="s">
        <v>4408</v>
      </c>
      <c r="F1036" s="106" t="s">
        <v>4409</v>
      </c>
      <c r="G1036" s="105">
        <v>4</v>
      </c>
      <c r="H1036" s="106" t="s">
        <v>7</v>
      </c>
      <c r="I1036" s="105" t="s">
        <v>39</v>
      </c>
      <c r="J1036" s="105"/>
      <c r="K1036" s="105"/>
      <c r="L1036" s="105"/>
      <c r="M1036" s="106" t="s">
        <v>4410</v>
      </c>
      <c r="N1036" s="106" t="s">
        <v>40</v>
      </c>
      <c r="O1036" s="107"/>
      <c r="P1036" s="106" t="s">
        <v>4411</v>
      </c>
    </row>
    <row r="1037" spans="1:16" outlineLevel="2" x14ac:dyDescent="0.3">
      <c r="A1037" s="105" t="s">
        <v>4412</v>
      </c>
      <c r="B1037" s="106"/>
      <c r="C1037" s="106"/>
      <c r="D1037" s="106"/>
      <c r="E1037" s="106" t="s">
        <v>4413</v>
      </c>
      <c r="F1037" s="106" t="s">
        <v>4414</v>
      </c>
      <c r="G1037" s="105">
        <v>4</v>
      </c>
      <c r="H1037" s="106" t="s">
        <v>7</v>
      </c>
      <c r="I1037" s="105" t="s">
        <v>39</v>
      </c>
      <c r="J1037" s="105"/>
      <c r="K1037" s="105"/>
      <c r="L1037" s="105"/>
      <c r="M1037" s="106" t="s">
        <v>4415</v>
      </c>
      <c r="N1037" s="106" t="s">
        <v>40</v>
      </c>
      <c r="O1037" s="107"/>
      <c r="P1037" s="106" t="s">
        <v>4416</v>
      </c>
    </row>
    <row r="1038" spans="1:16" outlineLevel="2" x14ac:dyDescent="0.3">
      <c r="A1038" s="105" t="s">
        <v>4417</v>
      </c>
      <c r="B1038" s="106"/>
      <c r="C1038" s="106"/>
      <c r="D1038" s="106"/>
      <c r="E1038" s="106" t="s">
        <v>4418</v>
      </c>
      <c r="F1038" s="106" t="s">
        <v>4419</v>
      </c>
      <c r="G1038" s="105">
        <v>4</v>
      </c>
      <c r="H1038" s="106" t="s">
        <v>7</v>
      </c>
      <c r="I1038" s="105" t="s">
        <v>39</v>
      </c>
      <c r="J1038" s="105"/>
      <c r="K1038" s="105"/>
      <c r="L1038" s="105"/>
      <c r="M1038" s="106" t="s">
        <v>4420</v>
      </c>
      <c r="N1038" s="106" t="s">
        <v>40</v>
      </c>
      <c r="O1038" s="107"/>
      <c r="P1038" s="106" t="s">
        <v>4421</v>
      </c>
    </row>
    <row r="1039" spans="1:16" outlineLevel="2" x14ac:dyDescent="0.3">
      <c r="A1039" s="105" t="s">
        <v>4422</v>
      </c>
      <c r="B1039" s="106"/>
      <c r="C1039" s="106"/>
      <c r="D1039" s="106"/>
      <c r="E1039" s="106" t="s">
        <v>4423</v>
      </c>
      <c r="F1039" s="106" t="s">
        <v>4424</v>
      </c>
      <c r="G1039" s="105">
        <v>4</v>
      </c>
      <c r="H1039" s="106" t="s">
        <v>7</v>
      </c>
      <c r="I1039" s="105" t="s">
        <v>39</v>
      </c>
      <c r="J1039" s="105"/>
      <c r="K1039" s="105"/>
      <c r="L1039" s="105"/>
      <c r="M1039" s="106" t="s">
        <v>4425</v>
      </c>
      <c r="N1039" s="106" t="s">
        <v>223</v>
      </c>
      <c r="O1039" s="107"/>
      <c r="P1039" s="106" t="s">
        <v>4426</v>
      </c>
    </row>
    <row r="1040" spans="1:16" outlineLevel="2" x14ac:dyDescent="0.3">
      <c r="A1040" s="105" t="s">
        <v>4427</v>
      </c>
      <c r="B1040" s="106"/>
      <c r="C1040" s="106"/>
      <c r="D1040" s="106"/>
      <c r="E1040" s="106" t="s">
        <v>4428</v>
      </c>
      <c r="F1040" s="106" t="s">
        <v>4429</v>
      </c>
      <c r="G1040" s="105">
        <v>4</v>
      </c>
      <c r="H1040" s="106" t="s">
        <v>7</v>
      </c>
      <c r="I1040" s="105" t="s">
        <v>39</v>
      </c>
      <c r="J1040" s="105"/>
      <c r="K1040" s="105"/>
      <c r="L1040" s="105"/>
      <c r="M1040" s="106" t="s">
        <v>4430</v>
      </c>
      <c r="N1040" s="106" t="s">
        <v>40</v>
      </c>
      <c r="O1040" s="107"/>
      <c r="P1040" s="106" t="s">
        <v>4431</v>
      </c>
    </row>
    <row r="1041" spans="1:16" outlineLevel="2" x14ac:dyDescent="0.3">
      <c r="A1041" s="105" t="s">
        <v>4432</v>
      </c>
      <c r="B1041" s="106"/>
      <c r="C1041" s="106"/>
      <c r="D1041" s="106"/>
      <c r="E1041" s="106" t="s">
        <v>4433</v>
      </c>
      <c r="F1041" s="106" t="s">
        <v>4434</v>
      </c>
      <c r="G1041" s="105">
        <v>4</v>
      </c>
      <c r="H1041" s="106" t="s">
        <v>7</v>
      </c>
      <c r="I1041" s="105" t="s">
        <v>39</v>
      </c>
      <c r="J1041" s="105"/>
      <c r="K1041" s="105"/>
      <c r="L1041" s="105"/>
      <c r="M1041" s="106" t="s">
        <v>4435</v>
      </c>
      <c r="N1041" s="106" t="s">
        <v>40</v>
      </c>
      <c r="O1041" s="107"/>
      <c r="P1041" s="106" t="s">
        <v>4436</v>
      </c>
    </row>
    <row r="1042" spans="1:16" outlineLevel="2" x14ac:dyDescent="0.3">
      <c r="A1042" s="105" t="s">
        <v>4437</v>
      </c>
      <c r="B1042" s="106"/>
      <c r="C1042" s="106"/>
      <c r="D1042" s="106"/>
      <c r="E1042" s="106" t="s">
        <v>4438</v>
      </c>
      <c r="F1042" s="106" t="s">
        <v>4439</v>
      </c>
      <c r="G1042" s="105">
        <v>4</v>
      </c>
      <c r="H1042" s="106" t="s">
        <v>7</v>
      </c>
      <c r="I1042" s="105" t="s">
        <v>39</v>
      </c>
      <c r="J1042" s="105"/>
      <c r="K1042" s="105"/>
      <c r="L1042" s="105"/>
      <c r="M1042" s="106" t="s">
        <v>4440</v>
      </c>
      <c r="N1042" s="106" t="s">
        <v>40</v>
      </c>
      <c r="O1042" s="107"/>
      <c r="P1042" s="106" t="s">
        <v>4441</v>
      </c>
    </row>
    <row r="1043" spans="1:16" outlineLevel="2" x14ac:dyDescent="0.3">
      <c r="A1043" s="105" t="s">
        <v>4442</v>
      </c>
      <c r="B1043" s="106"/>
      <c r="C1043" s="106"/>
      <c r="D1043" s="106"/>
      <c r="E1043" s="106" t="s">
        <v>4443</v>
      </c>
      <c r="F1043" s="106" t="s">
        <v>4444</v>
      </c>
      <c r="G1043" s="105">
        <v>4</v>
      </c>
      <c r="H1043" s="106" t="s">
        <v>7</v>
      </c>
      <c r="I1043" s="105" t="s">
        <v>39</v>
      </c>
      <c r="J1043" s="105"/>
      <c r="K1043" s="105"/>
      <c r="L1043" s="105"/>
      <c r="M1043" s="106" t="s">
        <v>4445</v>
      </c>
      <c r="N1043" s="106" t="s">
        <v>40</v>
      </c>
      <c r="O1043" s="107"/>
      <c r="P1043" s="106" t="s">
        <v>4446</v>
      </c>
    </row>
    <row r="1044" spans="1:16" outlineLevel="2" x14ac:dyDescent="0.3">
      <c r="A1044" s="105" t="s">
        <v>4447</v>
      </c>
      <c r="B1044" s="106"/>
      <c r="C1044" s="106"/>
      <c r="D1044" s="106"/>
      <c r="E1044" s="106" t="s">
        <v>4448</v>
      </c>
      <c r="F1044" s="106" t="s">
        <v>4449</v>
      </c>
      <c r="G1044" s="105">
        <v>4</v>
      </c>
      <c r="H1044" s="106" t="s">
        <v>7</v>
      </c>
      <c r="I1044" s="105" t="s">
        <v>39</v>
      </c>
      <c r="J1044" s="105"/>
      <c r="K1044" s="105"/>
      <c r="L1044" s="105"/>
      <c r="M1044" s="106" t="s">
        <v>4450</v>
      </c>
      <c r="N1044" s="106" t="s">
        <v>40</v>
      </c>
      <c r="O1044" s="107"/>
      <c r="P1044" s="106" t="s">
        <v>4451</v>
      </c>
    </row>
    <row r="1045" spans="1:16" outlineLevel="2" x14ac:dyDescent="0.3">
      <c r="A1045" s="105" t="s">
        <v>4452</v>
      </c>
      <c r="B1045" s="106"/>
      <c r="C1045" s="106"/>
      <c r="D1045" s="106"/>
      <c r="E1045" s="106" t="s">
        <v>4453</v>
      </c>
      <c r="F1045" s="106" t="s">
        <v>4454</v>
      </c>
      <c r="G1045" s="105">
        <v>4</v>
      </c>
      <c r="H1045" s="106" t="s">
        <v>7</v>
      </c>
      <c r="I1045" s="105" t="s">
        <v>39</v>
      </c>
      <c r="J1045" s="105"/>
      <c r="K1045" s="105"/>
      <c r="L1045" s="105"/>
      <c r="M1045" s="106" t="s">
        <v>4455</v>
      </c>
      <c r="N1045" s="106" t="s">
        <v>40</v>
      </c>
      <c r="O1045" s="107"/>
      <c r="P1045" s="106" t="s">
        <v>4456</v>
      </c>
    </row>
    <row r="1046" spans="1:16" outlineLevel="2" x14ac:dyDescent="0.3">
      <c r="A1046" s="105" t="s">
        <v>4457</v>
      </c>
      <c r="B1046" s="106"/>
      <c r="C1046" s="106"/>
      <c r="D1046" s="106"/>
      <c r="E1046" s="106" t="s">
        <v>4458</v>
      </c>
      <c r="F1046" s="106" t="s">
        <v>4459</v>
      </c>
      <c r="G1046" s="105">
        <v>4</v>
      </c>
      <c r="H1046" s="106" t="s">
        <v>7</v>
      </c>
      <c r="I1046" s="105" t="s">
        <v>39</v>
      </c>
      <c r="J1046" s="105"/>
      <c r="K1046" s="105"/>
      <c r="L1046" s="105"/>
      <c r="M1046" s="106" t="s">
        <v>4460</v>
      </c>
      <c r="N1046" s="106" t="s">
        <v>40</v>
      </c>
      <c r="O1046" s="107"/>
      <c r="P1046" s="106" t="s">
        <v>4461</v>
      </c>
    </row>
    <row r="1047" spans="1:16" outlineLevel="2" x14ac:dyDescent="0.3">
      <c r="A1047" s="105" t="s">
        <v>4462</v>
      </c>
      <c r="B1047" s="106"/>
      <c r="C1047" s="106"/>
      <c r="D1047" s="106"/>
      <c r="E1047" s="106" t="s">
        <v>4463</v>
      </c>
      <c r="F1047" s="106" t="s">
        <v>4464</v>
      </c>
      <c r="G1047" s="105">
        <v>4</v>
      </c>
      <c r="H1047" s="106" t="s">
        <v>7</v>
      </c>
      <c r="I1047" s="105" t="s">
        <v>39</v>
      </c>
      <c r="J1047" s="105"/>
      <c r="K1047" s="105"/>
      <c r="L1047" s="105"/>
      <c r="M1047" s="106" t="s">
        <v>4465</v>
      </c>
      <c r="N1047" s="106" t="s">
        <v>40</v>
      </c>
      <c r="O1047" s="107"/>
      <c r="P1047" s="106" t="s">
        <v>4466</v>
      </c>
    </row>
    <row r="1048" spans="1:16" outlineLevel="2" x14ac:dyDescent="0.3">
      <c r="A1048" s="105" t="s">
        <v>4467</v>
      </c>
      <c r="B1048" s="106"/>
      <c r="C1048" s="106"/>
      <c r="D1048" s="106"/>
      <c r="E1048" s="106" t="s">
        <v>4468</v>
      </c>
      <c r="F1048" s="106" t="s">
        <v>4469</v>
      </c>
      <c r="G1048" s="105">
        <v>4</v>
      </c>
      <c r="H1048" s="106" t="s">
        <v>7</v>
      </c>
      <c r="I1048" s="105" t="s">
        <v>39</v>
      </c>
      <c r="J1048" s="105"/>
      <c r="K1048" s="105"/>
      <c r="L1048" s="105"/>
      <c r="M1048" s="106" t="s">
        <v>4470</v>
      </c>
      <c r="N1048" s="106" t="s">
        <v>40</v>
      </c>
      <c r="O1048" s="107"/>
      <c r="P1048" s="106" t="s">
        <v>4471</v>
      </c>
    </row>
    <row r="1049" spans="1:16" outlineLevel="2" x14ac:dyDescent="0.3">
      <c r="A1049" s="105" t="s">
        <v>4472</v>
      </c>
      <c r="B1049" s="106"/>
      <c r="C1049" s="106"/>
      <c r="D1049" s="106"/>
      <c r="E1049" s="106" t="s">
        <v>4473</v>
      </c>
      <c r="F1049" s="106" t="s">
        <v>4474</v>
      </c>
      <c r="G1049" s="105">
        <v>4</v>
      </c>
      <c r="H1049" s="106" t="s">
        <v>7</v>
      </c>
      <c r="I1049" s="105" t="s">
        <v>39</v>
      </c>
      <c r="J1049" s="105"/>
      <c r="K1049" s="105"/>
      <c r="L1049" s="105"/>
      <c r="M1049" s="106" t="s">
        <v>4475</v>
      </c>
      <c r="N1049" s="106" t="s">
        <v>40</v>
      </c>
      <c r="O1049" s="107"/>
      <c r="P1049" s="106" t="s">
        <v>4476</v>
      </c>
    </row>
    <row r="1050" spans="1:16" outlineLevel="2" x14ac:dyDescent="0.3">
      <c r="A1050" s="105" t="s">
        <v>4477</v>
      </c>
      <c r="B1050" s="106"/>
      <c r="C1050" s="106"/>
      <c r="D1050" s="106"/>
      <c r="E1050" s="106" t="s">
        <v>4478</v>
      </c>
      <c r="F1050" s="106" t="s">
        <v>4479</v>
      </c>
      <c r="G1050" s="105">
        <v>4</v>
      </c>
      <c r="H1050" s="106" t="s">
        <v>7</v>
      </c>
      <c r="I1050" s="105" t="s">
        <v>39</v>
      </c>
      <c r="J1050" s="105"/>
      <c r="K1050" s="105"/>
      <c r="L1050" s="105"/>
      <c r="M1050" s="106" t="s">
        <v>4480</v>
      </c>
      <c r="N1050" s="106" t="s">
        <v>40</v>
      </c>
      <c r="O1050" s="107"/>
      <c r="P1050" s="106" t="s">
        <v>4481</v>
      </c>
    </row>
    <row r="1051" spans="1:16" outlineLevel="2" x14ac:dyDescent="0.3">
      <c r="A1051" s="105" t="s">
        <v>4482</v>
      </c>
      <c r="B1051" s="106"/>
      <c r="C1051" s="106"/>
      <c r="D1051" s="106"/>
      <c r="E1051" s="106" t="s">
        <v>4483</v>
      </c>
      <c r="F1051" s="106" t="s">
        <v>4484</v>
      </c>
      <c r="G1051" s="105">
        <v>4</v>
      </c>
      <c r="H1051" s="106" t="s">
        <v>7</v>
      </c>
      <c r="I1051" s="105" t="s">
        <v>39</v>
      </c>
      <c r="J1051" s="105"/>
      <c r="K1051" s="105"/>
      <c r="L1051" s="105"/>
      <c r="M1051" s="106" t="s">
        <v>4485</v>
      </c>
      <c r="N1051" s="106" t="s">
        <v>40</v>
      </c>
      <c r="O1051" s="107"/>
      <c r="P1051" s="106" t="s">
        <v>4486</v>
      </c>
    </row>
    <row r="1052" spans="1:16" outlineLevel="2" x14ac:dyDescent="0.3">
      <c r="A1052" s="105" t="s">
        <v>4487</v>
      </c>
      <c r="B1052" s="106"/>
      <c r="C1052" s="106"/>
      <c r="D1052" s="106"/>
      <c r="E1052" s="106" t="s">
        <v>4488</v>
      </c>
      <c r="F1052" s="106" t="s">
        <v>4489</v>
      </c>
      <c r="G1052" s="105">
        <v>4</v>
      </c>
      <c r="H1052" s="106" t="s">
        <v>7</v>
      </c>
      <c r="I1052" s="105" t="s">
        <v>39</v>
      </c>
      <c r="J1052" s="105"/>
      <c r="K1052" s="105"/>
      <c r="L1052" s="105"/>
      <c r="M1052" s="106" t="s">
        <v>4490</v>
      </c>
      <c r="N1052" s="106" t="s">
        <v>40</v>
      </c>
      <c r="O1052" s="107"/>
      <c r="P1052" s="106" t="s">
        <v>4491</v>
      </c>
    </row>
    <row r="1053" spans="1:16" outlineLevel="2" x14ac:dyDescent="0.3">
      <c r="A1053" s="105" t="s">
        <v>4492</v>
      </c>
      <c r="B1053" s="106"/>
      <c r="C1053" s="106"/>
      <c r="D1053" s="106"/>
      <c r="E1053" s="106" t="s">
        <v>4493</v>
      </c>
      <c r="F1053" s="106" t="s">
        <v>4494</v>
      </c>
      <c r="G1053" s="105">
        <v>4</v>
      </c>
      <c r="H1053" s="106" t="s">
        <v>7</v>
      </c>
      <c r="I1053" s="105" t="s">
        <v>39</v>
      </c>
      <c r="J1053" s="105"/>
      <c r="K1053" s="105"/>
      <c r="L1053" s="105"/>
      <c r="M1053" s="106" t="s">
        <v>4495</v>
      </c>
      <c r="N1053" s="106" t="s">
        <v>40</v>
      </c>
      <c r="O1053" s="107"/>
      <c r="P1053" s="106" t="s">
        <v>4496</v>
      </c>
    </row>
    <row r="1054" spans="1:16" ht="27.6" outlineLevel="1" x14ac:dyDescent="0.3">
      <c r="A1054" s="202" t="s">
        <v>4497</v>
      </c>
      <c r="B1054" s="203"/>
      <c r="C1054" s="204" t="s">
        <v>4498</v>
      </c>
      <c r="D1054" s="203"/>
      <c r="E1054" s="203"/>
      <c r="F1054" s="203"/>
      <c r="G1054" s="202">
        <v>2</v>
      </c>
      <c r="H1054" s="203" t="s">
        <v>25</v>
      </c>
      <c r="I1054" s="202" t="s">
        <v>39</v>
      </c>
      <c r="J1054" s="202">
        <v>19</v>
      </c>
      <c r="K1054" s="202">
        <v>0</v>
      </c>
      <c r="L1054" s="202">
        <v>19</v>
      </c>
      <c r="M1054" s="205" t="s">
        <v>4499</v>
      </c>
      <c r="N1054" s="205" t="s">
        <v>223</v>
      </c>
      <c r="O1054" s="206"/>
      <c r="P1054" s="205" t="s">
        <v>4500</v>
      </c>
    </row>
    <row r="1055" spans="1:16" outlineLevel="2" x14ac:dyDescent="0.3">
      <c r="A1055" s="105" t="s">
        <v>4501</v>
      </c>
      <c r="B1055" s="106"/>
      <c r="C1055" s="106"/>
      <c r="D1055" s="106"/>
      <c r="E1055" s="106" t="s">
        <v>3537</v>
      </c>
      <c r="F1055" s="106" t="s">
        <v>4502</v>
      </c>
      <c r="G1055" s="105">
        <v>4</v>
      </c>
      <c r="H1055" s="106" t="s">
        <v>7</v>
      </c>
      <c r="I1055" s="105" t="s">
        <v>39</v>
      </c>
      <c r="J1055" s="105"/>
      <c r="K1055" s="105"/>
      <c r="L1055" s="105"/>
      <c r="M1055" s="106"/>
      <c r="N1055" s="106" t="s">
        <v>223</v>
      </c>
      <c r="O1055" s="107"/>
      <c r="P1055" s="106" t="s">
        <v>4503</v>
      </c>
    </row>
    <row r="1056" spans="1:16" outlineLevel="2" x14ac:dyDescent="0.3">
      <c r="A1056" s="105" t="s">
        <v>4504</v>
      </c>
      <c r="B1056" s="106"/>
      <c r="C1056" s="106"/>
      <c r="D1056" s="106"/>
      <c r="E1056" s="106" t="s">
        <v>4505</v>
      </c>
      <c r="F1056" s="106" t="s">
        <v>4506</v>
      </c>
      <c r="G1056" s="105">
        <v>4</v>
      </c>
      <c r="H1056" s="106" t="s">
        <v>7</v>
      </c>
      <c r="I1056" s="105" t="s">
        <v>39</v>
      </c>
      <c r="J1056" s="105"/>
      <c r="K1056" s="105"/>
      <c r="L1056" s="105"/>
      <c r="M1056" s="106" t="s">
        <v>4507</v>
      </c>
      <c r="N1056" s="106" t="s">
        <v>40</v>
      </c>
      <c r="O1056" s="107"/>
      <c r="P1056" s="106" t="s">
        <v>4508</v>
      </c>
    </row>
    <row r="1057" spans="1:16" outlineLevel="2" x14ac:dyDescent="0.3">
      <c r="A1057" s="105" t="s">
        <v>4509</v>
      </c>
      <c r="B1057" s="106"/>
      <c r="C1057" s="106"/>
      <c r="D1057" s="106"/>
      <c r="E1057" s="106" t="s">
        <v>4510</v>
      </c>
      <c r="F1057" s="106" t="s">
        <v>4511</v>
      </c>
      <c r="G1057" s="105">
        <v>4</v>
      </c>
      <c r="H1057" s="106" t="s">
        <v>7</v>
      </c>
      <c r="I1057" s="105" t="s">
        <v>39</v>
      </c>
      <c r="J1057" s="105"/>
      <c r="K1057" s="105"/>
      <c r="L1057" s="105"/>
      <c r="M1057" s="106"/>
      <c r="N1057" s="106" t="s">
        <v>40</v>
      </c>
      <c r="O1057" s="107"/>
      <c r="P1057" s="106" t="s">
        <v>4512</v>
      </c>
    </row>
    <row r="1058" spans="1:16" outlineLevel="2" x14ac:dyDescent="0.3">
      <c r="A1058" s="105" t="s">
        <v>4513</v>
      </c>
      <c r="B1058" s="106"/>
      <c r="C1058" s="106"/>
      <c r="D1058" s="106"/>
      <c r="E1058" s="106" t="s">
        <v>4514</v>
      </c>
      <c r="F1058" s="106" t="s">
        <v>4515</v>
      </c>
      <c r="G1058" s="105">
        <v>4</v>
      </c>
      <c r="H1058" s="106" t="s">
        <v>7</v>
      </c>
      <c r="I1058" s="105" t="s">
        <v>39</v>
      </c>
      <c r="J1058" s="105"/>
      <c r="K1058" s="105"/>
      <c r="L1058" s="105"/>
      <c r="M1058" s="106" t="s">
        <v>4516</v>
      </c>
      <c r="N1058" s="106" t="s">
        <v>223</v>
      </c>
      <c r="O1058" s="107"/>
      <c r="P1058" s="106" t="s">
        <v>4517</v>
      </c>
    </row>
    <row r="1059" spans="1:16" outlineLevel="2" x14ac:dyDescent="0.3">
      <c r="A1059" s="105" t="s">
        <v>4518</v>
      </c>
      <c r="B1059" s="106"/>
      <c r="C1059" s="106"/>
      <c r="D1059" s="106"/>
      <c r="E1059" s="106" t="s">
        <v>4519</v>
      </c>
      <c r="F1059" s="106" t="s">
        <v>4520</v>
      </c>
      <c r="G1059" s="105">
        <v>4</v>
      </c>
      <c r="H1059" s="106" t="s">
        <v>7</v>
      </c>
      <c r="I1059" s="105" t="s">
        <v>39</v>
      </c>
      <c r="J1059" s="105"/>
      <c r="K1059" s="105"/>
      <c r="L1059" s="105"/>
      <c r="M1059" s="106"/>
      <c r="N1059" s="106" t="s">
        <v>223</v>
      </c>
      <c r="O1059" s="107"/>
      <c r="P1059" s="106" t="s">
        <v>4521</v>
      </c>
    </row>
    <row r="1060" spans="1:16" outlineLevel="2" x14ac:dyDescent="0.3">
      <c r="A1060" s="105" t="s">
        <v>4522</v>
      </c>
      <c r="B1060" s="106"/>
      <c r="C1060" s="106"/>
      <c r="D1060" s="106"/>
      <c r="E1060" s="106" t="s">
        <v>4523</v>
      </c>
      <c r="F1060" s="106" t="s">
        <v>4524</v>
      </c>
      <c r="G1060" s="105">
        <v>4</v>
      </c>
      <c r="H1060" s="106" t="s">
        <v>7</v>
      </c>
      <c r="I1060" s="105" t="s">
        <v>39</v>
      </c>
      <c r="J1060" s="105"/>
      <c r="K1060" s="105"/>
      <c r="L1060" s="105"/>
      <c r="M1060" s="106" t="s">
        <v>4525</v>
      </c>
      <c r="N1060" s="106" t="s">
        <v>223</v>
      </c>
      <c r="O1060" s="107"/>
      <c r="P1060" s="106" t="s">
        <v>4526</v>
      </c>
    </row>
    <row r="1061" spans="1:16" outlineLevel="2" x14ac:dyDescent="0.3">
      <c r="A1061" s="105" t="s">
        <v>4527</v>
      </c>
      <c r="B1061" s="106"/>
      <c r="C1061" s="106"/>
      <c r="D1061" s="106"/>
      <c r="E1061" s="106" t="s">
        <v>4528</v>
      </c>
      <c r="F1061" s="106" t="s">
        <v>4529</v>
      </c>
      <c r="G1061" s="105">
        <v>4</v>
      </c>
      <c r="H1061" s="106" t="s">
        <v>7</v>
      </c>
      <c r="I1061" s="105" t="s">
        <v>39</v>
      </c>
      <c r="J1061" s="105"/>
      <c r="K1061" s="105"/>
      <c r="L1061" s="105"/>
      <c r="M1061" s="106"/>
      <c r="N1061" s="106" t="s">
        <v>223</v>
      </c>
      <c r="O1061" s="107"/>
      <c r="P1061" s="106" t="s">
        <v>4530</v>
      </c>
    </row>
    <row r="1062" spans="1:16" outlineLevel="2" x14ac:dyDescent="0.3">
      <c r="A1062" s="105" t="s">
        <v>4531</v>
      </c>
      <c r="B1062" s="106"/>
      <c r="C1062" s="106"/>
      <c r="D1062" s="106"/>
      <c r="E1062" s="106" t="s">
        <v>4532</v>
      </c>
      <c r="F1062" s="106" t="s">
        <v>4533</v>
      </c>
      <c r="G1062" s="105">
        <v>4</v>
      </c>
      <c r="H1062" s="106" t="s">
        <v>7</v>
      </c>
      <c r="I1062" s="105" t="s">
        <v>39</v>
      </c>
      <c r="J1062" s="105"/>
      <c r="K1062" s="105"/>
      <c r="L1062" s="105"/>
      <c r="M1062" s="106"/>
      <c r="N1062" s="106" t="s">
        <v>40</v>
      </c>
      <c r="O1062" s="107"/>
      <c r="P1062" s="106" t="s">
        <v>4534</v>
      </c>
    </row>
    <row r="1063" spans="1:16" outlineLevel="2" x14ac:dyDescent="0.3">
      <c r="A1063" s="105" t="s">
        <v>4535</v>
      </c>
      <c r="B1063" s="106"/>
      <c r="C1063" s="106"/>
      <c r="D1063" s="106"/>
      <c r="E1063" s="106" t="s">
        <v>3550</v>
      </c>
      <c r="F1063" s="106" t="s">
        <v>3551</v>
      </c>
      <c r="G1063" s="105">
        <v>4</v>
      </c>
      <c r="H1063" s="106" t="s">
        <v>7</v>
      </c>
      <c r="I1063" s="105" t="s">
        <v>26</v>
      </c>
      <c r="J1063" s="105"/>
      <c r="K1063" s="105"/>
      <c r="L1063" s="105"/>
      <c r="M1063" s="106" t="s">
        <v>4536</v>
      </c>
      <c r="N1063" s="106" t="s">
        <v>223</v>
      </c>
      <c r="O1063" s="107"/>
      <c r="P1063" s="106" t="s">
        <v>4537</v>
      </c>
    </row>
    <row r="1064" spans="1:16" outlineLevel="2" x14ac:dyDescent="0.3">
      <c r="A1064" s="105" t="s">
        <v>4538</v>
      </c>
      <c r="B1064" s="106"/>
      <c r="C1064" s="106"/>
      <c r="D1064" s="106"/>
      <c r="E1064" s="106" t="s">
        <v>4539</v>
      </c>
      <c r="F1064" s="106" t="s">
        <v>4540</v>
      </c>
      <c r="G1064" s="105">
        <v>4</v>
      </c>
      <c r="H1064" s="106" t="s">
        <v>7</v>
      </c>
      <c r="I1064" s="105" t="s">
        <v>39</v>
      </c>
      <c r="J1064" s="105"/>
      <c r="K1064" s="105"/>
      <c r="L1064" s="105"/>
      <c r="M1064" s="106" t="s">
        <v>4541</v>
      </c>
      <c r="N1064" s="106" t="s">
        <v>40</v>
      </c>
      <c r="O1064" s="107"/>
      <c r="P1064" s="106" t="s">
        <v>4542</v>
      </c>
    </row>
    <row r="1065" spans="1:16" outlineLevel="2" x14ac:dyDescent="0.3">
      <c r="A1065" s="105" t="s">
        <v>4543</v>
      </c>
      <c r="B1065" s="106"/>
      <c r="C1065" s="106"/>
      <c r="D1065" s="106"/>
      <c r="E1065" s="106" t="s">
        <v>4544</v>
      </c>
      <c r="F1065" s="106" t="s">
        <v>4545</v>
      </c>
      <c r="G1065" s="105">
        <v>4</v>
      </c>
      <c r="H1065" s="106" t="s">
        <v>7</v>
      </c>
      <c r="I1065" s="105" t="s">
        <v>39</v>
      </c>
      <c r="J1065" s="105"/>
      <c r="K1065" s="105"/>
      <c r="L1065" s="105"/>
      <c r="M1065" s="106" t="s">
        <v>4546</v>
      </c>
      <c r="N1065" s="106" t="s">
        <v>40</v>
      </c>
      <c r="O1065" s="107"/>
      <c r="P1065" s="106" t="s">
        <v>4547</v>
      </c>
    </row>
    <row r="1066" spans="1:16" outlineLevel="2" x14ac:dyDescent="0.3">
      <c r="A1066" s="105" t="s">
        <v>4548</v>
      </c>
      <c r="B1066" s="106"/>
      <c r="C1066" s="106"/>
      <c r="D1066" s="106"/>
      <c r="E1066" s="106" t="s">
        <v>4549</v>
      </c>
      <c r="F1066" s="106" t="s">
        <v>4267</v>
      </c>
      <c r="G1066" s="105">
        <v>4</v>
      </c>
      <c r="H1066" s="106" t="s">
        <v>7</v>
      </c>
      <c r="I1066" s="105" t="s">
        <v>39</v>
      </c>
      <c r="J1066" s="105"/>
      <c r="K1066" s="105"/>
      <c r="L1066" s="105"/>
      <c r="M1066" s="106" t="s">
        <v>4550</v>
      </c>
      <c r="N1066" s="106" t="s">
        <v>223</v>
      </c>
      <c r="O1066" s="107"/>
      <c r="P1066" s="106" t="s">
        <v>4551</v>
      </c>
    </row>
    <row r="1067" spans="1:16" outlineLevel="2" x14ac:dyDescent="0.3">
      <c r="A1067" s="105" t="s">
        <v>4552</v>
      </c>
      <c r="B1067" s="106"/>
      <c r="C1067" s="106"/>
      <c r="D1067" s="106"/>
      <c r="E1067" s="106" t="s">
        <v>4553</v>
      </c>
      <c r="F1067" s="106" t="s">
        <v>4554</v>
      </c>
      <c r="G1067" s="105">
        <v>4</v>
      </c>
      <c r="H1067" s="106" t="s">
        <v>7</v>
      </c>
      <c r="I1067" s="105" t="s">
        <v>39</v>
      </c>
      <c r="J1067" s="105"/>
      <c r="K1067" s="105"/>
      <c r="L1067" s="105"/>
      <c r="M1067" s="106" t="s">
        <v>4555</v>
      </c>
      <c r="N1067" s="106" t="s">
        <v>40</v>
      </c>
      <c r="O1067" s="107"/>
      <c r="P1067" s="106" t="s">
        <v>4556</v>
      </c>
    </row>
    <row r="1068" spans="1:16" outlineLevel="2" x14ac:dyDescent="0.3">
      <c r="A1068" s="105" t="s">
        <v>4557</v>
      </c>
      <c r="B1068" s="106"/>
      <c r="C1068" s="106"/>
      <c r="D1068" s="106"/>
      <c r="E1068" s="106" t="s">
        <v>4558</v>
      </c>
      <c r="F1068" s="106" t="s">
        <v>4559</v>
      </c>
      <c r="G1068" s="105">
        <v>4</v>
      </c>
      <c r="H1068" s="106" t="s">
        <v>7</v>
      </c>
      <c r="I1068" s="105" t="s">
        <v>39</v>
      </c>
      <c r="J1068" s="105"/>
      <c r="K1068" s="105"/>
      <c r="L1068" s="105"/>
      <c r="M1068" s="106"/>
      <c r="N1068" s="106" t="s">
        <v>40</v>
      </c>
      <c r="O1068" s="107"/>
      <c r="P1068" s="106" t="s">
        <v>4560</v>
      </c>
    </row>
    <row r="1069" spans="1:16" outlineLevel="2" x14ac:dyDescent="0.3">
      <c r="A1069" s="105" t="s">
        <v>4561</v>
      </c>
      <c r="B1069" s="106"/>
      <c r="C1069" s="106"/>
      <c r="D1069" s="106"/>
      <c r="E1069" s="106" t="s">
        <v>4562</v>
      </c>
      <c r="F1069" s="106" t="s">
        <v>4563</v>
      </c>
      <c r="G1069" s="105">
        <v>4</v>
      </c>
      <c r="H1069" s="106" t="s">
        <v>7</v>
      </c>
      <c r="I1069" s="105" t="s">
        <v>39</v>
      </c>
      <c r="J1069" s="105"/>
      <c r="K1069" s="105"/>
      <c r="L1069" s="105"/>
      <c r="M1069" s="106"/>
      <c r="N1069" s="106" t="s">
        <v>40</v>
      </c>
      <c r="O1069" s="107"/>
      <c r="P1069" s="106" t="s">
        <v>4564</v>
      </c>
    </row>
    <row r="1070" spans="1:16" outlineLevel="2" x14ac:dyDescent="0.3">
      <c r="A1070" s="105" t="s">
        <v>4565</v>
      </c>
      <c r="B1070" s="106"/>
      <c r="C1070" s="106"/>
      <c r="D1070" s="106"/>
      <c r="E1070" s="106" t="s">
        <v>4566</v>
      </c>
      <c r="F1070" s="106" t="s">
        <v>3575</v>
      </c>
      <c r="G1070" s="105">
        <v>4</v>
      </c>
      <c r="H1070" s="106" t="s">
        <v>7</v>
      </c>
      <c r="I1070" s="105" t="s">
        <v>26</v>
      </c>
      <c r="J1070" s="105"/>
      <c r="K1070" s="105"/>
      <c r="L1070" s="105"/>
      <c r="M1070" s="106" t="s">
        <v>3576</v>
      </c>
      <c r="N1070" s="106" t="s">
        <v>713</v>
      </c>
      <c r="O1070" s="107"/>
      <c r="P1070" s="106" t="s">
        <v>4567</v>
      </c>
    </row>
    <row r="1071" spans="1:16" outlineLevel="2" x14ac:dyDescent="0.3">
      <c r="A1071" s="105" t="s">
        <v>4568</v>
      </c>
      <c r="B1071" s="106"/>
      <c r="C1071" s="106"/>
      <c r="D1071" s="106"/>
      <c r="E1071" s="106" t="s">
        <v>4569</v>
      </c>
      <c r="F1071" s="106" t="s">
        <v>4570</v>
      </c>
      <c r="G1071" s="105">
        <v>4</v>
      </c>
      <c r="H1071" s="106" t="s">
        <v>7</v>
      </c>
      <c r="I1071" s="105" t="s">
        <v>39</v>
      </c>
      <c r="J1071" s="105"/>
      <c r="K1071" s="105"/>
      <c r="L1071" s="105"/>
      <c r="M1071" s="106"/>
      <c r="N1071" s="106" t="s">
        <v>223</v>
      </c>
      <c r="O1071" s="107"/>
      <c r="P1071" s="106" t="s">
        <v>4571</v>
      </c>
    </row>
    <row r="1072" spans="1:16" outlineLevel="2" x14ac:dyDescent="0.3">
      <c r="A1072" s="105" t="s">
        <v>4572</v>
      </c>
      <c r="B1072" s="106"/>
      <c r="C1072" s="106"/>
      <c r="D1072" s="106"/>
      <c r="E1072" s="106" t="s">
        <v>4573</v>
      </c>
      <c r="F1072" s="106" t="s">
        <v>4574</v>
      </c>
      <c r="G1072" s="105">
        <v>4</v>
      </c>
      <c r="H1072" s="106" t="s">
        <v>7</v>
      </c>
      <c r="I1072" s="105" t="s">
        <v>39</v>
      </c>
      <c r="J1072" s="105"/>
      <c r="K1072" s="105"/>
      <c r="L1072" s="105"/>
      <c r="M1072" s="106"/>
      <c r="N1072" s="106" t="s">
        <v>223</v>
      </c>
      <c r="O1072" s="107"/>
      <c r="P1072" s="106" t="s">
        <v>4575</v>
      </c>
    </row>
    <row r="1073" spans="1:16" outlineLevel="2" x14ac:dyDescent="0.3">
      <c r="A1073" s="105" t="s">
        <v>4576</v>
      </c>
      <c r="B1073" s="106"/>
      <c r="C1073" s="106"/>
      <c r="D1073" s="106"/>
      <c r="E1073" s="106" t="s">
        <v>4577</v>
      </c>
      <c r="F1073" s="106" t="s">
        <v>4578</v>
      </c>
      <c r="G1073" s="105">
        <v>4</v>
      </c>
      <c r="H1073" s="106" t="s">
        <v>7</v>
      </c>
      <c r="I1073" s="105" t="s">
        <v>39</v>
      </c>
      <c r="J1073" s="105"/>
      <c r="K1073" s="105"/>
      <c r="L1073" s="105"/>
      <c r="M1073" s="106"/>
      <c r="N1073" s="106" t="s">
        <v>223</v>
      </c>
      <c r="O1073" s="107"/>
      <c r="P1073" s="106" t="s">
        <v>4579</v>
      </c>
    </row>
    <row r="1074" spans="1:16" outlineLevel="1" x14ac:dyDescent="0.3">
      <c r="A1074" s="202" t="s">
        <v>4580</v>
      </c>
      <c r="B1074" s="203"/>
      <c r="C1074" s="204" t="s">
        <v>4581</v>
      </c>
      <c r="D1074" s="203"/>
      <c r="E1074" s="203"/>
      <c r="F1074" s="203"/>
      <c r="G1074" s="202">
        <v>2</v>
      </c>
      <c r="H1074" s="203" t="s">
        <v>25</v>
      </c>
      <c r="I1074" s="202" t="s">
        <v>39</v>
      </c>
      <c r="J1074" s="202">
        <v>12</v>
      </c>
      <c r="K1074" s="202">
        <v>0</v>
      </c>
      <c r="L1074" s="202">
        <v>12</v>
      </c>
      <c r="M1074" s="205" t="s">
        <v>4582</v>
      </c>
      <c r="N1074" s="205"/>
      <c r="O1074" s="206"/>
      <c r="P1074" s="205"/>
    </row>
    <row r="1075" spans="1:16" ht="27.6" outlineLevel="2" x14ac:dyDescent="0.3">
      <c r="A1075" s="207" t="s">
        <v>4583</v>
      </c>
      <c r="B1075" s="208"/>
      <c r="C1075" s="208"/>
      <c r="D1075" s="208" t="s">
        <v>4584</v>
      </c>
      <c r="E1075" s="208"/>
      <c r="F1075" s="208"/>
      <c r="G1075" s="207">
        <v>3</v>
      </c>
      <c r="H1075" s="208" t="s">
        <v>25</v>
      </c>
      <c r="I1075" s="207" t="s">
        <v>39</v>
      </c>
      <c r="J1075" s="207">
        <v>6</v>
      </c>
      <c r="K1075" s="207">
        <v>0</v>
      </c>
      <c r="L1075" s="207">
        <v>6</v>
      </c>
      <c r="M1075" s="209" t="s">
        <v>4585</v>
      </c>
      <c r="N1075" s="209" t="s">
        <v>223</v>
      </c>
      <c r="O1075" s="210"/>
      <c r="P1075" s="209" t="s">
        <v>4586</v>
      </c>
    </row>
    <row r="1076" spans="1:16" outlineLevel="3" x14ac:dyDescent="0.3">
      <c r="A1076" s="105" t="s">
        <v>4587</v>
      </c>
      <c r="B1076" s="106"/>
      <c r="C1076" s="106"/>
      <c r="D1076" s="106"/>
      <c r="E1076" s="106" t="s">
        <v>4588</v>
      </c>
      <c r="F1076" s="106" t="s">
        <v>4589</v>
      </c>
      <c r="G1076" s="105">
        <v>4</v>
      </c>
      <c r="H1076" s="106" t="s">
        <v>7</v>
      </c>
      <c r="I1076" s="105" t="s">
        <v>39</v>
      </c>
      <c r="J1076" s="105"/>
      <c r="K1076" s="105"/>
      <c r="L1076" s="105"/>
      <c r="M1076" s="106"/>
      <c r="N1076" s="106" t="s">
        <v>40</v>
      </c>
      <c r="O1076" s="107"/>
      <c r="P1076" s="106" t="s">
        <v>4590</v>
      </c>
    </row>
    <row r="1077" spans="1:16" outlineLevel="3" x14ac:dyDescent="0.3">
      <c r="A1077" s="105" t="s">
        <v>4591</v>
      </c>
      <c r="B1077" s="106"/>
      <c r="C1077" s="106"/>
      <c r="D1077" s="106"/>
      <c r="E1077" s="106" t="s">
        <v>4592</v>
      </c>
      <c r="F1077" s="106" t="s">
        <v>4593</v>
      </c>
      <c r="G1077" s="105">
        <v>4</v>
      </c>
      <c r="H1077" s="106" t="s">
        <v>7</v>
      </c>
      <c r="I1077" s="105" t="s">
        <v>39</v>
      </c>
      <c r="J1077" s="105"/>
      <c r="K1077" s="105"/>
      <c r="L1077" s="105"/>
      <c r="M1077" s="106"/>
      <c r="N1077" s="106" t="s">
        <v>40</v>
      </c>
      <c r="O1077" s="107"/>
      <c r="P1077" s="106" t="s">
        <v>4594</v>
      </c>
    </row>
    <row r="1078" spans="1:16" outlineLevel="3" x14ac:dyDescent="0.3">
      <c r="A1078" s="105" t="s">
        <v>4595</v>
      </c>
      <c r="B1078" s="106"/>
      <c r="C1078" s="106"/>
      <c r="D1078" s="106"/>
      <c r="E1078" s="106" t="s">
        <v>4596</v>
      </c>
      <c r="F1078" s="106" t="s">
        <v>4597</v>
      </c>
      <c r="G1078" s="105">
        <v>4</v>
      </c>
      <c r="H1078" s="106" t="s">
        <v>7</v>
      </c>
      <c r="I1078" s="105" t="s">
        <v>39</v>
      </c>
      <c r="J1078" s="105"/>
      <c r="K1078" s="105"/>
      <c r="L1078" s="105"/>
      <c r="M1078" s="106"/>
      <c r="N1078" s="106" t="s">
        <v>40</v>
      </c>
      <c r="O1078" s="107"/>
      <c r="P1078" s="106" t="s">
        <v>4598</v>
      </c>
    </row>
    <row r="1079" spans="1:16" outlineLevel="3" x14ac:dyDescent="0.3">
      <c r="A1079" s="105" t="s">
        <v>4599</v>
      </c>
      <c r="B1079" s="106"/>
      <c r="C1079" s="106"/>
      <c r="D1079" s="106"/>
      <c r="E1079" s="106" t="s">
        <v>4600</v>
      </c>
      <c r="F1079" s="106" t="s">
        <v>4601</v>
      </c>
      <c r="G1079" s="105">
        <v>4</v>
      </c>
      <c r="H1079" s="106" t="s">
        <v>7</v>
      </c>
      <c r="I1079" s="105" t="s">
        <v>39</v>
      </c>
      <c r="J1079" s="105"/>
      <c r="K1079" s="105"/>
      <c r="L1079" s="105"/>
      <c r="M1079" s="106"/>
      <c r="N1079" s="106" t="s">
        <v>223</v>
      </c>
      <c r="O1079" s="107"/>
      <c r="P1079" s="106" t="s">
        <v>4602</v>
      </c>
    </row>
    <row r="1080" spans="1:16" outlineLevel="3" x14ac:dyDescent="0.3">
      <c r="A1080" s="105" t="s">
        <v>4603</v>
      </c>
      <c r="B1080" s="106"/>
      <c r="C1080" s="106"/>
      <c r="D1080" s="106"/>
      <c r="E1080" s="106" t="s">
        <v>4604</v>
      </c>
      <c r="F1080" s="106" t="s">
        <v>4605</v>
      </c>
      <c r="G1080" s="105">
        <v>4</v>
      </c>
      <c r="H1080" s="106" t="s">
        <v>7</v>
      </c>
      <c r="I1080" s="105" t="s">
        <v>39</v>
      </c>
      <c r="J1080" s="105"/>
      <c r="K1080" s="105"/>
      <c r="L1080" s="105"/>
      <c r="M1080" s="106"/>
      <c r="N1080" s="106" t="s">
        <v>223</v>
      </c>
      <c r="O1080" s="107"/>
      <c r="P1080" s="106" t="s">
        <v>4606</v>
      </c>
    </row>
    <row r="1081" spans="1:16" outlineLevel="3" x14ac:dyDescent="0.3">
      <c r="A1081" s="105" t="s">
        <v>4607</v>
      </c>
      <c r="B1081" s="106"/>
      <c r="C1081" s="106"/>
      <c r="D1081" s="106"/>
      <c r="E1081" s="106" t="s">
        <v>4608</v>
      </c>
      <c r="F1081" s="106" t="s">
        <v>4609</v>
      </c>
      <c r="G1081" s="105">
        <v>4</v>
      </c>
      <c r="H1081" s="106" t="s">
        <v>7</v>
      </c>
      <c r="I1081" s="105" t="s">
        <v>39</v>
      </c>
      <c r="J1081" s="105"/>
      <c r="K1081" s="105"/>
      <c r="L1081" s="105"/>
      <c r="M1081" s="106"/>
      <c r="N1081" s="106" t="s">
        <v>223</v>
      </c>
      <c r="O1081" s="107"/>
      <c r="P1081" s="106" t="s">
        <v>4610</v>
      </c>
    </row>
    <row r="1082" spans="1:16" ht="41.4" outlineLevel="2" x14ac:dyDescent="0.3">
      <c r="A1082" s="207" t="s">
        <v>4611</v>
      </c>
      <c r="B1082" s="208"/>
      <c r="C1082" s="208"/>
      <c r="D1082" s="208" t="s">
        <v>4612</v>
      </c>
      <c r="E1082" s="208"/>
      <c r="F1082" s="208"/>
      <c r="G1082" s="207">
        <v>3</v>
      </c>
      <c r="H1082" s="208" t="s">
        <v>25</v>
      </c>
      <c r="I1082" s="207" t="s">
        <v>39</v>
      </c>
      <c r="J1082" s="207">
        <v>6</v>
      </c>
      <c r="K1082" s="207">
        <v>0</v>
      </c>
      <c r="L1082" s="207">
        <v>6</v>
      </c>
      <c r="M1082" s="209" t="s">
        <v>4613</v>
      </c>
      <c r="N1082" s="209" t="s">
        <v>223</v>
      </c>
      <c r="O1082" s="210"/>
      <c r="P1082" s="209" t="s">
        <v>4614</v>
      </c>
    </row>
    <row r="1083" spans="1:16" outlineLevel="3" x14ac:dyDescent="0.3">
      <c r="A1083" s="105" t="s">
        <v>4615</v>
      </c>
      <c r="B1083" s="106"/>
      <c r="C1083" s="106"/>
      <c r="D1083" s="106"/>
      <c r="E1083" s="106" t="s">
        <v>4616</v>
      </c>
      <c r="F1083" s="106" t="s">
        <v>4617</v>
      </c>
      <c r="G1083" s="105">
        <v>4</v>
      </c>
      <c r="H1083" s="106" t="s">
        <v>7</v>
      </c>
      <c r="I1083" s="105" t="s">
        <v>39</v>
      </c>
      <c r="J1083" s="105"/>
      <c r="K1083" s="105"/>
      <c r="L1083" s="105"/>
      <c r="M1083" s="106" t="s">
        <v>4618</v>
      </c>
      <c r="N1083" s="106" t="s">
        <v>223</v>
      </c>
      <c r="O1083" s="107"/>
      <c r="P1083" s="106" t="s">
        <v>4619</v>
      </c>
    </row>
    <row r="1084" spans="1:16" outlineLevel="3" x14ac:dyDescent="0.3">
      <c r="A1084" s="105" t="s">
        <v>4620</v>
      </c>
      <c r="B1084" s="106"/>
      <c r="C1084" s="106"/>
      <c r="D1084" s="106"/>
      <c r="E1084" s="106" t="s">
        <v>4621</v>
      </c>
      <c r="F1084" s="106" t="s">
        <v>4622</v>
      </c>
      <c r="G1084" s="105">
        <v>4</v>
      </c>
      <c r="H1084" s="106" t="s">
        <v>7</v>
      </c>
      <c r="I1084" s="105" t="s">
        <v>39</v>
      </c>
      <c r="J1084" s="105"/>
      <c r="K1084" s="105"/>
      <c r="L1084" s="105"/>
      <c r="M1084" s="106" t="s">
        <v>4623</v>
      </c>
      <c r="N1084" s="106" t="s">
        <v>40</v>
      </c>
      <c r="O1084" s="107"/>
      <c r="P1084" s="106" t="s">
        <v>4624</v>
      </c>
    </row>
    <row r="1085" spans="1:16" outlineLevel="3" x14ac:dyDescent="0.3">
      <c r="A1085" s="105" t="s">
        <v>4625</v>
      </c>
      <c r="B1085" s="106"/>
      <c r="C1085" s="106"/>
      <c r="D1085" s="106"/>
      <c r="E1085" s="106" t="s">
        <v>4626</v>
      </c>
      <c r="F1085" s="106" t="s">
        <v>4627</v>
      </c>
      <c r="G1085" s="105">
        <v>4</v>
      </c>
      <c r="H1085" s="106" t="s">
        <v>7</v>
      </c>
      <c r="I1085" s="105" t="s">
        <v>39</v>
      </c>
      <c r="J1085" s="105"/>
      <c r="K1085" s="105"/>
      <c r="L1085" s="105"/>
      <c r="M1085" s="106" t="s">
        <v>4628</v>
      </c>
      <c r="N1085" s="106" t="s">
        <v>40</v>
      </c>
      <c r="O1085" s="107"/>
      <c r="P1085" s="106" t="s">
        <v>4629</v>
      </c>
    </row>
    <row r="1086" spans="1:16" outlineLevel="3" x14ac:dyDescent="0.3">
      <c r="A1086" s="105" t="s">
        <v>4630</v>
      </c>
      <c r="B1086" s="106"/>
      <c r="C1086" s="106"/>
      <c r="D1086" s="106"/>
      <c r="E1086" s="106" t="s">
        <v>4631</v>
      </c>
      <c r="F1086" s="106" t="s">
        <v>4632</v>
      </c>
      <c r="G1086" s="105">
        <v>4</v>
      </c>
      <c r="H1086" s="106" t="s">
        <v>7</v>
      </c>
      <c r="I1086" s="105" t="s">
        <v>39</v>
      </c>
      <c r="J1086" s="105"/>
      <c r="K1086" s="105"/>
      <c r="L1086" s="105"/>
      <c r="M1086" s="106" t="s">
        <v>4633</v>
      </c>
      <c r="N1086" s="106" t="s">
        <v>223</v>
      </c>
      <c r="O1086" s="107"/>
      <c r="P1086" s="106" t="s">
        <v>4634</v>
      </c>
    </row>
    <row r="1087" spans="1:16" outlineLevel="3" x14ac:dyDescent="0.3">
      <c r="A1087" s="105" t="s">
        <v>4635</v>
      </c>
      <c r="B1087" s="106"/>
      <c r="C1087" s="106"/>
      <c r="D1087" s="106"/>
      <c r="E1087" s="106" t="s">
        <v>4636</v>
      </c>
      <c r="F1087" s="106" t="s">
        <v>4637</v>
      </c>
      <c r="G1087" s="105">
        <v>4</v>
      </c>
      <c r="H1087" s="106" t="s">
        <v>7</v>
      </c>
      <c r="I1087" s="105" t="s">
        <v>39</v>
      </c>
      <c r="J1087" s="105"/>
      <c r="K1087" s="105"/>
      <c r="L1087" s="105"/>
      <c r="M1087" s="106" t="s">
        <v>4638</v>
      </c>
      <c r="N1087" s="106" t="s">
        <v>223</v>
      </c>
      <c r="O1087" s="107"/>
      <c r="P1087" s="106" t="s">
        <v>4639</v>
      </c>
    </row>
    <row r="1088" spans="1:16" outlineLevel="3" x14ac:dyDescent="0.3">
      <c r="A1088" s="105" t="s">
        <v>4640</v>
      </c>
      <c r="B1088" s="106"/>
      <c r="C1088" s="106"/>
      <c r="D1088" s="106"/>
      <c r="E1088" s="106" t="s">
        <v>4641</v>
      </c>
      <c r="F1088" s="106" t="s">
        <v>4642</v>
      </c>
      <c r="G1088" s="105">
        <v>4</v>
      </c>
      <c r="H1088" s="106" t="s">
        <v>7</v>
      </c>
      <c r="I1088" s="105" t="s">
        <v>39</v>
      </c>
      <c r="J1088" s="105"/>
      <c r="K1088" s="105"/>
      <c r="L1088" s="105"/>
      <c r="M1088" s="106" t="s">
        <v>4643</v>
      </c>
      <c r="N1088" s="106" t="s">
        <v>40</v>
      </c>
      <c r="O1088" s="107"/>
      <c r="P1088" s="106" t="s">
        <v>4644</v>
      </c>
    </row>
    <row r="1089" spans="1:16" ht="27.6" outlineLevel="1" x14ac:dyDescent="0.3">
      <c r="A1089" s="202" t="s">
        <v>4645</v>
      </c>
      <c r="B1089" s="203"/>
      <c r="C1089" s="204" t="s">
        <v>4646</v>
      </c>
      <c r="D1089" s="203"/>
      <c r="E1089" s="203"/>
      <c r="F1089" s="203"/>
      <c r="G1089" s="202">
        <v>2</v>
      </c>
      <c r="H1089" s="203" t="s">
        <v>25</v>
      </c>
      <c r="I1089" s="202" t="s">
        <v>39</v>
      </c>
      <c r="J1089" s="202">
        <v>6</v>
      </c>
      <c r="K1089" s="202">
        <v>0</v>
      </c>
      <c r="L1089" s="202">
        <v>6</v>
      </c>
      <c r="M1089" s="205" t="s">
        <v>4647</v>
      </c>
      <c r="N1089" s="205" t="s">
        <v>223</v>
      </c>
      <c r="O1089" s="206"/>
      <c r="P1089" s="205" t="s">
        <v>4648</v>
      </c>
    </row>
    <row r="1090" spans="1:16" outlineLevel="2" x14ac:dyDescent="0.3">
      <c r="A1090" s="105" t="s">
        <v>4649</v>
      </c>
      <c r="B1090" s="106"/>
      <c r="C1090" s="106"/>
      <c r="D1090" s="106"/>
      <c r="E1090" s="106" t="s">
        <v>3550</v>
      </c>
      <c r="F1090" s="106" t="s">
        <v>3551</v>
      </c>
      <c r="G1090" s="105">
        <v>4</v>
      </c>
      <c r="H1090" s="106" t="s">
        <v>7</v>
      </c>
      <c r="I1090" s="105" t="s">
        <v>26</v>
      </c>
      <c r="J1090" s="105"/>
      <c r="K1090" s="105"/>
      <c r="L1090" s="105"/>
      <c r="M1090" s="106" t="s">
        <v>4536</v>
      </c>
      <c r="N1090" s="106" t="s">
        <v>223</v>
      </c>
      <c r="O1090" s="107"/>
      <c r="P1090" s="106" t="s">
        <v>4650</v>
      </c>
    </row>
    <row r="1091" spans="1:16" outlineLevel="2" x14ac:dyDescent="0.3">
      <c r="A1091" s="105" t="s">
        <v>4651</v>
      </c>
      <c r="B1091" s="106"/>
      <c r="C1091" s="106"/>
      <c r="D1091" s="106"/>
      <c r="E1091" s="106" t="s">
        <v>63</v>
      </c>
      <c r="F1091" s="106" t="s">
        <v>4652</v>
      </c>
      <c r="G1091" s="105">
        <v>4</v>
      </c>
      <c r="H1091" s="106" t="s">
        <v>7</v>
      </c>
      <c r="I1091" s="105" t="s">
        <v>39</v>
      </c>
      <c r="J1091" s="105"/>
      <c r="K1091" s="105"/>
      <c r="L1091" s="105"/>
      <c r="M1091" s="106" t="s">
        <v>4653</v>
      </c>
      <c r="N1091" s="106" t="s">
        <v>40</v>
      </c>
      <c r="O1091" s="107" t="s">
        <v>600</v>
      </c>
      <c r="P1091" s="106" t="s">
        <v>4654</v>
      </c>
    </row>
    <row r="1092" spans="1:16" outlineLevel="2" x14ac:dyDescent="0.3">
      <c r="A1092" s="105" t="s">
        <v>4655</v>
      </c>
      <c r="B1092" s="106"/>
      <c r="C1092" s="106"/>
      <c r="D1092" s="106"/>
      <c r="E1092" s="106" t="s">
        <v>4656</v>
      </c>
      <c r="F1092" s="106" t="s">
        <v>4657</v>
      </c>
      <c r="G1092" s="105">
        <v>4</v>
      </c>
      <c r="H1092" s="106" t="s">
        <v>7</v>
      </c>
      <c r="I1092" s="105" t="s">
        <v>39</v>
      </c>
      <c r="J1092" s="105"/>
      <c r="K1092" s="105"/>
      <c r="L1092" s="105"/>
      <c r="M1092" s="106" t="s">
        <v>4658</v>
      </c>
      <c r="N1092" s="106" t="s">
        <v>40</v>
      </c>
      <c r="O1092" s="107"/>
      <c r="P1092" s="106" t="s">
        <v>4659</v>
      </c>
    </row>
    <row r="1093" spans="1:16" outlineLevel="2" x14ac:dyDescent="0.3">
      <c r="A1093" s="105" t="s">
        <v>4660</v>
      </c>
      <c r="B1093" s="106"/>
      <c r="C1093" s="106"/>
      <c r="D1093" s="106"/>
      <c r="E1093" s="106" t="s">
        <v>4661</v>
      </c>
      <c r="F1093" s="106" t="s">
        <v>4662</v>
      </c>
      <c r="G1093" s="105">
        <v>4</v>
      </c>
      <c r="H1093" s="106" t="s">
        <v>7</v>
      </c>
      <c r="I1093" s="105" t="s">
        <v>39</v>
      </c>
      <c r="J1093" s="105"/>
      <c r="K1093" s="105"/>
      <c r="L1093" s="105"/>
      <c r="M1093" s="106" t="s">
        <v>4663</v>
      </c>
      <c r="N1093" s="106" t="s">
        <v>223</v>
      </c>
      <c r="O1093" s="107"/>
      <c r="P1093" s="106" t="s">
        <v>4664</v>
      </c>
    </row>
    <row r="1094" spans="1:16" outlineLevel="2" x14ac:dyDescent="0.3">
      <c r="A1094" s="105" t="s">
        <v>4665</v>
      </c>
      <c r="B1094" s="106"/>
      <c r="C1094" s="106"/>
      <c r="D1094" s="106"/>
      <c r="E1094" s="106" t="s">
        <v>4666</v>
      </c>
      <c r="F1094" s="106" t="s">
        <v>4667</v>
      </c>
      <c r="G1094" s="105">
        <v>4</v>
      </c>
      <c r="H1094" s="106" t="s">
        <v>7</v>
      </c>
      <c r="I1094" s="105" t="s">
        <v>39</v>
      </c>
      <c r="J1094" s="105"/>
      <c r="K1094" s="105"/>
      <c r="L1094" s="105"/>
      <c r="M1094" s="106" t="s">
        <v>4668</v>
      </c>
      <c r="N1094" s="106" t="s">
        <v>40</v>
      </c>
      <c r="O1094" s="107"/>
      <c r="P1094" s="106" t="s">
        <v>4669</v>
      </c>
    </row>
    <row r="1095" spans="1:16" outlineLevel="2" x14ac:dyDescent="0.3">
      <c r="A1095" s="105" t="s">
        <v>4670</v>
      </c>
      <c r="B1095" s="106"/>
      <c r="C1095" s="106"/>
      <c r="D1095" s="106"/>
      <c r="E1095" s="106" t="s">
        <v>4671</v>
      </c>
      <c r="F1095" s="106" t="s">
        <v>4672</v>
      </c>
      <c r="G1095" s="105">
        <v>4</v>
      </c>
      <c r="H1095" s="106" t="s">
        <v>7</v>
      </c>
      <c r="I1095" s="105" t="s">
        <v>39</v>
      </c>
      <c r="J1095" s="105"/>
      <c r="K1095" s="105"/>
      <c r="L1095" s="105"/>
      <c r="M1095" s="106" t="s">
        <v>4673</v>
      </c>
      <c r="N1095" s="106" t="s">
        <v>223</v>
      </c>
      <c r="O1095" s="107"/>
      <c r="P1095" s="106" t="s">
        <v>4674</v>
      </c>
    </row>
    <row r="1096" spans="1:16" ht="27.6" outlineLevel="1" x14ac:dyDescent="0.3">
      <c r="A1096" s="202" t="s">
        <v>4675</v>
      </c>
      <c r="B1096" s="203"/>
      <c r="C1096" s="211" t="s">
        <v>4676</v>
      </c>
      <c r="D1096" s="212"/>
      <c r="E1096" s="203"/>
      <c r="F1096" s="203"/>
      <c r="G1096" s="202">
        <v>2</v>
      </c>
      <c r="H1096" s="212" t="s">
        <v>396</v>
      </c>
      <c r="I1096" s="202" t="s">
        <v>39</v>
      </c>
      <c r="J1096" s="202">
        <v>3</v>
      </c>
      <c r="K1096" s="202">
        <v>0</v>
      </c>
      <c r="L1096" s="202">
        <v>3</v>
      </c>
      <c r="M1096" s="205" t="s">
        <v>4677</v>
      </c>
      <c r="N1096" s="205" t="s">
        <v>4678</v>
      </c>
      <c r="O1096" s="206"/>
      <c r="P1096" s="205"/>
    </row>
    <row r="1097" spans="1:16" outlineLevel="2" x14ac:dyDescent="0.3">
      <c r="A1097" s="105" t="s">
        <v>4679</v>
      </c>
      <c r="B1097" s="106"/>
      <c r="C1097" s="106"/>
      <c r="D1097" s="106"/>
      <c r="E1097" s="106" t="s">
        <v>4680</v>
      </c>
      <c r="F1097" s="106" t="s">
        <v>3538</v>
      </c>
      <c r="G1097" s="105">
        <v>4</v>
      </c>
      <c r="H1097" s="106" t="s">
        <v>7</v>
      </c>
      <c r="I1097" s="105" t="s">
        <v>39</v>
      </c>
      <c r="J1097" s="105"/>
      <c r="K1097" s="105"/>
      <c r="L1097" s="105"/>
      <c r="M1097" s="106" t="s">
        <v>3539</v>
      </c>
      <c r="N1097" s="106" t="s">
        <v>40</v>
      </c>
      <c r="O1097" s="107" t="s">
        <v>4681</v>
      </c>
      <c r="P1097" s="106" t="s">
        <v>3540</v>
      </c>
    </row>
    <row r="1098" spans="1:16" outlineLevel="2" x14ac:dyDescent="0.3">
      <c r="A1098" s="105" t="s">
        <v>4682</v>
      </c>
      <c r="B1098" s="106"/>
      <c r="C1098" s="106"/>
      <c r="D1098" s="106"/>
      <c r="E1098" s="106" t="s">
        <v>4683</v>
      </c>
      <c r="F1098" s="106" t="s">
        <v>4302</v>
      </c>
      <c r="G1098" s="105">
        <v>4</v>
      </c>
      <c r="H1098" s="106" t="s">
        <v>7</v>
      </c>
      <c r="I1098" s="105" t="s">
        <v>39</v>
      </c>
      <c r="J1098" s="105"/>
      <c r="K1098" s="105"/>
      <c r="L1098" s="105"/>
      <c r="M1098" s="106" t="s">
        <v>4303</v>
      </c>
      <c r="N1098" s="106" t="s">
        <v>223</v>
      </c>
      <c r="O1098" s="107" t="s">
        <v>4684</v>
      </c>
      <c r="P1098" s="106" t="s">
        <v>4304</v>
      </c>
    </row>
    <row r="1099" spans="1:16" outlineLevel="2" x14ac:dyDescent="0.3">
      <c r="A1099" s="105" t="s">
        <v>4685</v>
      </c>
      <c r="B1099" s="106"/>
      <c r="C1099" s="106"/>
      <c r="D1099" s="106"/>
      <c r="E1099" s="106" t="s">
        <v>4686</v>
      </c>
      <c r="F1099" s="106" t="s">
        <v>4424</v>
      </c>
      <c r="G1099" s="105">
        <v>4</v>
      </c>
      <c r="H1099" s="106" t="s">
        <v>7</v>
      </c>
      <c r="I1099" s="105" t="s">
        <v>39</v>
      </c>
      <c r="J1099" s="105"/>
      <c r="K1099" s="105"/>
      <c r="L1099" s="105"/>
      <c r="M1099" s="106" t="s">
        <v>4425</v>
      </c>
      <c r="N1099" s="106" t="s">
        <v>223</v>
      </c>
      <c r="O1099" s="107" t="s">
        <v>4687</v>
      </c>
      <c r="P1099" s="106" t="s">
        <v>4426</v>
      </c>
    </row>
    <row r="1100" spans="1:16" ht="41.4" outlineLevel="1" x14ac:dyDescent="0.3">
      <c r="A1100" s="202" t="s">
        <v>4688</v>
      </c>
      <c r="B1100" s="203"/>
      <c r="C1100" s="211" t="s">
        <v>4689</v>
      </c>
      <c r="D1100" s="212"/>
      <c r="E1100" s="203"/>
      <c r="F1100" s="203"/>
      <c r="G1100" s="202">
        <v>2</v>
      </c>
      <c r="H1100" s="212" t="s">
        <v>396</v>
      </c>
      <c r="I1100" s="202" t="s">
        <v>39</v>
      </c>
      <c r="J1100" s="202">
        <v>0</v>
      </c>
      <c r="K1100" s="202">
        <v>0</v>
      </c>
      <c r="L1100" s="202">
        <v>0</v>
      </c>
      <c r="M1100" s="205" t="s">
        <v>4690</v>
      </c>
      <c r="N1100" s="205"/>
      <c r="O1100" s="206" t="s">
        <v>4691</v>
      </c>
      <c r="P1100" s="205"/>
    </row>
    <row r="1101" spans="1:16" x14ac:dyDescent="0.3">
      <c r="A1101" s="213" t="s">
        <v>4692</v>
      </c>
      <c r="B1101" s="214" t="s">
        <v>4693</v>
      </c>
      <c r="C1101" s="215" t="str">
        <f>COUNTIFS($G1102:$G1116,2)&amp;" subcapas"</f>
        <v>1 subcapas</v>
      </c>
      <c r="D1101" s="214"/>
      <c r="E1101" s="214"/>
      <c r="F1101" s="214"/>
      <c r="G1101" s="213">
        <v>1</v>
      </c>
      <c r="H1101" s="214" t="s">
        <v>2</v>
      </c>
      <c r="I1101" s="213"/>
      <c r="J1101" s="216">
        <f>SUMIFS(J1102:J1116,$G1102:$G1116,2)</f>
        <v>14</v>
      </c>
      <c r="K1101" s="216">
        <f>SUMIFS(K1102:K1116,$G1102:$G1116,2)</f>
        <v>0</v>
      </c>
      <c r="L1101" s="216">
        <f>SUMIFS(L1102:L1116,$G1102:$G1116,2)</f>
        <v>0</v>
      </c>
      <c r="M1101" s="217" t="s">
        <v>4694</v>
      </c>
      <c r="N1101" s="214"/>
      <c r="O1101" s="214"/>
      <c r="P1101" s="214"/>
    </row>
    <row r="1102" spans="1:16" outlineLevel="1" x14ac:dyDescent="0.3">
      <c r="A1102" s="218" t="s">
        <v>4695</v>
      </c>
      <c r="B1102" s="219"/>
      <c r="C1102" s="220" t="s">
        <v>4693</v>
      </c>
      <c r="D1102" s="221"/>
      <c r="E1102" s="219"/>
      <c r="F1102" s="219"/>
      <c r="G1102" s="218">
        <v>2</v>
      </c>
      <c r="H1102" s="221" t="s">
        <v>396</v>
      </c>
      <c r="I1102" s="218" t="s">
        <v>39</v>
      </c>
      <c r="J1102" s="218">
        <v>14</v>
      </c>
      <c r="K1102" s="218">
        <v>0</v>
      </c>
      <c r="L1102" s="218">
        <v>0</v>
      </c>
      <c r="M1102" s="222" t="s">
        <v>4696</v>
      </c>
      <c r="N1102" s="222" t="s">
        <v>287</v>
      </c>
      <c r="O1102" s="223"/>
      <c r="P1102" s="222"/>
    </row>
    <row r="1103" spans="1:16" outlineLevel="2" x14ac:dyDescent="0.3">
      <c r="A1103" s="105" t="s">
        <v>4697</v>
      </c>
      <c r="B1103" s="106"/>
      <c r="C1103" s="106"/>
      <c r="D1103" s="106"/>
      <c r="E1103" s="106" t="s">
        <v>4698</v>
      </c>
      <c r="F1103" s="106" t="s">
        <v>4699</v>
      </c>
      <c r="G1103" s="105">
        <v>4</v>
      </c>
      <c r="H1103" s="106" t="s">
        <v>7</v>
      </c>
      <c r="I1103" s="105" t="s">
        <v>39</v>
      </c>
      <c r="J1103" s="105"/>
      <c r="K1103" s="105"/>
      <c r="L1103" s="105"/>
      <c r="M1103" s="106"/>
      <c r="N1103" s="106" t="s">
        <v>287</v>
      </c>
      <c r="O1103" s="107"/>
      <c r="P1103" s="106"/>
    </row>
    <row r="1104" spans="1:16" outlineLevel="2" x14ac:dyDescent="0.3">
      <c r="A1104" s="105" t="s">
        <v>4700</v>
      </c>
      <c r="B1104" s="106"/>
      <c r="C1104" s="106"/>
      <c r="D1104" s="106"/>
      <c r="E1104" s="106" t="s">
        <v>4701</v>
      </c>
      <c r="F1104" s="106" t="s">
        <v>4702</v>
      </c>
      <c r="G1104" s="105">
        <v>4</v>
      </c>
      <c r="H1104" s="106" t="s">
        <v>7</v>
      </c>
      <c r="I1104" s="105" t="s">
        <v>39</v>
      </c>
      <c r="J1104" s="105"/>
      <c r="K1104" s="105"/>
      <c r="L1104" s="105"/>
      <c r="M1104" s="106" t="s">
        <v>4703</v>
      </c>
      <c r="N1104" s="106" t="s">
        <v>287</v>
      </c>
      <c r="O1104" s="107"/>
      <c r="P1104" s="106"/>
    </row>
    <row r="1105" spans="1:16" outlineLevel="2" x14ac:dyDescent="0.3">
      <c r="A1105" s="105" t="s">
        <v>4704</v>
      </c>
      <c r="B1105" s="106"/>
      <c r="C1105" s="106"/>
      <c r="D1105" s="106"/>
      <c r="E1105" s="106" t="s">
        <v>4705</v>
      </c>
      <c r="F1105" s="106" t="s">
        <v>4706</v>
      </c>
      <c r="G1105" s="105">
        <v>4</v>
      </c>
      <c r="H1105" s="106" t="s">
        <v>7</v>
      </c>
      <c r="I1105" s="105" t="s">
        <v>39</v>
      </c>
      <c r="J1105" s="105"/>
      <c r="K1105" s="105"/>
      <c r="L1105" s="105"/>
      <c r="M1105" s="106"/>
      <c r="N1105" s="106" t="s">
        <v>287</v>
      </c>
      <c r="O1105" s="107"/>
      <c r="P1105" s="106"/>
    </row>
    <row r="1106" spans="1:16" outlineLevel="2" x14ac:dyDescent="0.3">
      <c r="A1106" s="105" t="s">
        <v>4707</v>
      </c>
      <c r="B1106" s="106"/>
      <c r="C1106" s="106"/>
      <c r="D1106" s="106"/>
      <c r="E1106" s="106" t="s">
        <v>4708</v>
      </c>
      <c r="F1106" s="106" t="s">
        <v>4709</v>
      </c>
      <c r="G1106" s="105">
        <v>4</v>
      </c>
      <c r="H1106" s="106" t="s">
        <v>7</v>
      </c>
      <c r="I1106" s="105" t="s">
        <v>39</v>
      </c>
      <c r="J1106" s="105"/>
      <c r="K1106" s="105"/>
      <c r="L1106" s="105"/>
      <c r="M1106" s="106"/>
      <c r="N1106" s="106" t="s">
        <v>287</v>
      </c>
      <c r="O1106" s="107"/>
      <c r="P1106" s="106"/>
    </row>
    <row r="1107" spans="1:16" outlineLevel="2" x14ac:dyDescent="0.3">
      <c r="A1107" s="105" t="s">
        <v>4710</v>
      </c>
      <c r="B1107" s="106"/>
      <c r="C1107" s="106"/>
      <c r="D1107" s="106"/>
      <c r="E1107" s="106" t="s">
        <v>4708</v>
      </c>
      <c r="F1107" s="106" t="s">
        <v>4711</v>
      </c>
      <c r="G1107" s="105">
        <v>4</v>
      </c>
      <c r="H1107" s="106" t="s">
        <v>7</v>
      </c>
      <c r="I1107" s="105" t="s">
        <v>39</v>
      </c>
      <c r="J1107" s="105"/>
      <c r="K1107" s="105"/>
      <c r="L1107" s="105"/>
      <c r="M1107" s="106"/>
      <c r="N1107" s="106" t="s">
        <v>287</v>
      </c>
      <c r="O1107" s="107"/>
      <c r="P1107" s="106"/>
    </row>
    <row r="1108" spans="1:16" outlineLevel="2" x14ac:dyDescent="0.3">
      <c r="A1108" s="105" t="s">
        <v>4712</v>
      </c>
      <c r="B1108" s="106"/>
      <c r="C1108" s="106"/>
      <c r="D1108" s="106"/>
      <c r="E1108" s="106" t="s">
        <v>4713</v>
      </c>
      <c r="F1108" s="106" t="s">
        <v>4714</v>
      </c>
      <c r="G1108" s="105">
        <v>4</v>
      </c>
      <c r="H1108" s="106" t="s">
        <v>7</v>
      </c>
      <c r="I1108" s="105" t="s">
        <v>39</v>
      </c>
      <c r="J1108" s="105"/>
      <c r="K1108" s="105"/>
      <c r="L1108" s="105"/>
      <c r="M1108" s="106"/>
      <c r="N1108" s="106" t="s">
        <v>287</v>
      </c>
      <c r="O1108" s="107"/>
      <c r="P1108" s="106"/>
    </row>
    <row r="1109" spans="1:16" outlineLevel="2" x14ac:dyDescent="0.3">
      <c r="A1109" s="105" t="s">
        <v>4715</v>
      </c>
      <c r="B1109" s="106"/>
      <c r="C1109" s="106"/>
      <c r="D1109" s="106"/>
      <c r="E1109" s="106" t="s">
        <v>4716</v>
      </c>
      <c r="F1109" s="106" t="s">
        <v>4717</v>
      </c>
      <c r="G1109" s="105">
        <v>4</v>
      </c>
      <c r="H1109" s="106" t="s">
        <v>7</v>
      </c>
      <c r="I1109" s="105" t="s">
        <v>39</v>
      </c>
      <c r="J1109" s="105"/>
      <c r="K1109" s="105"/>
      <c r="L1109" s="105"/>
      <c r="M1109" s="106"/>
      <c r="N1109" s="106" t="s">
        <v>287</v>
      </c>
      <c r="O1109" s="107"/>
      <c r="P1109" s="106"/>
    </row>
    <row r="1110" spans="1:16" outlineLevel="2" x14ac:dyDescent="0.3">
      <c r="A1110" s="105" t="s">
        <v>4718</v>
      </c>
      <c r="B1110" s="106"/>
      <c r="C1110" s="106"/>
      <c r="D1110" s="106"/>
      <c r="E1110" s="106" t="s">
        <v>4719</v>
      </c>
      <c r="F1110" s="106" t="s">
        <v>4720</v>
      </c>
      <c r="G1110" s="105">
        <v>4</v>
      </c>
      <c r="H1110" s="106" t="s">
        <v>7</v>
      </c>
      <c r="I1110" s="105" t="s">
        <v>39</v>
      </c>
      <c r="J1110" s="105"/>
      <c r="K1110" s="105"/>
      <c r="L1110" s="105"/>
      <c r="M1110" s="106"/>
      <c r="N1110" s="106" t="s">
        <v>287</v>
      </c>
      <c r="O1110" s="107"/>
      <c r="P1110" s="106"/>
    </row>
    <row r="1111" spans="1:16" outlineLevel="2" x14ac:dyDescent="0.3">
      <c r="A1111" s="105" t="s">
        <v>4721</v>
      </c>
      <c r="B1111" s="106"/>
      <c r="C1111" s="106"/>
      <c r="D1111" s="106"/>
      <c r="E1111" s="106" t="s">
        <v>4722</v>
      </c>
      <c r="F1111" s="106" t="s">
        <v>4723</v>
      </c>
      <c r="G1111" s="105">
        <v>4</v>
      </c>
      <c r="H1111" s="106" t="s">
        <v>7</v>
      </c>
      <c r="I1111" s="105" t="s">
        <v>39</v>
      </c>
      <c r="J1111" s="105"/>
      <c r="K1111" s="105"/>
      <c r="L1111" s="105"/>
      <c r="M1111" s="106"/>
      <c r="N1111" s="106" t="s">
        <v>287</v>
      </c>
      <c r="O1111" s="107"/>
      <c r="P1111" s="106"/>
    </row>
    <row r="1112" spans="1:16" outlineLevel="2" x14ac:dyDescent="0.3">
      <c r="A1112" s="105" t="s">
        <v>4724</v>
      </c>
      <c r="B1112" s="106"/>
      <c r="C1112" s="106"/>
      <c r="D1112" s="106"/>
      <c r="E1112" s="106" t="s">
        <v>4725</v>
      </c>
      <c r="F1112" s="106" t="s">
        <v>4726</v>
      </c>
      <c r="G1112" s="105">
        <v>4</v>
      </c>
      <c r="H1112" s="106" t="s">
        <v>7</v>
      </c>
      <c r="I1112" s="105" t="s">
        <v>39</v>
      </c>
      <c r="J1112" s="105"/>
      <c r="K1112" s="105"/>
      <c r="L1112" s="105"/>
      <c r="M1112" s="106"/>
      <c r="N1112" s="106" t="s">
        <v>287</v>
      </c>
      <c r="O1112" s="107"/>
      <c r="P1112" s="106"/>
    </row>
    <row r="1113" spans="1:16" outlineLevel="2" x14ac:dyDescent="0.3">
      <c r="A1113" s="105" t="s">
        <v>4727</v>
      </c>
      <c r="B1113" s="106"/>
      <c r="C1113" s="106"/>
      <c r="D1113" s="106"/>
      <c r="E1113" s="106" t="s">
        <v>4728</v>
      </c>
      <c r="F1113" s="106" t="s">
        <v>4729</v>
      </c>
      <c r="G1113" s="105">
        <v>4</v>
      </c>
      <c r="H1113" s="106" t="s">
        <v>7</v>
      </c>
      <c r="I1113" s="105" t="s">
        <v>39</v>
      </c>
      <c r="J1113" s="105"/>
      <c r="K1113" s="105"/>
      <c r="L1113" s="105"/>
      <c r="M1113" s="106"/>
      <c r="N1113" s="106" t="s">
        <v>287</v>
      </c>
      <c r="O1113" s="107"/>
      <c r="P1113" s="106"/>
    </row>
    <row r="1114" spans="1:16" outlineLevel="2" x14ac:dyDescent="0.3">
      <c r="A1114" s="105" t="s">
        <v>4730</v>
      </c>
      <c r="B1114" s="106"/>
      <c r="C1114" s="106"/>
      <c r="D1114" s="106"/>
      <c r="E1114" s="106" t="s">
        <v>4731</v>
      </c>
      <c r="F1114" s="106" t="s">
        <v>4732</v>
      </c>
      <c r="G1114" s="105">
        <v>4</v>
      </c>
      <c r="H1114" s="106" t="s">
        <v>7</v>
      </c>
      <c r="I1114" s="105" t="s">
        <v>39</v>
      </c>
      <c r="J1114" s="105"/>
      <c r="K1114" s="105"/>
      <c r="L1114" s="105"/>
      <c r="M1114" s="106"/>
      <c r="N1114" s="106" t="s">
        <v>287</v>
      </c>
      <c r="O1114" s="107"/>
      <c r="P1114" s="106"/>
    </row>
    <row r="1115" spans="1:16" outlineLevel="2" x14ac:dyDescent="0.3">
      <c r="A1115" s="105" t="s">
        <v>4733</v>
      </c>
      <c r="B1115" s="106"/>
      <c r="C1115" s="106"/>
      <c r="D1115" s="106"/>
      <c r="E1115" s="106" t="s">
        <v>4734</v>
      </c>
      <c r="F1115" s="106" t="s">
        <v>4735</v>
      </c>
      <c r="G1115" s="105">
        <v>4</v>
      </c>
      <c r="H1115" s="106" t="s">
        <v>7</v>
      </c>
      <c r="I1115" s="105" t="s">
        <v>39</v>
      </c>
      <c r="J1115" s="105"/>
      <c r="K1115" s="105"/>
      <c r="L1115" s="105"/>
      <c r="M1115" s="106"/>
      <c r="N1115" s="106" t="s">
        <v>287</v>
      </c>
      <c r="O1115" s="107"/>
      <c r="P1115" s="106"/>
    </row>
    <row r="1116" spans="1:16" outlineLevel="2" x14ac:dyDescent="0.3">
      <c r="A1116" s="105" t="s">
        <v>4736</v>
      </c>
      <c r="B1116" s="106"/>
      <c r="C1116" s="106"/>
      <c r="D1116" s="106"/>
      <c r="E1116" s="106" t="s">
        <v>4737</v>
      </c>
      <c r="F1116" s="106" t="s">
        <v>4738</v>
      </c>
      <c r="G1116" s="105">
        <v>4</v>
      </c>
      <c r="H1116" s="106" t="s">
        <v>7</v>
      </c>
      <c r="I1116" s="105" t="s">
        <v>39</v>
      </c>
      <c r="J1116" s="105"/>
      <c r="K1116" s="105"/>
      <c r="L1116" s="105"/>
      <c r="M1116" s="106"/>
      <c r="N1116" s="106" t="s">
        <v>287</v>
      </c>
      <c r="O1116" s="107"/>
      <c r="P1116" s="106"/>
    </row>
    <row r="1117" spans="1:16" x14ac:dyDescent="0.3">
      <c r="A1117" s="224" t="s">
        <v>4739</v>
      </c>
      <c r="B1117" s="225" t="s">
        <v>4740</v>
      </c>
      <c r="C1117" s="226" t="str">
        <f>COUNTIFS($G1118:$G1176,2)&amp;" subcapas"</f>
        <v>5 subcapas</v>
      </c>
      <c r="D1117" s="225"/>
      <c r="E1117" s="225"/>
      <c r="F1117" s="225"/>
      <c r="G1117" s="224">
        <v>1</v>
      </c>
      <c r="H1117" s="225" t="s">
        <v>2</v>
      </c>
      <c r="I1117" s="224"/>
      <c r="J1117" s="227">
        <f>SUMIFS(J1118:J1176,$G1118:$G1176,2)</f>
        <v>49</v>
      </c>
      <c r="K1117" s="227">
        <f>SUMIFS(K1118:K1176,$G1118:$G1176,2)</f>
        <v>1</v>
      </c>
      <c r="L1117" s="227">
        <f>SUMIFS(L1118:L1176,$G1118:$G1176,2)</f>
        <v>50</v>
      </c>
      <c r="M1117" s="228" t="s">
        <v>4741</v>
      </c>
      <c r="N1117" s="225"/>
      <c r="O1117" s="225"/>
      <c r="P1117" s="225" t="s">
        <v>4742</v>
      </c>
    </row>
    <row r="1118" spans="1:16" ht="41.4" outlineLevel="1" x14ac:dyDescent="0.3">
      <c r="A1118" s="229" t="s">
        <v>4743</v>
      </c>
      <c r="B1118" s="230"/>
      <c r="C1118" s="231" t="s">
        <v>4744</v>
      </c>
      <c r="D1118" s="230"/>
      <c r="E1118" s="230"/>
      <c r="F1118" s="230"/>
      <c r="G1118" s="229">
        <v>2</v>
      </c>
      <c r="H1118" s="230" t="s">
        <v>25</v>
      </c>
      <c r="I1118" s="229" t="s">
        <v>39</v>
      </c>
      <c r="J1118" s="229">
        <v>4</v>
      </c>
      <c r="K1118" s="229">
        <v>0</v>
      </c>
      <c r="L1118" s="229">
        <v>4</v>
      </c>
      <c r="M1118" s="232" t="s">
        <v>4745</v>
      </c>
      <c r="N1118" s="232"/>
      <c r="O1118" s="233"/>
      <c r="P1118" s="232"/>
    </row>
    <row r="1119" spans="1:16" ht="27.6" outlineLevel="2" x14ac:dyDescent="0.3">
      <c r="A1119" s="234" t="s">
        <v>4746</v>
      </c>
      <c r="B1119" s="235"/>
      <c r="C1119" s="235"/>
      <c r="D1119" s="235" t="s">
        <v>4747</v>
      </c>
      <c r="E1119" s="235"/>
      <c r="F1119" s="235"/>
      <c r="G1119" s="234">
        <v>3</v>
      </c>
      <c r="H1119" s="235" t="s">
        <v>25</v>
      </c>
      <c r="I1119" s="234" t="s">
        <v>39</v>
      </c>
      <c r="J1119" s="234">
        <v>2</v>
      </c>
      <c r="K1119" s="234">
        <v>0</v>
      </c>
      <c r="L1119" s="234">
        <v>2</v>
      </c>
      <c r="M1119" s="236" t="s">
        <v>4748</v>
      </c>
      <c r="N1119" s="236" t="s">
        <v>40</v>
      </c>
      <c r="O1119" s="237"/>
      <c r="P1119" s="236" t="s">
        <v>4749</v>
      </c>
    </row>
    <row r="1120" spans="1:16" outlineLevel="3" x14ac:dyDescent="0.3">
      <c r="A1120" s="105" t="s">
        <v>4750</v>
      </c>
      <c r="B1120" s="106"/>
      <c r="C1120" s="106"/>
      <c r="D1120" s="106"/>
      <c r="E1120" s="106" t="s">
        <v>4751</v>
      </c>
      <c r="F1120" s="106" t="s">
        <v>4752</v>
      </c>
      <c r="G1120" s="105">
        <v>4</v>
      </c>
      <c r="H1120" s="106" t="s">
        <v>7</v>
      </c>
      <c r="I1120" s="105" t="s">
        <v>39</v>
      </c>
      <c r="J1120" s="105"/>
      <c r="K1120" s="105"/>
      <c r="L1120" s="105"/>
      <c r="M1120" s="106" t="s">
        <v>4753</v>
      </c>
      <c r="N1120" s="106" t="s">
        <v>223</v>
      </c>
      <c r="O1120" s="107"/>
      <c r="P1120" s="106" t="s">
        <v>4754</v>
      </c>
    </row>
    <row r="1121" spans="1:16" outlineLevel="3" x14ac:dyDescent="0.3">
      <c r="A1121" s="105" t="s">
        <v>4755</v>
      </c>
      <c r="B1121" s="106"/>
      <c r="C1121" s="106"/>
      <c r="D1121" s="106"/>
      <c r="E1121" s="106" t="s">
        <v>4756</v>
      </c>
      <c r="F1121" s="106" t="s">
        <v>4757</v>
      </c>
      <c r="G1121" s="105">
        <v>4</v>
      </c>
      <c r="H1121" s="106" t="s">
        <v>7</v>
      </c>
      <c r="I1121" s="105" t="s">
        <v>39</v>
      </c>
      <c r="J1121" s="105"/>
      <c r="K1121" s="105"/>
      <c r="L1121" s="105"/>
      <c r="M1121" s="106" t="s">
        <v>4758</v>
      </c>
      <c r="N1121" s="106" t="s">
        <v>223</v>
      </c>
      <c r="O1121" s="107"/>
      <c r="P1121" s="106" t="s">
        <v>4759</v>
      </c>
    </row>
    <row r="1122" spans="1:16" ht="27.6" outlineLevel="2" x14ac:dyDescent="0.3">
      <c r="A1122" s="234" t="s">
        <v>4760</v>
      </c>
      <c r="B1122" s="235"/>
      <c r="C1122" s="235"/>
      <c r="D1122" s="235" t="s">
        <v>100</v>
      </c>
      <c r="E1122" s="235"/>
      <c r="F1122" s="235"/>
      <c r="G1122" s="234">
        <v>3</v>
      </c>
      <c r="H1122" s="235" t="s">
        <v>25</v>
      </c>
      <c r="I1122" s="234" t="s">
        <v>39</v>
      </c>
      <c r="J1122" s="234">
        <v>1</v>
      </c>
      <c r="K1122" s="234">
        <v>0</v>
      </c>
      <c r="L1122" s="234">
        <v>1</v>
      </c>
      <c r="M1122" s="236" t="s">
        <v>4761</v>
      </c>
      <c r="N1122" s="236" t="s">
        <v>40</v>
      </c>
      <c r="O1122" s="237"/>
      <c r="P1122" s="236" t="s">
        <v>4762</v>
      </c>
    </row>
    <row r="1123" spans="1:16" outlineLevel="3" x14ac:dyDescent="0.3">
      <c r="A1123" s="105" t="s">
        <v>4763</v>
      </c>
      <c r="B1123" s="106"/>
      <c r="C1123" s="106"/>
      <c r="D1123" s="106"/>
      <c r="E1123" s="106" t="s">
        <v>4764</v>
      </c>
      <c r="F1123" s="106" t="s">
        <v>4765</v>
      </c>
      <c r="G1123" s="105">
        <v>4</v>
      </c>
      <c r="H1123" s="106" t="s">
        <v>7</v>
      </c>
      <c r="I1123" s="105" t="s">
        <v>39</v>
      </c>
      <c r="J1123" s="105"/>
      <c r="K1123" s="105"/>
      <c r="L1123" s="105"/>
      <c r="M1123" s="106" t="s">
        <v>4766</v>
      </c>
      <c r="N1123" s="106" t="s">
        <v>40</v>
      </c>
      <c r="O1123" s="107"/>
      <c r="P1123" s="106" t="s">
        <v>4767</v>
      </c>
    </row>
    <row r="1124" spans="1:16" ht="27.6" outlineLevel="2" x14ac:dyDescent="0.3">
      <c r="A1124" s="234" t="s">
        <v>4768</v>
      </c>
      <c r="B1124" s="235"/>
      <c r="C1124" s="235"/>
      <c r="D1124" s="235" t="s">
        <v>137</v>
      </c>
      <c r="E1124" s="235"/>
      <c r="F1124" s="235"/>
      <c r="G1124" s="234">
        <v>3</v>
      </c>
      <c r="H1124" s="235" t="s">
        <v>25</v>
      </c>
      <c r="I1124" s="234" t="s">
        <v>39</v>
      </c>
      <c r="J1124" s="234">
        <v>1</v>
      </c>
      <c r="K1124" s="234">
        <v>0</v>
      </c>
      <c r="L1124" s="234">
        <v>1</v>
      </c>
      <c r="M1124" s="236" t="s">
        <v>4769</v>
      </c>
      <c r="N1124" s="236" t="s">
        <v>40</v>
      </c>
      <c r="O1124" s="237"/>
      <c r="P1124" s="236" t="s">
        <v>4749</v>
      </c>
    </row>
    <row r="1125" spans="1:16" outlineLevel="3" x14ac:dyDescent="0.3">
      <c r="A1125" s="105" t="s">
        <v>4770</v>
      </c>
      <c r="B1125" s="106"/>
      <c r="C1125" s="106"/>
      <c r="D1125" s="106"/>
      <c r="E1125" s="106" t="s">
        <v>4771</v>
      </c>
      <c r="F1125" s="106" t="s">
        <v>4772</v>
      </c>
      <c r="G1125" s="105">
        <v>4</v>
      </c>
      <c r="H1125" s="106" t="s">
        <v>7</v>
      </c>
      <c r="I1125" s="105" t="s">
        <v>39</v>
      </c>
      <c r="J1125" s="105"/>
      <c r="K1125" s="105"/>
      <c r="L1125" s="105"/>
      <c r="M1125" s="106" t="s">
        <v>4773</v>
      </c>
      <c r="N1125" s="106" t="s">
        <v>40</v>
      </c>
      <c r="O1125" s="107"/>
      <c r="P1125" s="106" t="s">
        <v>4774</v>
      </c>
    </row>
    <row r="1126" spans="1:16" outlineLevel="2" x14ac:dyDescent="0.3">
      <c r="A1126" s="234" t="s">
        <v>4775</v>
      </c>
      <c r="B1126" s="235"/>
      <c r="C1126" s="235"/>
      <c r="D1126" s="235" t="s">
        <v>123</v>
      </c>
      <c r="E1126" s="235"/>
      <c r="F1126" s="235"/>
      <c r="G1126" s="234">
        <v>3</v>
      </c>
      <c r="H1126" s="235" t="s">
        <v>25</v>
      </c>
      <c r="I1126" s="234" t="s">
        <v>39</v>
      </c>
      <c r="J1126" s="234">
        <v>0</v>
      </c>
      <c r="K1126" s="234">
        <v>0</v>
      </c>
      <c r="L1126" s="234">
        <v>0</v>
      </c>
      <c r="M1126" s="236" t="s">
        <v>4776</v>
      </c>
      <c r="N1126" s="236"/>
      <c r="O1126" s="237" t="s">
        <v>4691</v>
      </c>
      <c r="P1126" s="236"/>
    </row>
    <row r="1127" spans="1:16" ht="27.6" outlineLevel="1" x14ac:dyDescent="0.3">
      <c r="A1127" s="229" t="s">
        <v>4777</v>
      </c>
      <c r="B1127" s="230"/>
      <c r="C1127" s="231" t="s">
        <v>4778</v>
      </c>
      <c r="D1127" s="230"/>
      <c r="E1127" s="230"/>
      <c r="F1127" s="230"/>
      <c r="G1127" s="229">
        <v>2</v>
      </c>
      <c r="H1127" s="230" t="s">
        <v>25</v>
      </c>
      <c r="I1127" s="229" t="s">
        <v>39</v>
      </c>
      <c r="J1127" s="229">
        <v>18</v>
      </c>
      <c r="K1127" s="229">
        <v>0</v>
      </c>
      <c r="L1127" s="229">
        <v>18</v>
      </c>
      <c r="M1127" s="232" t="s">
        <v>4779</v>
      </c>
      <c r="N1127" s="232" t="s">
        <v>40</v>
      </c>
      <c r="O1127" s="233"/>
      <c r="P1127" s="232" t="s">
        <v>4749</v>
      </c>
    </row>
    <row r="1128" spans="1:16" outlineLevel="2" x14ac:dyDescent="0.3">
      <c r="A1128" s="105" t="s">
        <v>4780</v>
      </c>
      <c r="B1128" s="106"/>
      <c r="C1128" s="106"/>
      <c r="D1128" s="106"/>
      <c r="E1128" s="106" t="s">
        <v>4781</v>
      </c>
      <c r="F1128" s="106" t="s">
        <v>4782</v>
      </c>
      <c r="G1128" s="105">
        <v>4</v>
      </c>
      <c r="H1128" s="106" t="s">
        <v>7</v>
      </c>
      <c r="I1128" s="105" t="s">
        <v>39</v>
      </c>
      <c r="J1128" s="105"/>
      <c r="K1128" s="105"/>
      <c r="L1128" s="105"/>
      <c r="M1128" s="106" t="s">
        <v>4783</v>
      </c>
      <c r="N1128" s="106" t="s">
        <v>40</v>
      </c>
      <c r="O1128" s="107"/>
      <c r="P1128" s="106" t="s">
        <v>4784</v>
      </c>
    </row>
    <row r="1129" spans="1:16" outlineLevel="2" x14ac:dyDescent="0.3">
      <c r="A1129" s="105" t="s">
        <v>4785</v>
      </c>
      <c r="B1129" s="106"/>
      <c r="C1129" s="106"/>
      <c r="D1129" s="106"/>
      <c r="E1129" s="106" t="s">
        <v>4786</v>
      </c>
      <c r="F1129" s="106" t="s">
        <v>4787</v>
      </c>
      <c r="G1129" s="105">
        <v>4</v>
      </c>
      <c r="H1129" s="106" t="s">
        <v>7</v>
      </c>
      <c r="I1129" s="105" t="s">
        <v>39</v>
      </c>
      <c r="J1129" s="105"/>
      <c r="K1129" s="105"/>
      <c r="L1129" s="105"/>
      <c r="M1129" s="106" t="s">
        <v>4788</v>
      </c>
      <c r="N1129" s="106" t="s">
        <v>40</v>
      </c>
      <c r="O1129" s="107"/>
      <c r="P1129" s="106" t="s">
        <v>4789</v>
      </c>
    </row>
    <row r="1130" spans="1:16" outlineLevel="2" x14ac:dyDescent="0.3">
      <c r="A1130" s="105" t="s">
        <v>4790</v>
      </c>
      <c r="B1130" s="106"/>
      <c r="C1130" s="106"/>
      <c r="D1130" s="106"/>
      <c r="E1130" s="106" t="s">
        <v>4791</v>
      </c>
      <c r="F1130" s="106" t="s">
        <v>4792</v>
      </c>
      <c r="G1130" s="105">
        <v>4</v>
      </c>
      <c r="H1130" s="106" t="s">
        <v>7</v>
      </c>
      <c r="I1130" s="105" t="s">
        <v>39</v>
      </c>
      <c r="J1130" s="105"/>
      <c r="K1130" s="105"/>
      <c r="L1130" s="105"/>
      <c r="M1130" s="106" t="s">
        <v>4793</v>
      </c>
      <c r="N1130" s="106" t="s">
        <v>40</v>
      </c>
      <c r="O1130" s="107"/>
      <c r="P1130" s="106" t="s">
        <v>4794</v>
      </c>
    </row>
    <row r="1131" spans="1:16" outlineLevel="2" x14ac:dyDescent="0.3">
      <c r="A1131" s="105" t="s">
        <v>4795</v>
      </c>
      <c r="B1131" s="106"/>
      <c r="C1131" s="106"/>
      <c r="D1131" s="106"/>
      <c r="E1131" s="106" t="s">
        <v>4796</v>
      </c>
      <c r="F1131" s="106" t="s">
        <v>4797</v>
      </c>
      <c r="G1131" s="105">
        <v>4</v>
      </c>
      <c r="H1131" s="106" t="s">
        <v>7</v>
      </c>
      <c r="I1131" s="105" t="s">
        <v>39</v>
      </c>
      <c r="J1131" s="105"/>
      <c r="K1131" s="105"/>
      <c r="L1131" s="105"/>
      <c r="M1131" s="106" t="s">
        <v>4798</v>
      </c>
      <c r="N1131" s="106" t="s">
        <v>40</v>
      </c>
      <c r="O1131" s="107"/>
      <c r="P1131" s="106" t="s">
        <v>4799</v>
      </c>
    </row>
    <row r="1132" spans="1:16" outlineLevel="2" x14ac:dyDescent="0.3">
      <c r="A1132" s="105" t="s">
        <v>4800</v>
      </c>
      <c r="B1132" s="106"/>
      <c r="C1132" s="106"/>
      <c r="D1132" s="106"/>
      <c r="E1132" s="106" t="s">
        <v>4801</v>
      </c>
      <c r="F1132" s="106" t="s">
        <v>4802</v>
      </c>
      <c r="G1132" s="105">
        <v>4</v>
      </c>
      <c r="H1132" s="106" t="s">
        <v>7</v>
      </c>
      <c r="I1132" s="105" t="s">
        <v>39</v>
      </c>
      <c r="J1132" s="105"/>
      <c r="K1132" s="105"/>
      <c r="L1132" s="105"/>
      <c r="M1132" s="106" t="s">
        <v>4803</v>
      </c>
      <c r="N1132" s="106" t="s">
        <v>40</v>
      </c>
      <c r="O1132" s="107"/>
      <c r="P1132" s="106" t="s">
        <v>4804</v>
      </c>
    </row>
    <row r="1133" spans="1:16" outlineLevel="2" x14ac:dyDescent="0.3">
      <c r="A1133" s="105" t="s">
        <v>4805</v>
      </c>
      <c r="B1133" s="106"/>
      <c r="C1133" s="106"/>
      <c r="D1133" s="106"/>
      <c r="E1133" s="106" t="s">
        <v>4806</v>
      </c>
      <c r="F1133" s="106" t="s">
        <v>4807</v>
      </c>
      <c r="G1133" s="105">
        <v>4</v>
      </c>
      <c r="H1133" s="106" t="s">
        <v>7</v>
      </c>
      <c r="I1133" s="105" t="s">
        <v>39</v>
      </c>
      <c r="J1133" s="105"/>
      <c r="K1133" s="105"/>
      <c r="L1133" s="105"/>
      <c r="M1133" s="106" t="s">
        <v>4808</v>
      </c>
      <c r="N1133" s="106" t="s">
        <v>40</v>
      </c>
      <c r="O1133" s="107"/>
      <c r="P1133" s="106" t="s">
        <v>4809</v>
      </c>
    </row>
    <row r="1134" spans="1:16" outlineLevel="2" x14ac:dyDescent="0.3">
      <c r="A1134" s="105" t="s">
        <v>4810</v>
      </c>
      <c r="B1134" s="106"/>
      <c r="C1134" s="106"/>
      <c r="D1134" s="106"/>
      <c r="E1134" s="106" t="s">
        <v>4811</v>
      </c>
      <c r="F1134" s="106" t="s">
        <v>4812</v>
      </c>
      <c r="G1134" s="105">
        <v>4</v>
      </c>
      <c r="H1134" s="106" t="s">
        <v>7</v>
      </c>
      <c r="I1134" s="105" t="s">
        <v>39</v>
      </c>
      <c r="J1134" s="105"/>
      <c r="K1134" s="105"/>
      <c r="L1134" s="105"/>
      <c r="M1134" s="106" t="s">
        <v>4813</v>
      </c>
      <c r="N1134" s="106" t="s">
        <v>40</v>
      </c>
      <c r="O1134" s="107"/>
      <c r="P1134" s="106" t="s">
        <v>4814</v>
      </c>
    </row>
    <row r="1135" spans="1:16" outlineLevel="2" x14ac:dyDescent="0.3">
      <c r="A1135" s="105" t="s">
        <v>4815</v>
      </c>
      <c r="B1135" s="106"/>
      <c r="C1135" s="106"/>
      <c r="D1135" s="106"/>
      <c r="E1135" s="106" t="s">
        <v>4816</v>
      </c>
      <c r="F1135" s="106" t="s">
        <v>4817</v>
      </c>
      <c r="G1135" s="105">
        <v>4</v>
      </c>
      <c r="H1135" s="106" t="s">
        <v>7</v>
      </c>
      <c r="I1135" s="105" t="s">
        <v>39</v>
      </c>
      <c r="J1135" s="105"/>
      <c r="K1135" s="105"/>
      <c r="L1135" s="105"/>
      <c r="M1135" s="106" t="s">
        <v>4818</v>
      </c>
      <c r="N1135" s="106" t="s">
        <v>40</v>
      </c>
      <c r="O1135" s="107"/>
      <c r="P1135" s="106" t="s">
        <v>4819</v>
      </c>
    </row>
    <row r="1136" spans="1:16" outlineLevel="2" x14ac:dyDescent="0.3">
      <c r="A1136" s="105" t="s">
        <v>4820</v>
      </c>
      <c r="B1136" s="106"/>
      <c r="C1136" s="106"/>
      <c r="D1136" s="106"/>
      <c r="E1136" s="106" t="s">
        <v>4821</v>
      </c>
      <c r="F1136" s="106" t="s">
        <v>4822</v>
      </c>
      <c r="G1136" s="105">
        <v>4</v>
      </c>
      <c r="H1136" s="106" t="s">
        <v>7</v>
      </c>
      <c r="I1136" s="105" t="s">
        <v>39</v>
      </c>
      <c r="J1136" s="105"/>
      <c r="K1136" s="105"/>
      <c r="L1136" s="105"/>
      <c r="M1136" s="106" t="s">
        <v>4823</v>
      </c>
      <c r="N1136" s="106" t="s">
        <v>40</v>
      </c>
      <c r="O1136" s="107"/>
      <c r="P1136" s="106" t="s">
        <v>4824</v>
      </c>
    </row>
    <row r="1137" spans="1:16" outlineLevel="2" x14ac:dyDescent="0.3">
      <c r="A1137" s="105" t="s">
        <v>4825</v>
      </c>
      <c r="B1137" s="106"/>
      <c r="C1137" s="106"/>
      <c r="D1137" s="106"/>
      <c r="E1137" s="106" t="s">
        <v>4826</v>
      </c>
      <c r="F1137" s="106" t="s">
        <v>4827</v>
      </c>
      <c r="G1137" s="105">
        <v>4</v>
      </c>
      <c r="H1137" s="106" t="s">
        <v>7</v>
      </c>
      <c r="I1137" s="105" t="s">
        <v>39</v>
      </c>
      <c r="J1137" s="105"/>
      <c r="K1137" s="105"/>
      <c r="L1137" s="105"/>
      <c r="M1137" s="106" t="s">
        <v>4828</v>
      </c>
      <c r="N1137" s="106" t="s">
        <v>40</v>
      </c>
      <c r="O1137" s="107"/>
      <c r="P1137" s="106" t="s">
        <v>4829</v>
      </c>
    </row>
    <row r="1138" spans="1:16" outlineLevel="2" x14ac:dyDescent="0.3">
      <c r="A1138" s="105" t="s">
        <v>4830</v>
      </c>
      <c r="B1138" s="106"/>
      <c r="C1138" s="106"/>
      <c r="D1138" s="106"/>
      <c r="E1138" s="106" t="s">
        <v>4831</v>
      </c>
      <c r="F1138" s="106" t="s">
        <v>4832</v>
      </c>
      <c r="G1138" s="105">
        <v>4</v>
      </c>
      <c r="H1138" s="106" t="s">
        <v>7</v>
      </c>
      <c r="I1138" s="105" t="s">
        <v>39</v>
      </c>
      <c r="J1138" s="105"/>
      <c r="K1138" s="105"/>
      <c r="L1138" s="105"/>
      <c r="M1138" s="106" t="s">
        <v>4833</v>
      </c>
      <c r="N1138" s="106" t="s">
        <v>40</v>
      </c>
      <c r="O1138" s="107"/>
      <c r="P1138" s="106" t="s">
        <v>4834</v>
      </c>
    </row>
    <row r="1139" spans="1:16" outlineLevel="2" x14ac:dyDescent="0.3">
      <c r="A1139" s="105" t="s">
        <v>4835</v>
      </c>
      <c r="B1139" s="106"/>
      <c r="C1139" s="106"/>
      <c r="D1139" s="106"/>
      <c r="E1139" s="106" t="s">
        <v>4836</v>
      </c>
      <c r="F1139" s="106" t="s">
        <v>4837</v>
      </c>
      <c r="G1139" s="105">
        <v>4</v>
      </c>
      <c r="H1139" s="106" t="s">
        <v>7</v>
      </c>
      <c r="I1139" s="105" t="s">
        <v>39</v>
      </c>
      <c r="J1139" s="105"/>
      <c r="K1139" s="105"/>
      <c r="L1139" s="105"/>
      <c r="M1139" s="106" t="s">
        <v>4838</v>
      </c>
      <c r="N1139" s="106" t="s">
        <v>40</v>
      </c>
      <c r="O1139" s="107"/>
      <c r="P1139" s="106" t="s">
        <v>4839</v>
      </c>
    </row>
    <row r="1140" spans="1:16" outlineLevel="2" x14ac:dyDescent="0.3">
      <c r="A1140" s="105" t="s">
        <v>4840</v>
      </c>
      <c r="B1140" s="106"/>
      <c r="C1140" s="106"/>
      <c r="D1140" s="106"/>
      <c r="E1140" s="106" t="s">
        <v>4841</v>
      </c>
      <c r="F1140" s="106" t="s">
        <v>4842</v>
      </c>
      <c r="G1140" s="105">
        <v>4</v>
      </c>
      <c r="H1140" s="106" t="s">
        <v>7</v>
      </c>
      <c r="I1140" s="105" t="s">
        <v>39</v>
      </c>
      <c r="J1140" s="105"/>
      <c r="K1140" s="105"/>
      <c r="L1140" s="105"/>
      <c r="M1140" s="106" t="s">
        <v>4843</v>
      </c>
      <c r="N1140" s="106" t="s">
        <v>40</v>
      </c>
      <c r="O1140" s="107"/>
      <c r="P1140" s="106" t="s">
        <v>4844</v>
      </c>
    </row>
    <row r="1141" spans="1:16" outlineLevel="2" x14ac:dyDescent="0.3">
      <c r="A1141" s="105" t="s">
        <v>4845</v>
      </c>
      <c r="B1141" s="106"/>
      <c r="C1141" s="106"/>
      <c r="D1141" s="106"/>
      <c r="E1141" s="106" t="s">
        <v>4846</v>
      </c>
      <c r="F1141" s="106" t="s">
        <v>4847</v>
      </c>
      <c r="G1141" s="105">
        <v>4</v>
      </c>
      <c r="H1141" s="106" t="s">
        <v>7</v>
      </c>
      <c r="I1141" s="105" t="s">
        <v>39</v>
      </c>
      <c r="J1141" s="105"/>
      <c r="K1141" s="105"/>
      <c r="L1141" s="105"/>
      <c r="M1141" s="106" t="s">
        <v>4848</v>
      </c>
      <c r="N1141" s="106" t="s">
        <v>40</v>
      </c>
      <c r="O1141" s="107"/>
      <c r="P1141" s="106" t="s">
        <v>4849</v>
      </c>
    </row>
    <row r="1142" spans="1:16" outlineLevel="2" x14ac:dyDescent="0.3">
      <c r="A1142" s="105" t="s">
        <v>4850</v>
      </c>
      <c r="B1142" s="106"/>
      <c r="C1142" s="106"/>
      <c r="D1142" s="106"/>
      <c r="E1142" s="106" t="s">
        <v>4851</v>
      </c>
      <c r="F1142" s="106" t="s">
        <v>4852</v>
      </c>
      <c r="G1142" s="105">
        <v>4</v>
      </c>
      <c r="H1142" s="106" t="s">
        <v>7</v>
      </c>
      <c r="I1142" s="105" t="s">
        <v>39</v>
      </c>
      <c r="J1142" s="105"/>
      <c r="K1142" s="105"/>
      <c r="L1142" s="105"/>
      <c r="M1142" s="106" t="s">
        <v>4853</v>
      </c>
      <c r="N1142" s="106" t="s">
        <v>223</v>
      </c>
      <c r="O1142" s="107"/>
      <c r="P1142" s="106" t="s">
        <v>4854</v>
      </c>
    </row>
    <row r="1143" spans="1:16" outlineLevel="2" x14ac:dyDescent="0.3">
      <c r="A1143" s="105" t="s">
        <v>4855</v>
      </c>
      <c r="B1143" s="106"/>
      <c r="C1143" s="106"/>
      <c r="D1143" s="106"/>
      <c r="E1143" s="106" t="s">
        <v>4856</v>
      </c>
      <c r="F1143" s="106" t="s">
        <v>4857</v>
      </c>
      <c r="G1143" s="105">
        <v>4</v>
      </c>
      <c r="H1143" s="106" t="s">
        <v>7</v>
      </c>
      <c r="I1143" s="105" t="s">
        <v>39</v>
      </c>
      <c r="J1143" s="105"/>
      <c r="K1143" s="105"/>
      <c r="L1143" s="105"/>
      <c r="M1143" s="106" t="s">
        <v>4858</v>
      </c>
      <c r="N1143" s="106" t="s">
        <v>40</v>
      </c>
      <c r="O1143" s="107"/>
      <c r="P1143" s="106" t="s">
        <v>4859</v>
      </c>
    </row>
    <row r="1144" spans="1:16" outlineLevel="2" x14ac:dyDescent="0.3">
      <c r="A1144" s="105" t="s">
        <v>4860</v>
      </c>
      <c r="B1144" s="106"/>
      <c r="C1144" s="106"/>
      <c r="D1144" s="106"/>
      <c r="E1144" s="106" t="s">
        <v>4861</v>
      </c>
      <c r="F1144" s="106" t="s">
        <v>4862</v>
      </c>
      <c r="G1144" s="105">
        <v>4</v>
      </c>
      <c r="H1144" s="106" t="s">
        <v>7</v>
      </c>
      <c r="I1144" s="105" t="s">
        <v>39</v>
      </c>
      <c r="J1144" s="105"/>
      <c r="K1144" s="105"/>
      <c r="L1144" s="105"/>
      <c r="M1144" s="106" t="s">
        <v>4863</v>
      </c>
      <c r="N1144" s="106" t="s">
        <v>40</v>
      </c>
      <c r="O1144" s="107" t="s">
        <v>332</v>
      </c>
      <c r="P1144" s="106" t="s">
        <v>4864</v>
      </c>
    </row>
    <row r="1145" spans="1:16" outlineLevel="2" x14ac:dyDescent="0.3">
      <c r="A1145" s="105" t="s">
        <v>4865</v>
      </c>
      <c r="B1145" s="106"/>
      <c r="C1145" s="106"/>
      <c r="D1145" s="106"/>
      <c r="E1145" s="106" t="s">
        <v>4866</v>
      </c>
      <c r="F1145" s="106" t="s">
        <v>4867</v>
      </c>
      <c r="G1145" s="105">
        <v>4</v>
      </c>
      <c r="H1145" s="106" t="s">
        <v>7</v>
      </c>
      <c r="I1145" s="105" t="s">
        <v>39</v>
      </c>
      <c r="J1145" s="105"/>
      <c r="K1145" s="105"/>
      <c r="L1145" s="105"/>
      <c r="M1145" s="106" t="s">
        <v>4868</v>
      </c>
      <c r="N1145" s="106" t="s">
        <v>40</v>
      </c>
      <c r="O1145" s="107"/>
      <c r="P1145" s="106" t="s">
        <v>4869</v>
      </c>
    </row>
    <row r="1146" spans="1:16" outlineLevel="1" x14ac:dyDescent="0.3">
      <c r="A1146" s="229" t="s">
        <v>4870</v>
      </c>
      <c r="B1146" s="230"/>
      <c r="C1146" s="231" t="s">
        <v>4871</v>
      </c>
      <c r="D1146" s="230"/>
      <c r="E1146" s="230"/>
      <c r="F1146" s="230"/>
      <c r="G1146" s="229">
        <v>2</v>
      </c>
      <c r="H1146" s="230" t="s">
        <v>25</v>
      </c>
      <c r="I1146" s="229" t="s">
        <v>39</v>
      </c>
      <c r="J1146" s="229">
        <v>0</v>
      </c>
      <c r="K1146" s="229">
        <v>0</v>
      </c>
      <c r="L1146" s="229">
        <v>0</v>
      </c>
      <c r="M1146" s="232" t="s">
        <v>4872</v>
      </c>
      <c r="N1146" s="232"/>
      <c r="O1146" s="233" t="s">
        <v>4691</v>
      </c>
      <c r="P1146" s="232"/>
    </row>
    <row r="1147" spans="1:16" outlineLevel="1" x14ac:dyDescent="0.3">
      <c r="A1147" s="229" t="s">
        <v>4873</v>
      </c>
      <c r="B1147" s="230"/>
      <c r="C1147" s="231" t="s">
        <v>4874</v>
      </c>
      <c r="D1147" s="230"/>
      <c r="E1147" s="230"/>
      <c r="F1147" s="230"/>
      <c r="G1147" s="229">
        <v>2</v>
      </c>
      <c r="H1147" s="230" t="s">
        <v>25</v>
      </c>
      <c r="I1147" s="229" t="s">
        <v>39</v>
      </c>
      <c r="J1147" s="229">
        <v>0</v>
      </c>
      <c r="K1147" s="229">
        <v>0</v>
      </c>
      <c r="L1147" s="229">
        <v>0</v>
      </c>
      <c r="M1147" s="232" t="s">
        <v>4875</v>
      </c>
      <c r="N1147" s="232"/>
      <c r="O1147" s="233" t="s">
        <v>4691</v>
      </c>
      <c r="P1147" s="232"/>
    </row>
    <row r="1148" spans="1:16" outlineLevel="1" x14ac:dyDescent="0.3">
      <c r="A1148" s="229" t="s">
        <v>4876</v>
      </c>
      <c r="B1148" s="230"/>
      <c r="C1148" s="231" t="s">
        <v>4877</v>
      </c>
      <c r="D1148" s="230"/>
      <c r="E1148" s="230"/>
      <c r="F1148" s="230"/>
      <c r="G1148" s="229">
        <v>2</v>
      </c>
      <c r="H1148" s="230" t="s">
        <v>25</v>
      </c>
      <c r="I1148" s="229" t="s">
        <v>39</v>
      </c>
      <c r="J1148" s="229">
        <v>27</v>
      </c>
      <c r="K1148" s="229">
        <v>1</v>
      </c>
      <c r="L1148" s="229">
        <v>28</v>
      </c>
      <c r="M1148" s="232" t="s">
        <v>4878</v>
      </c>
      <c r="N1148" s="232" t="s">
        <v>40</v>
      </c>
      <c r="O1148" s="233"/>
      <c r="P1148" s="232" t="s">
        <v>4879</v>
      </c>
    </row>
    <row r="1149" spans="1:16" outlineLevel="2" x14ac:dyDescent="0.3">
      <c r="A1149" s="105" t="s">
        <v>4880</v>
      </c>
      <c r="B1149" s="106"/>
      <c r="C1149" s="106"/>
      <c r="D1149" s="106"/>
      <c r="E1149" s="106" t="s">
        <v>4881</v>
      </c>
      <c r="F1149" s="106" t="s">
        <v>4882</v>
      </c>
      <c r="G1149" s="105">
        <v>4</v>
      </c>
      <c r="H1149" s="106" t="s">
        <v>7</v>
      </c>
      <c r="I1149" s="105" t="s">
        <v>39</v>
      </c>
      <c r="J1149" s="105"/>
      <c r="K1149" s="105"/>
      <c r="L1149" s="105"/>
      <c r="M1149" s="106" t="s">
        <v>4883</v>
      </c>
      <c r="N1149" s="106" t="s">
        <v>40</v>
      </c>
      <c r="O1149" s="107"/>
      <c r="P1149" s="106" t="s">
        <v>4884</v>
      </c>
    </row>
    <row r="1150" spans="1:16" outlineLevel="2" x14ac:dyDescent="0.3">
      <c r="A1150" s="105" t="s">
        <v>4885</v>
      </c>
      <c r="B1150" s="106"/>
      <c r="C1150" s="106"/>
      <c r="D1150" s="106"/>
      <c r="E1150" s="106" t="s">
        <v>4886</v>
      </c>
      <c r="F1150" s="106" t="s">
        <v>4887</v>
      </c>
      <c r="G1150" s="105">
        <v>4</v>
      </c>
      <c r="H1150" s="106" t="s">
        <v>7</v>
      </c>
      <c r="I1150" s="105" t="s">
        <v>39</v>
      </c>
      <c r="J1150" s="105"/>
      <c r="K1150" s="105"/>
      <c r="L1150" s="105"/>
      <c r="M1150" s="106" t="s">
        <v>4888</v>
      </c>
      <c r="N1150" s="106" t="s">
        <v>40</v>
      </c>
      <c r="O1150" s="107"/>
      <c r="P1150" s="106" t="s">
        <v>4889</v>
      </c>
    </row>
    <row r="1151" spans="1:16" outlineLevel="2" x14ac:dyDescent="0.3">
      <c r="A1151" s="105" t="s">
        <v>4890</v>
      </c>
      <c r="B1151" s="106"/>
      <c r="C1151" s="106"/>
      <c r="D1151" s="106"/>
      <c r="E1151" s="106" t="s">
        <v>4891</v>
      </c>
      <c r="F1151" s="106" t="s">
        <v>4892</v>
      </c>
      <c r="G1151" s="105">
        <v>4</v>
      </c>
      <c r="H1151" s="106" t="s">
        <v>7</v>
      </c>
      <c r="I1151" s="105" t="s">
        <v>39</v>
      </c>
      <c r="J1151" s="105"/>
      <c r="K1151" s="105"/>
      <c r="L1151" s="105"/>
      <c r="M1151" s="106" t="s">
        <v>4893</v>
      </c>
      <c r="N1151" s="106" t="s">
        <v>40</v>
      </c>
      <c r="O1151" s="107"/>
      <c r="P1151" s="106" t="s">
        <v>4894</v>
      </c>
    </row>
    <row r="1152" spans="1:16" outlineLevel="2" x14ac:dyDescent="0.3">
      <c r="A1152" s="105" t="s">
        <v>4895</v>
      </c>
      <c r="B1152" s="106"/>
      <c r="C1152" s="106"/>
      <c r="D1152" s="106"/>
      <c r="E1152" s="106" t="s">
        <v>4896</v>
      </c>
      <c r="F1152" s="106" t="s">
        <v>4897</v>
      </c>
      <c r="G1152" s="105">
        <v>4</v>
      </c>
      <c r="H1152" s="106" t="s">
        <v>7</v>
      </c>
      <c r="I1152" s="105" t="s">
        <v>39</v>
      </c>
      <c r="J1152" s="105"/>
      <c r="K1152" s="105"/>
      <c r="L1152" s="105"/>
      <c r="M1152" s="106" t="s">
        <v>4898</v>
      </c>
      <c r="N1152" s="106" t="s">
        <v>40</v>
      </c>
      <c r="O1152" s="107"/>
      <c r="P1152" s="106" t="s">
        <v>4899</v>
      </c>
    </row>
    <row r="1153" spans="1:16" outlineLevel="2" x14ac:dyDescent="0.3">
      <c r="A1153" s="105" t="s">
        <v>4900</v>
      </c>
      <c r="B1153" s="106"/>
      <c r="C1153" s="106"/>
      <c r="D1153" s="106"/>
      <c r="E1153" s="106" t="s">
        <v>4901</v>
      </c>
      <c r="F1153" s="106" t="s">
        <v>4902</v>
      </c>
      <c r="G1153" s="105">
        <v>4</v>
      </c>
      <c r="H1153" s="106" t="s">
        <v>7</v>
      </c>
      <c r="I1153" s="105" t="s">
        <v>39</v>
      </c>
      <c r="J1153" s="105"/>
      <c r="K1153" s="105"/>
      <c r="L1153" s="105"/>
      <c r="M1153" s="106" t="s">
        <v>4903</v>
      </c>
      <c r="N1153" s="106" t="s">
        <v>40</v>
      </c>
      <c r="O1153" s="107"/>
      <c r="P1153" s="106" t="s">
        <v>4904</v>
      </c>
    </row>
    <row r="1154" spans="1:16" outlineLevel="2" x14ac:dyDescent="0.3">
      <c r="A1154" s="105" t="s">
        <v>4905</v>
      </c>
      <c r="B1154" s="106"/>
      <c r="C1154" s="106"/>
      <c r="D1154" s="106"/>
      <c r="E1154" s="106" t="s">
        <v>4906</v>
      </c>
      <c r="F1154" s="106" t="s">
        <v>4907</v>
      </c>
      <c r="G1154" s="105">
        <v>4</v>
      </c>
      <c r="H1154" s="106" t="s">
        <v>7</v>
      </c>
      <c r="I1154" s="105" t="s">
        <v>39</v>
      </c>
      <c r="J1154" s="105"/>
      <c r="K1154" s="105"/>
      <c r="L1154" s="105"/>
      <c r="M1154" s="106" t="s">
        <v>4908</v>
      </c>
      <c r="N1154" s="106" t="s">
        <v>40</v>
      </c>
      <c r="O1154" s="107"/>
      <c r="P1154" s="106" t="s">
        <v>4909</v>
      </c>
    </row>
    <row r="1155" spans="1:16" outlineLevel="2" x14ac:dyDescent="0.3">
      <c r="A1155" s="105" t="s">
        <v>4910</v>
      </c>
      <c r="B1155" s="106"/>
      <c r="C1155" s="106"/>
      <c r="D1155" s="106"/>
      <c r="E1155" s="106" t="s">
        <v>4911</v>
      </c>
      <c r="F1155" s="106" t="s">
        <v>4912</v>
      </c>
      <c r="G1155" s="105">
        <v>4</v>
      </c>
      <c r="H1155" s="106" t="s">
        <v>7</v>
      </c>
      <c r="I1155" s="105" t="s">
        <v>39</v>
      </c>
      <c r="J1155" s="105"/>
      <c r="K1155" s="105"/>
      <c r="L1155" s="105"/>
      <c r="M1155" s="106" t="s">
        <v>4913</v>
      </c>
      <c r="N1155" s="106" t="s">
        <v>40</v>
      </c>
      <c r="O1155" s="107"/>
      <c r="P1155" s="106" t="s">
        <v>4914</v>
      </c>
    </row>
    <row r="1156" spans="1:16" outlineLevel="2" x14ac:dyDescent="0.3">
      <c r="A1156" s="105" t="s">
        <v>4915</v>
      </c>
      <c r="B1156" s="106"/>
      <c r="C1156" s="106"/>
      <c r="D1156" s="106"/>
      <c r="E1156" s="106" t="s">
        <v>4916</v>
      </c>
      <c r="F1156" s="106" t="s">
        <v>4917</v>
      </c>
      <c r="G1156" s="105">
        <v>4</v>
      </c>
      <c r="H1156" s="106" t="s">
        <v>7</v>
      </c>
      <c r="I1156" s="105" t="s">
        <v>39</v>
      </c>
      <c r="J1156" s="105"/>
      <c r="K1156" s="105"/>
      <c r="L1156" s="105"/>
      <c r="M1156" s="106" t="s">
        <v>4918</v>
      </c>
      <c r="N1156" s="106" t="s">
        <v>223</v>
      </c>
      <c r="O1156" s="107"/>
      <c r="P1156" s="106" t="s">
        <v>4919</v>
      </c>
    </row>
    <row r="1157" spans="1:16" outlineLevel="2" x14ac:dyDescent="0.3">
      <c r="A1157" s="105" t="s">
        <v>4920</v>
      </c>
      <c r="B1157" s="106"/>
      <c r="C1157" s="106"/>
      <c r="D1157" s="106"/>
      <c r="E1157" s="106" t="s">
        <v>4921</v>
      </c>
      <c r="F1157" s="106" t="s">
        <v>4922</v>
      </c>
      <c r="G1157" s="105">
        <v>4</v>
      </c>
      <c r="H1157" s="106" t="s">
        <v>7</v>
      </c>
      <c r="I1157" s="105" t="s">
        <v>39</v>
      </c>
      <c r="J1157" s="105"/>
      <c r="K1157" s="105"/>
      <c r="L1157" s="105"/>
      <c r="M1157" s="106" t="s">
        <v>4923</v>
      </c>
      <c r="N1157" s="106" t="s">
        <v>40</v>
      </c>
      <c r="O1157" s="107"/>
      <c r="P1157" s="106" t="s">
        <v>4924</v>
      </c>
    </row>
    <row r="1158" spans="1:16" outlineLevel="2" x14ac:dyDescent="0.3">
      <c r="A1158" s="105" t="s">
        <v>4925</v>
      </c>
      <c r="B1158" s="106"/>
      <c r="C1158" s="106"/>
      <c r="D1158" s="106"/>
      <c r="E1158" s="106" t="s">
        <v>4926</v>
      </c>
      <c r="F1158" s="106" t="s">
        <v>4927</v>
      </c>
      <c r="G1158" s="105">
        <v>4</v>
      </c>
      <c r="H1158" s="106" t="s">
        <v>7</v>
      </c>
      <c r="I1158" s="105" t="s">
        <v>39</v>
      </c>
      <c r="J1158" s="105"/>
      <c r="K1158" s="105"/>
      <c r="L1158" s="105"/>
      <c r="M1158" s="106" t="s">
        <v>4928</v>
      </c>
      <c r="N1158" s="106" t="s">
        <v>40</v>
      </c>
      <c r="O1158" s="107"/>
      <c r="P1158" s="106" t="s">
        <v>4929</v>
      </c>
    </row>
    <row r="1159" spans="1:16" outlineLevel="2" x14ac:dyDescent="0.3">
      <c r="A1159" s="105" t="s">
        <v>4930</v>
      </c>
      <c r="B1159" s="106"/>
      <c r="C1159" s="106"/>
      <c r="D1159" s="106"/>
      <c r="E1159" s="106" t="s">
        <v>4931</v>
      </c>
      <c r="F1159" s="106" t="s">
        <v>4932</v>
      </c>
      <c r="G1159" s="105">
        <v>4</v>
      </c>
      <c r="H1159" s="106" t="s">
        <v>7</v>
      </c>
      <c r="I1159" s="105" t="s">
        <v>39</v>
      </c>
      <c r="J1159" s="105"/>
      <c r="K1159" s="105"/>
      <c r="L1159" s="105"/>
      <c r="M1159" s="106" t="s">
        <v>4933</v>
      </c>
      <c r="N1159" s="106" t="s">
        <v>40</v>
      </c>
      <c r="O1159" s="107"/>
      <c r="P1159" s="106" t="s">
        <v>4934</v>
      </c>
    </row>
    <row r="1160" spans="1:16" outlineLevel="2" x14ac:dyDescent="0.3">
      <c r="A1160" s="105" t="s">
        <v>4935</v>
      </c>
      <c r="B1160" s="106"/>
      <c r="C1160" s="106"/>
      <c r="D1160" s="106"/>
      <c r="E1160" s="106" t="s">
        <v>4936</v>
      </c>
      <c r="F1160" s="106" t="s">
        <v>13</v>
      </c>
      <c r="G1160" s="105">
        <v>4</v>
      </c>
      <c r="H1160" s="106" t="s">
        <v>7</v>
      </c>
      <c r="I1160" s="105"/>
      <c r="J1160" s="105"/>
      <c r="K1160" s="105"/>
      <c r="L1160" s="105"/>
      <c r="M1160" s="106"/>
      <c r="N1160" s="106" t="s">
        <v>40</v>
      </c>
      <c r="O1160" s="107" t="s">
        <v>447</v>
      </c>
      <c r="P1160" s="106" t="s">
        <v>4937</v>
      </c>
    </row>
    <row r="1161" spans="1:16" outlineLevel="2" x14ac:dyDescent="0.3">
      <c r="A1161" s="105" t="s">
        <v>4938</v>
      </c>
      <c r="B1161" s="106"/>
      <c r="C1161" s="106"/>
      <c r="D1161" s="106"/>
      <c r="E1161" s="106" t="s">
        <v>4939</v>
      </c>
      <c r="F1161" s="106" t="s">
        <v>4940</v>
      </c>
      <c r="G1161" s="105">
        <v>4</v>
      </c>
      <c r="H1161" s="106" t="s">
        <v>7</v>
      </c>
      <c r="I1161" s="105" t="s">
        <v>39</v>
      </c>
      <c r="J1161" s="105"/>
      <c r="K1161" s="105"/>
      <c r="L1161" s="105"/>
      <c r="M1161" s="106" t="s">
        <v>4941</v>
      </c>
      <c r="N1161" s="106" t="s">
        <v>40</v>
      </c>
      <c r="O1161" s="107" t="s">
        <v>332</v>
      </c>
      <c r="P1161" s="106" t="s">
        <v>4942</v>
      </c>
    </row>
    <row r="1162" spans="1:16" outlineLevel="2" x14ac:dyDescent="0.3">
      <c r="A1162" s="105" t="s">
        <v>4943</v>
      </c>
      <c r="B1162" s="106"/>
      <c r="C1162" s="106"/>
      <c r="D1162" s="106"/>
      <c r="E1162" s="106" t="s">
        <v>4944</v>
      </c>
      <c r="F1162" s="106" t="s">
        <v>4945</v>
      </c>
      <c r="G1162" s="105">
        <v>4</v>
      </c>
      <c r="H1162" s="106" t="s">
        <v>7</v>
      </c>
      <c r="I1162" s="105" t="s">
        <v>39</v>
      </c>
      <c r="J1162" s="105"/>
      <c r="K1162" s="105"/>
      <c r="L1162" s="105"/>
      <c r="M1162" s="106" t="s">
        <v>4946</v>
      </c>
      <c r="N1162" s="106" t="s">
        <v>40</v>
      </c>
      <c r="O1162" s="107"/>
      <c r="P1162" s="106" t="s">
        <v>4947</v>
      </c>
    </row>
    <row r="1163" spans="1:16" outlineLevel="2" x14ac:dyDescent="0.3">
      <c r="A1163" s="105" t="s">
        <v>4948</v>
      </c>
      <c r="B1163" s="106"/>
      <c r="C1163" s="106"/>
      <c r="D1163" s="106"/>
      <c r="E1163" s="106" t="s">
        <v>4949</v>
      </c>
      <c r="F1163" s="106" t="s">
        <v>4950</v>
      </c>
      <c r="G1163" s="105">
        <v>4</v>
      </c>
      <c r="H1163" s="106" t="s">
        <v>7</v>
      </c>
      <c r="I1163" s="105" t="s">
        <v>39</v>
      </c>
      <c r="J1163" s="105"/>
      <c r="K1163" s="105"/>
      <c r="L1163" s="105"/>
      <c r="M1163" s="106" t="s">
        <v>4951</v>
      </c>
      <c r="N1163" s="106" t="s">
        <v>40</v>
      </c>
      <c r="O1163" s="107"/>
      <c r="P1163" s="106" t="s">
        <v>4952</v>
      </c>
    </row>
    <row r="1164" spans="1:16" outlineLevel="2" x14ac:dyDescent="0.3">
      <c r="A1164" s="105" t="s">
        <v>4953</v>
      </c>
      <c r="B1164" s="106"/>
      <c r="C1164" s="106"/>
      <c r="D1164" s="106"/>
      <c r="E1164" s="106" t="s">
        <v>4954</v>
      </c>
      <c r="F1164" s="106" t="s">
        <v>4955</v>
      </c>
      <c r="G1164" s="105">
        <v>4</v>
      </c>
      <c r="H1164" s="106" t="s">
        <v>7</v>
      </c>
      <c r="I1164" s="105" t="s">
        <v>39</v>
      </c>
      <c r="J1164" s="105"/>
      <c r="K1164" s="105"/>
      <c r="L1164" s="105"/>
      <c r="M1164" s="106" t="s">
        <v>4956</v>
      </c>
      <c r="N1164" s="106" t="s">
        <v>40</v>
      </c>
      <c r="O1164" s="107"/>
      <c r="P1164" s="106" t="s">
        <v>4957</v>
      </c>
    </row>
    <row r="1165" spans="1:16" outlineLevel="2" x14ac:dyDescent="0.3">
      <c r="A1165" s="105" t="s">
        <v>4958</v>
      </c>
      <c r="B1165" s="106"/>
      <c r="C1165" s="106"/>
      <c r="D1165" s="106"/>
      <c r="E1165" s="106" t="s">
        <v>4959</v>
      </c>
      <c r="F1165" s="106" t="s">
        <v>4960</v>
      </c>
      <c r="G1165" s="105">
        <v>4</v>
      </c>
      <c r="H1165" s="106" t="s">
        <v>7</v>
      </c>
      <c r="I1165" s="105" t="s">
        <v>39</v>
      </c>
      <c r="J1165" s="105"/>
      <c r="K1165" s="105"/>
      <c r="L1165" s="105"/>
      <c r="M1165" s="106" t="s">
        <v>4961</v>
      </c>
      <c r="N1165" s="106" t="s">
        <v>40</v>
      </c>
      <c r="O1165" s="107"/>
      <c r="P1165" s="106" t="s">
        <v>4962</v>
      </c>
    </row>
    <row r="1166" spans="1:16" outlineLevel="2" x14ac:dyDescent="0.3">
      <c r="A1166" s="105" t="s">
        <v>4963</v>
      </c>
      <c r="B1166" s="106"/>
      <c r="C1166" s="106"/>
      <c r="D1166" s="106"/>
      <c r="E1166" s="106" t="s">
        <v>4964</v>
      </c>
      <c r="F1166" s="106" t="s">
        <v>4965</v>
      </c>
      <c r="G1166" s="105">
        <v>4</v>
      </c>
      <c r="H1166" s="106" t="s">
        <v>7</v>
      </c>
      <c r="I1166" s="105" t="s">
        <v>39</v>
      </c>
      <c r="J1166" s="105"/>
      <c r="K1166" s="105"/>
      <c r="L1166" s="105"/>
      <c r="M1166" s="106" t="s">
        <v>4966</v>
      </c>
      <c r="N1166" s="106" t="s">
        <v>40</v>
      </c>
      <c r="O1166" s="107"/>
      <c r="P1166" s="106" t="s">
        <v>4967</v>
      </c>
    </row>
    <row r="1167" spans="1:16" outlineLevel="2" x14ac:dyDescent="0.3">
      <c r="A1167" s="105" t="s">
        <v>4968</v>
      </c>
      <c r="B1167" s="106"/>
      <c r="C1167" s="106"/>
      <c r="D1167" s="106"/>
      <c r="E1167" s="106" t="s">
        <v>4969</v>
      </c>
      <c r="F1167" s="106" t="s">
        <v>4970</v>
      </c>
      <c r="G1167" s="105">
        <v>4</v>
      </c>
      <c r="H1167" s="106" t="s">
        <v>7</v>
      </c>
      <c r="I1167" s="105" t="s">
        <v>39</v>
      </c>
      <c r="J1167" s="105"/>
      <c r="K1167" s="105"/>
      <c r="L1167" s="105"/>
      <c r="M1167" s="106" t="s">
        <v>4971</v>
      </c>
      <c r="N1167" s="106" t="s">
        <v>40</v>
      </c>
      <c r="O1167" s="107"/>
      <c r="P1167" s="106" t="s">
        <v>4972</v>
      </c>
    </row>
    <row r="1168" spans="1:16" outlineLevel="2" x14ac:dyDescent="0.3">
      <c r="A1168" s="105" t="s">
        <v>4973</v>
      </c>
      <c r="B1168" s="106"/>
      <c r="C1168" s="106"/>
      <c r="D1168" s="106"/>
      <c r="E1168" s="106" t="s">
        <v>4974</v>
      </c>
      <c r="F1168" s="106" t="s">
        <v>4975</v>
      </c>
      <c r="G1168" s="105">
        <v>4</v>
      </c>
      <c r="H1168" s="106" t="s">
        <v>7</v>
      </c>
      <c r="I1168" s="105" t="s">
        <v>39</v>
      </c>
      <c r="J1168" s="105"/>
      <c r="K1168" s="105"/>
      <c r="L1168" s="105"/>
      <c r="M1168" s="106" t="s">
        <v>4976</v>
      </c>
      <c r="N1168" s="106" t="s">
        <v>40</v>
      </c>
      <c r="O1168" s="107"/>
      <c r="P1168" s="106" t="s">
        <v>4977</v>
      </c>
    </row>
    <row r="1169" spans="1:16" outlineLevel="2" x14ac:dyDescent="0.3">
      <c r="A1169" s="105" t="s">
        <v>4978</v>
      </c>
      <c r="B1169" s="106"/>
      <c r="C1169" s="106"/>
      <c r="D1169" s="106"/>
      <c r="E1169" s="106" t="s">
        <v>4979</v>
      </c>
      <c r="F1169" s="106" t="s">
        <v>4980</v>
      </c>
      <c r="G1169" s="105">
        <v>4</v>
      </c>
      <c r="H1169" s="106" t="s">
        <v>7</v>
      </c>
      <c r="I1169" s="105" t="s">
        <v>39</v>
      </c>
      <c r="J1169" s="105"/>
      <c r="K1169" s="105"/>
      <c r="L1169" s="105"/>
      <c r="M1169" s="106" t="s">
        <v>4981</v>
      </c>
      <c r="N1169" s="106" t="s">
        <v>40</v>
      </c>
      <c r="O1169" s="107"/>
      <c r="P1169" s="106" t="s">
        <v>4982</v>
      </c>
    </row>
    <row r="1170" spans="1:16" outlineLevel="2" x14ac:dyDescent="0.3">
      <c r="A1170" s="105" t="s">
        <v>4983</v>
      </c>
      <c r="B1170" s="106"/>
      <c r="C1170" s="106"/>
      <c r="D1170" s="106"/>
      <c r="E1170" s="106" t="s">
        <v>4984</v>
      </c>
      <c r="F1170" s="106" t="s">
        <v>4985</v>
      </c>
      <c r="G1170" s="105">
        <v>4</v>
      </c>
      <c r="H1170" s="106" t="s">
        <v>7</v>
      </c>
      <c r="I1170" s="105" t="s">
        <v>39</v>
      </c>
      <c r="J1170" s="105"/>
      <c r="K1170" s="105"/>
      <c r="L1170" s="105"/>
      <c r="M1170" s="106" t="s">
        <v>4986</v>
      </c>
      <c r="N1170" s="106" t="s">
        <v>40</v>
      </c>
      <c r="O1170" s="107"/>
      <c r="P1170" s="106" t="s">
        <v>4987</v>
      </c>
    </row>
    <row r="1171" spans="1:16" outlineLevel="2" x14ac:dyDescent="0.3">
      <c r="A1171" s="105" t="s">
        <v>4988</v>
      </c>
      <c r="B1171" s="106"/>
      <c r="C1171" s="106"/>
      <c r="D1171" s="106"/>
      <c r="E1171" s="106" t="s">
        <v>4989</v>
      </c>
      <c r="F1171" s="106" t="s">
        <v>4990</v>
      </c>
      <c r="G1171" s="105">
        <v>4</v>
      </c>
      <c r="H1171" s="106" t="s">
        <v>7</v>
      </c>
      <c r="I1171" s="105" t="s">
        <v>39</v>
      </c>
      <c r="J1171" s="105"/>
      <c r="K1171" s="105"/>
      <c r="L1171" s="105"/>
      <c r="M1171" s="106" t="s">
        <v>4991</v>
      </c>
      <c r="N1171" s="106" t="s">
        <v>40</v>
      </c>
      <c r="O1171" s="107" t="s">
        <v>332</v>
      </c>
      <c r="P1171" s="106" t="s">
        <v>4992</v>
      </c>
    </row>
    <row r="1172" spans="1:16" outlineLevel="2" x14ac:dyDescent="0.3">
      <c r="A1172" s="105" t="s">
        <v>4993</v>
      </c>
      <c r="B1172" s="106"/>
      <c r="C1172" s="106"/>
      <c r="D1172" s="106"/>
      <c r="E1172" s="106" t="s">
        <v>4994</v>
      </c>
      <c r="F1172" s="106" t="s">
        <v>4995</v>
      </c>
      <c r="G1172" s="105">
        <v>4</v>
      </c>
      <c r="H1172" s="106" t="s">
        <v>7</v>
      </c>
      <c r="I1172" s="105" t="s">
        <v>39</v>
      </c>
      <c r="J1172" s="105"/>
      <c r="K1172" s="105"/>
      <c r="L1172" s="105"/>
      <c r="M1172" s="106" t="s">
        <v>4996</v>
      </c>
      <c r="N1172" s="106" t="s">
        <v>40</v>
      </c>
      <c r="O1172" s="107"/>
      <c r="P1172" s="106" t="s">
        <v>4997</v>
      </c>
    </row>
    <row r="1173" spans="1:16" outlineLevel="2" x14ac:dyDescent="0.3">
      <c r="A1173" s="105" t="s">
        <v>4998</v>
      </c>
      <c r="B1173" s="106"/>
      <c r="C1173" s="106"/>
      <c r="D1173" s="106"/>
      <c r="E1173" s="106" t="s">
        <v>4999</v>
      </c>
      <c r="F1173" s="106" t="s">
        <v>5000</v>
      </c>
      <c r="G1173" s="105">
        <v>4</v>
      </c>
      <c r="H1173" s="106" t="s">
        <v>7</v>
      </c>
      <c r="I1173" s="105" t="s">
        <v>39</v>
      </c>
      <c r="J1173" s="105"/>
      <c r="K1173" s="105"/>
      <c r="L1173" s="105"/>
      <c r="M1173" s="106" t="s">
        <v>5001</v>
      </c>
      <c r="N1173" s="106" t="s">
        <v>40</v>
      </c>
      <c r="O1173" s="107"/>
      <c r="P1173" s="106" t="s">
        <v>5002</v>
      </c>
    </row>
    <row r="1174" spans="1:16" outlineLevel="2" x14ac:dyDescent="0.3">
      <c r="A1174" s="105" t="s">
        <v>5003</v>
      </c>
      <c r="B1174" s="106"/>
      <c r="C1174" s="106"/>
      <c r="D1174" s="106"/>
      <c r="E1174" s="106" t="s">
        <v>5004</v>
      </c>
      <c r="F1174" s="106" t="s">
        <v>5005</v>
      </c>
      <c r="G1174" s="105">
        <v>4</v>
      </c>
      <c r="H1174" s="106" t="s">
        <v>7</v>
      </c>
      <c r="I1174" s="105" t="s">
        <v>39</v>
      </c>
      <c r="J1174" s="105"/>
      <c r="K1174" s="105"/>
      <c r="L1174" s="105"/>
      <c r="M1174" s="106" t="s">
        <v>5006</v>
      </c>
      <c r="N1174" s="106" t="s">
        <v>40</v>
      </c>
      <c r="O1174" s="107"/>
      <c r="P1174" s="106" t="s">
        <v>5007</v>
      </c>
    </row>
    <row r="1175" spans="1:16" outlineLevel="2" x14ac:dyDescent="0.3">
      <c r="A1175" s="105" t="s">
        <v>5008</v>
      </c>
      <c r="B1175" s="106"/>
      <c r="C1175" s="106"/>
      <c r="D1175" s="106"/>
      <c r="E1175" s="106" t="s">
        <v>5009</v>
      </c>
      <c r="F1175" s="106" t="s">
        <v>5010</v>
      </c>
      <c r="G1175" s="105">
        <v>4</v>
      </c>
      <c r="H1175" s="106" t="s">
        <v>7</v>
      </c>
      <c r="I1175" s="105" t="s">
        <v>39</v>
      </c>
      <c r="J1175" s="105"/>
      <c r="K1175" s="105"/>
      <c r="L1175" s="105"/>
      <c r="M1175" s="106" t="s">
        <v>5011</v>
      </c>
      <c r="N1175" s="106" t="s">
        <v>40</v>
      </c>
      <c r="O1175" s="107"/>
      <c r="P1175" s="106" t="s">
        <v>5012</v>
      </c>
    </row>
    <row r="1176" spans="1:16" outlineLevel="2" x14ac:dyDescent="0.3">
      <c r="A1176" s="105" t="s">
        <v>5013</v>
      </c>
      <c r="B1176" s="106"/>
      <c r="C1176" s="106"/>
      <c r="D1176" s="106"/>
      <c r="E1176" s="106" t="s">
        <v>5014</v>
      </c>
      <c r="F1176" s="106" t="s">
        <v>5015</v>
      </c>
      <c r="G1176" s="105">
        <v>4</v>
      </c>
      <c r="H1176" s="106" t="s">
        <v>7</v>
      </c>
      <c r="I1176" s="105" t="s">
        <v>39</v>
      </c>
      <c r="J1176" s="105"/>
      <c r="K1176" s="105"/>
      <c r="L1176" s="105"/>
      <c r="M1176" s="106" t="s">
        <v>5016</v>
      </c>
      <c r="N1176" s="106" t="s">
        <v>40</v>
      </c>
      <c r="O1176" s="107"/>
      <c r="P1176" s="106" t="s">
        <v>5017</v>
      </c>
    </row>
    <row r="1177" spans="1:16" x14ac:dyDescent="0.3">
      <c r="A1177" s="238" t="s">
        <v>5018</v>
      </c>
      <c r="B1177" s="239" t="s">
        <v>5019</v>
      </c>
      <c r="C1177" s="240" t="str">
        <f>COUNTIFS($G1178:$G1263,2)&amp;" subcapas"</f>
        <v>6 subcapas</v>
      </c>
      <c r="D1177" s="239"/>
      <c r="E1177" s="239"/>
      <c r="F1177" s="239"/>
      <c r="G1177" s="238">
        <v>1</v>
      </c>
      <c r="H1177" s="239" t="s">
        <v>2</v>
      </c>
      <c r="I1177" s="238"/>
      <c r="J1177" s="241">
        <f>SUMIFS(J1178:J1263,$G1178:$G1263,2)</f>
        <v>73</v>
      </c>
      <c r="K1177" s="241">
        <f>SUMIFS(K1178:K1263,$G1178:$G1263,2)</f>
        <v>3</v>
      </c>
      <c r="L1177" s="241">
        <f>SUMIFS(L1178:L1263,$G1178:$G1263,2)</f>
        <v>70</v>
      </c>
      <c r="M1177" s="242" t="s">
        <v>5020</v>
      </c>
      <c r="N1177" s="239"/>
      <c r="O1177" s="239"/>
      <c r="P1177" s="239" t="s">
        <v>5021</v>
      </c>
    </row>
    <row r="1178" spans="1:16" ht="27.6" outlineLevel="1" x14ac:dyDescent="0.3">
      <c r="A1178" s="243" t="s">
        <v>5022</v>
      </c>
      <c r="B1178" s="244"/>
      <c r="C1178" s="245" t="s">
        <v>5023</v>
      </c>
      <c r="D1178" s="244"/>
      <c r="E1178" s="244"/>
      <c r="F1178" s="244"/>
      <c r="G1178" s="243">
        <v>2</v>
      </c>
      <c r="H1178" s="244" t="s">
        <v>25</v>
      </c>
      <c r="I1178" s="243" t="s">
        <v>39</v>
      </c>
      <c r="J1178" s="243">
        <v>17</v>
      </c>
      <c r="K1178" s="243">
        <v>0</v>
      </c>
      <c r="L1178" s="243">
        <v>17</v>
      </c>
      <c r="M1178" s="246" t="s">
        <v>5024</v>
      </c>
      <c r="N1178" s="246" t="s">
        <v>40</v>
      </c>
      <c r="O1178" s="247"/>
      <c r="P1178" s="246" t="s">
        <v>5025</v>
      </c>
    </row>
    <row r="1179" spans="1:16" outlineLevel="2" x14ac:dyDescent="0.3">
      <c r="A1179" s="105" t="s">
        <v>5026</v>
      </c>
      <c r="B1179" s="106"/>
      <c r="C1179" s="106"/>
      <c r="D1179" s="106"/>
      <c r="E1179" s="106" t="s">
        <v>5027</v>
      </c>
      <c r="F1179" s="106" t="s">
        <v>5028</v>
      </c>
      <c r="G1179" s="105">
        <v>4</v>
      </c>
      <c r="H1179" s="106" t="s">
        <v>7</v>
      </c>
      <c r="I1179" s="105" t="s">
        <v>39</v>
      </c>
      <c r="J1179" s="105"/>
      <c r="K1179" s="105"/>
      <c r="L1179" s="105"/>
      <c r="M1179" s="106" t="s">
        <v>1014</v>
      </c>
      <c r="N1179" s="106" t="s">
        <v>223</v>
      </c>
      <c r="O1179" s="107"/>
      <c r="P1179" s="106" t="s">
        <v>5029</v>
      </c>
    </row>
    <row r="1180" spans="1:16" outlineLevel="2" x14ac:dyDescent="0.3">
      <c r="A1180" s="105" t="s">
        <v>5030</v>
      </c>
      <c r="B1180" s="106"/>
      <c r="C1180" s="106"/>
      <c r="D1180" s="106"/>
      <c r="E1180" s="106" t="s">
        <v>5031</v>
      </c>
      <c r="F1180" s="106" t="s">
        <v>5032</v>
      </c>
      <c r="G1180" s="105">
        <v>4</v>
      </c>
      <c r="H1180" s="106" t="s">
        <v>7</v>
      </c>
      <c r="I1180" s="105" t="s">
        <v>39</v>
      </c>
      <c r="J1180" s="105"/>
      <c r="K1180" s="105"/>
      <c r="L1180" s="105"/>
      <c r="M1180" s="106" t="s">
        <v>5033</v>
      </c>
      <c r="N1180" s="106" t="s">
        <v>40</v>
      </c>
      <c r="O1180" s="107"/>
      <c r="P1180" s="106" t="s">
        <v>5034</v>
      </c>
    </row>
    <row r="1181" spans="1:16" outlineLevel="2" x14ac:dyDescent="0.3">
      <c r="A1181" s="105" t="s">
        <v>5035</v>
      </c>
      <c r="B1181" s="106"/>
      <c r="C1181" s="106"/>
      <c r="D1181" s="106"/>
      <c r="E1181" s="106" t="s">
        <v>5036</v>
      </c>
      <c r="F1181" s="106" t="s">
        <v>5037</v>
      </c>
      <c r="G1181" s="105">
        <v>4</v>
      </c>
      <c r="H1181" s="106" t="s">
        <v>7</v>
      </c>
      <c r="I1181" s="105" t="s">
        <v>39</v>
      </c>
      <c r="J1181" s="105"/>
      <c r="K1181" s="105"/>
      <c r="L1181" s="105"/>
      <c r="M1181" s="106" t="s">
        <v>5038</v>
      </c>
      <c r="N1181" s="106" t="s">
        <v>40</v>
      </c>
      <c r="O1181" s="107"/>
      <c r="P1181" s="106" t="s">
        <v>5039</v>
      </c>
    </row>
    <row r="1182" spans="1:16" outlineLevel="2" x14ac:dyDescent="0.3">
      <c r="A1182" s="105" t="s">
        <v>5040</v>
      </c>
      <c r="B1182" s="106"/>
      <c r="C1182" s="106"/>
      <c r="D1182" s="106"/>
      <c r="E1182" s="106" t="s">
        <v>5041</v>
      </c>
      <c r="F1182" s="106" t="s">
        <v>2229</v>
      </c>
      <c r="G1182" s="105">
        <v>4</v>
      </c>
      <c r="H1182" s="106" t="s">
        <v>7</v>
      </c>
      <c r="I1182" s="105" t="s">
        <v>39</v>
      </c>
      <c r="J1182" s="105"/>
      <c r="K1182" s="105"/>
      <c r="L1182" s="105"/>
      <c r="M1182" s="106" t="s">
        <v>5042</v>
      </c>
      <c r="N1182" s="106" t="s">
        <v>223</v>
      </c>
      <c r="O1182" s="107"/>
      <c r="P1182" s="106" t="s">
        <v>5043</v>
      </c>
    </row>
    <row r="1183" spans="1:16" outlineLevel="2" x14ac:dyDescent="0.3">
      <c r="A1183" s="105" t="s">
        <v>5044</v>
      </c>
      <c r="B1183" s="106"/>
      <c r="C1183" s="106"/>
      <c r="D1183" s="106"/>
      <c r="E1183" s="106" t="s">
        <v>5045</v>
      </c>
      <c r="F1183" s="106" t="s">
        <v>5046</v>
      </c>
      <c r="G1183" s="105">
        <v>4</v>
      </c>
      <c r="H1183" s="106" t="s">
        <v>7</v>
      </c>
      <c r="I1183" s="105" t="s">
        <v>39</v>
      </c>
      <c r="J1183" s="105"/>
      <c r="K1183" s="105"/>
      <c r="L1183" s="105"/>
      <c r="M1183" s="106" t="s">
        <v>5047</v>
      </c>
      <c r="N1183" s="106" t="s">
        <v>40</v>
      </c>
      <c r="O1183" s="107"/>
      <c r="P1183" s="106" t="s">
        <v>5048</v>
      </c>
    </row>
    <row r="1184" spans="1:16" outlineLevel="2" x14ac:dyDescent="0.3">
      <c r="A1184" s="105" t="s">
        <v>5049</v>
      </c>
      <c r="B1184" s="106"/>
      <c r="C1184" s="106"/>
      <c r="D1184" s="106"/>
      <c r="E1184" s="106" t="s">
        <v>5050</v>
      </c>
      <c r="F1184" s="106" t="s">
        <v>1142</v>
      </c>
      <c r="G1184" s="105">
        <v>4</v>
      </c>
      <c r="H1184" s="106" t="s">
        <v>7</v>
      </c>
      <c r="I1184" s="105" t="s">
        <v>39</v>
      </c>
      <c r="J1184" s="105"/>
      <c r="K1184" s="105"/>
      <c r="L1184" s="105"/>
      <c r="M1184" s="106" t="s">
        <v>1143</v>
      </c>
      <c r="N1184" s="106" t="s">
        <v>223</v>
      </c>
      <c r="O1184" s="107"/>
      <c r="P1184" s="106" t="s">
        <v>5051</v>
      </c>
    </row>
    <row r="1185" spans="1:16" outlineLevel="2" x14ac:dyDescent="0.3">
      <c r="A1185" s="105" t="s">
        <v>5052</v>
      </c>
      <c r="B1185" s="106"/>
      <c r="C1185" s="106"/>
      <c r="D1185" s="106"/>
      <c r="E1185" s="106" t="s">
        <v>5053</v>
      </c>
      <c r="F1185" s="106" t="s">
        <v>5054</v>
      </c>
      <c r="G1185" s="105">
        <v>4</v>
      </c>
      <c r="H1185" s="106" t="s">
        <v>7</v>
      </c>
      <c r="I1185" s="105" t="s">
        <v>39</v>
      </c>
      <c r="J1185" s="105"/>
      <c r="K1185" s="105"/>
      <c r="L1185" s="105"/>
      <c r="M1185" s="106" t="s">
        <v>5055</v>
      </c>
      <c r="N1185" s="106" t="s">
        <v>40</v>
      </c>
      <c r="O1185" s="107"/>
      <c r="P1185" s="106" t="s">
        <v>5056</v>
      </c>
    </row>
    <row r="1186" spans="1:16" outlineLevel="2" x14ac:dyDescent="0.3">
      <c r="A1186" s="105" t="s">
        <v>5057</v>
      </c>
      <c r="B1186" s="106"/>
      <c r="C1186" s="106"/>
      <c r="D1186" s="106"/>
      <c r="E1186" s="106" t="s">
        <v>5058</v>
      </c>
      <c r="F1186" s="106" t="s">
        <v>5059</v>
      </c>
      <c r="G1186" s="105">
        <v>4</v>
      </c>
      <c r="H1186" s="106" t="s">
        <v>7</v>
      </c>
      <c r="I1186" s="105" t="s">
        <v>39</v>
      </c>
      <c r="J1186" s="105"/>
      <c r="K1186" s="105"/>
      <c r="L1186" s="105"/>
      <c r="M1186" s="106" t="s">
        <v>5060</v>
      </c>
      <c r="N1186" s="106" t="s">
        <v>40</v>
      </c>
      <c r="O1186" s="107"/>
      <c r="P1186" s="106" t="s">
        <v>5061</v>
      </c>
    </row>
    <row r="1187" spans="1:16" outlineLevel="2" x14ac:dyDescent="0.3">
      <c r="A1187" s="105" t="s">
        <v>5062</v>
      </c>
      <c r="B1187" s="106"/>
      <c r="C1187" s="106"/>
      <c r="D1187" s="106"/>
      <c r="E1187" s="106" t="s">
        <v>5063</v>
      </c>
      <c r="F1187" s="106" t="s">
        <v>5064</v>
      </c>
      <c r="G1187" s="105">
        <v>4</v>
      </c>
      <c r="H1187" s="106" t="s">
        <v>7</v>
      </c>
      <c r="I1187" s="105" t="s">
        <v>39</v>
      </c>
      <c r="J1187" s="105"/>
      <c r="K1187" s="105"/>
      <c r="L1187" s="105"/>
      <c r="M1187" s="106" t="s">
        <v>5065</v>
      </c>
      <c r="N1187" s="106" t="s">
        <v>40</v>
      </c>
      <c r="O1187" s="107"/>
      <c r="P1187" s="106" t="s">
        <v>5066</v>
      </c>
    </row>
    <row r="1188" spans="1:16" outlineLevel="2" x14ac:dyDescent="0.3">
      <c r="A1188" s="105" t="s">
        <v>5067</v>
      </c>
      <c r="B1188" s="106"/>
      <c r="C1188" s="106"/>
      <c r="D1188" s="106"/>
      <c r="E1188" s="106" t="s">
        <v>5068</v>
      </c>
      <c r="F1188" s="106" t="s">
        <v>5069</v>
      </c>
      <c r="G1188" s="105">
        <v>4</v>
      </c>
      <c r="H1188" s="106" t="s">
        <v>7</v>
      </c>
      <c r="I1188" s="105" t="s">
        <v>39</v>
      </c>
      <c r="J1188" s="105"/>
      <c r="K1188" s="105"/>
      <c r="L1188" s="105"/>
      <c r="M1188" s="106" t="s">
        <v>5070</v>
      </c>
      <c r="N1188" s="106" t="s">
        <v>40</v>
      </c>
      <c r="O1188" s="107"/>
      <c r="P1188" s="106" t="s">
        <v>5071</v>
      </c>
    </row>
    <row r="1189" spans="1:16" outlineLevel="2" x14ac:dyDescent="0.3">
      <c r="A1189" s="105" t="s">
        <v>5072</v>
      </c>
      <c r="B1189" s="106"/>
      <c r="C1189" s="106"/>
      <c r="D1189" s="106"/>
      <c r="E1189" s="106" t="s">
        <v>5073</v>
      </c>
      <c r="F1189" s="106" t="s">
        <v>5074</v>
      </c>
      <c r="G1189" s="105">
        <v>4</v>
      </c>
      <c r="H1189" s="106" t="s">
        <v>7</v>
      </c>
      <c r="I1189" s="105" t="s">
        <v>39</v>
      </c>
      <c r="J1189" s="105"/>
      <c r="K1189" s="105"/>
      <c r="L1189" s="105"/>
      <c r="M1189" s="106" t="s">
        <v>5075</v>
      </c>
      <c r="N1189" s="106" t="s">
        <v>40</v>
      </c>
      <c r="O1189" s="107"/>
      <c r="P1189" s="106" t="s">
        <v>5076</v>
      </c>
    </row>
    <row r="1190" spans="1:16" outlineLevel="2" x14ac:dyDescent="0.3">
      <c r="A1190" s="105" t="s">
        <v>5077</v>
      </c>
      <c r="B1190" s="106"/>
      <c r="C1190" s="106"/>
      <c r="D1190" s="106"/>
      <c r="E1190" s="106" t="s">
        <v>5078</v>
      </c>
      <c r="F1190" s="106" t="s">
        <v>5079</v>
      </c>
      <c r="G1190" s="105">
        <v>4</v>
      </c>
      <c r="H1190" s="106" t="s">
        <v>7</v>
      </c>
      <c r="I1190" s="105" t="s">
        <v>39</v>
      </c>
      <c r="J1190" s="105"/>
      <c r="K1190" s="105"/>
      <c r="L1190" s="105"/>
      <c r="M1190" s="106" t="s">
        <v>5080</v>
      </c>
      <c r="N1190" s="106" t="s">
        <v>40</v>
      </c>
      <c r="O1190" s="107"/>
      <c r="P1190" s="106" t="s">
        <v>5081</v>
      </c>
    </row>
    <row r="1191" spans="1:16" outlineLevel="2" x14ac:dyDescent="0.3">
      <c r="A1191" s="105" t="s">
        <v>5082</v>
      </c>
      <c r="B1191" s="106"/>
      <c r="C1191" s="106"/>
      <c r="D1191" s="106"/>
      <c r="E1191" s="106" t="s">
        <v>5083</v>
      </c>
      <c r="F1191" s="106" t="s">
        <v>5084</v>
      </c>
      <c r="G1191" s="105">
        <v>4</v>
      </c>
      <c r="H1191" s="106" t="s">
        <v>7</v>
      </c>
      <c r="I1191" s="105" t="s">
        <v>39</v>
      </c>
      <c r="J1191" s="105"/>
      <c r="K1191" s="105"/>
      <c r="L1191" s="105"/>
      <c r="M1191" s="106" t="s">
        <v>5085</v>
      </c>
      <c r="N1191" s="106" t="s">
        <v>40</v>
      </c>
      <c r="O1191" s="107"/>
      <c r="P1191" s="106" t="s">
        <v>5086</v>
      </c>
    </row>
    <row r="1192" spans="1:16" outlineLevel="2" x14ac:dyDescent="0.3">
      <c r="A1192" s="105" t="s">
        <v>5087</v>
      </c>
      <c r="B1192" s="106"/>
      <c r="C1192" s="106"/>
      <c r="D1192" s="106"/>
      <c r="E1192" s="106" t="s">
        <v>5088</v>
      </c>
      <c r="F1192" s="106" t="s">
        <v>5089</v>
      </c>
      <c r="G1192" s="105">
        <v>4</v>
      </c>
      <c r="H1192" s="106" t="s">
        <v>7</v>
      </c>
      <c r="I1192" s="105" t="s">
        <v>39</v>
      </c>
      <c r="J1192" s="105"/>
      <c r="K1192" s="105"/>
      <c r="L1192" s="105"/>
      <c r="M1192" s="106" t="s">
        <v>5090</v>
      </c>
      <c r="N1192" s="106" t="s">
        <v>40</v>
      </c>
      <c r="O1192" s="107"/>
      <c r="P1192" s="106" t="s">
        <v>5091</v>
      </c>
    </row>
    <row r="1193" spans="1:16" outlineLevel="2" x14ac:dyDescent="0.3">
      <c r="A1193" s="105" t="s">
        <v>5092</v>
      </c>
      <c r="B1193" s="106"/>
      <c r="C1193" s="106"/>
      <c r="D1193" s="106"/>
      <c r="E1193" s="106" t="s">
        <v>5093</v>
      </c>
      <c r="F1193" s="106" t="s">
        <v>5094</v>
      </c>
      <c r="G1193" s="105">
        <v>4</v>
      </c>
      <c r="H1193" s="106" t="s">
        <v>7</v>
      </c>
      <c r="I1193" s="105" t="s">
        <v>39</v>
      </c>
      <c r="J1193" s="105"/>
      <c r="K1193" s="105"/>
      <c r="L1193" s="105"/>
      <c r="M1193" s="106" t="s">
        <v>5095</v>
      </c>
      <c r="N1193" s="106" t="s">
        <v>40</v>
      </c>
      <c r="O1193" s="107"/>
      <c r="P1193" s="106" t="s">
        <v>5096</v>
      </c>
    </row>
    <row r="1194" spans="1:16" outlineLevel="2" x14ac:dyDescent="0.3">
      <c r="A1194" s="105" t="s">
        <v>5097</v>
      </c>
      <c r="B1194" s="106"/>
      <c r="C1194" s="106"/>
      <c r="D1194" s="106"/>
      <c r="E1194" s="106" t="s">
        <v>5098</v>
      </c>
      <c r="F1194" s="106" t="s">
        <v>5099</v>
      </c>
      <c r="G1194" s="105">
        <v>4</v>
      </c>
      <c r="H1194" s="106" t="s">
        <v>7</v>
      </c>
      <c r="I1194" s="105" t="s">
        <v>39</v>
      </c>
      <c r="J1194" s="105"/>
      <c r="K1194" s="105"/>
      <c r="L1194" s="105"/>
      <c r="M1194" s="106" t="s">
        <v>5100</v>
      </c>
      <c r="N1194" s="106" t="s">
        <v>223</v>
      </c>
      <c r="O1194" s="107"/>
      <c r="P1194" s="106" t="s">
        <v>5101</v>
      </c>
    </row>
    <row r="1195" spans="1:16" outlineLevel="2" x14ac:dyDescent="0.3">
      <c r="A1195" s="105" t="s">
        <v>5102</v>
      </c>
      <c r="B1195" s="106"/>
      <c r="C1195" s="106"/>
      <c r="D1195" s="106"/>
      <c r="E1195" s="106" t="s">
        <v>5103</v>
      </c>
      <c r="F1195" s="106" t="s">
        <v>5104</v>
      </c>
      <c r="G1195" s="105">
        <v>4</v>
      </c>
      <c r="H1195" s="106" t="s">
        <v>7</v>
      </c>
      <c r="I1195" s="105" t="s">
        <v>39</v>
      </c>
      <c r="J1195" s="105"/>
      <c r="K1195" s="105"/>
      <c r="L1195" s="105"/>
      <c r="M1195" s="106" t="s">
        <v>5105</v>
      </c>
      <c r="N1195" s="106" t="s">
        <v>40</v>
      </c>
      <c r="O1195" s="107"/>
      <c r="P1195" s="106" t="s">
        <v>5106</v>
      </c>
    </row>
    <row r="1196" spans="1:16" ht="27.6" outlineLevel="1" x14ac:dyDescent="0.3">
      <c r="A1196" s="243" t="s">
        <v>5107</v>
      </c>
      <c r="B1196" s="244"/>
      <c r="C1196" s="245" t="s">
        <v>5108</v>
      </c>
      <c r="D1196" s="244"/>
      <c r="E1196" s="244"/>
      <c r="F1196" s="244"/>
      <c r="G1196" s="243">
        <v>2</v>
      </c>
      <c r="H1196" s="244" t="s">
        <v>25</v>
      </c>
      <c r="I1196" s="243" t="s">
        <v>39</v>
      </c>
      <c r="J1196" s="243">
        <v>24</v>
      </c>
      <c r="K1196" s="243">
        <v>0</v>
      </c>
      <c r="L1196" s="243">
        <v>24</v>
      </c>
      <c r="M1196" s="246" t="s">
        <v>5109</v>
      </c>
      <c r="N1196" s="246" t="s">
        <v>40</v>
      </c>
      <c r="O1196" s="247"/>
      <c r="P1196" s="246" t="s">
        <v>5110</v>
      </c>
    </row>
    <row r="1197" spans="1:16" outlineLevel="2" x14ac:dyDescent="0.3">
      <c r="A1197" s="105" t="s">
        <v>5111</v>
      </c>
      <c r="B1197" s="106"/>
      <c r="C1197" s="106"/>
      <c r="D1197" s="106"/>
      <c r="E1197" s="106" t="s">
        <v>5112</v>
      </c>
      <c r="F1197" s="106" t="s">
        <v>5113</v>
      </c>
      <c r="G1197" s="105">
        <v>4</v>
      </c>
      <c r="H1197" s="106" t="s">
        <v>7</v>
      </c>
      <c r="I1197" s="105" t="s">
        <v>39</v>
      </c>
      <c r="J1197" s="105"/>
      <c r="K1197" s="105"/>
      <c r="L1197" s="105"/>
      <c r="M1197" s="106" t="s">
        <v>5114</v>
      </c>
      <c r="N1197" s="106" t="s">
        <v>40</v>
      </c>
      <c r="O1197" s="107"/>
      <c r="P1197" s="106" t="s">
        <v>5115</v>
      </c>
    </row>
    <row r="1198" spans="1:16" outlineLevel="2" x14ac:dyDescent="0.3">
      <c r="A1198" s="105" t="s">
        <v>5116</v>
      </c>
      <c r="B1198" s="106"/>
      <c r="C1198" s="106"/>
      <c r="D1198" s="106"/>
      <c r="E1198" s="106" t="s">
        <v>5117</v>
      </c>
      <c r="F1198" s="106" t="s">
        <v>5118</v>
      </c>
      <c r="G1198" s="105">
        <v>4</v>
      </c>
      <c r="H1198" s="106" t="s">
        <v>7</v>
      </c>
      <c r="I1198" s="105" t="s">
        <v>39</v>
      </c>
      <c r="J1198" s="105"/>
      <c r="K1198" s="105"/>
      <c r="L1198" s="105"/>
      <c r="M1198" s="106" t="s">
        <v>5119</v>
      </c>
      <c r="N1198" s="106" t="s">
        <v>40</v>
      </c>
      <c r="O1198" s="107"/>
      <c r="P1198" s="106" t="s">
        <v>5120</v>
      </c>
    </row>
    <row r="1199" spans="1:16" outlineLevel="2" x14ac:dyDescent="0.3">
      <c r="A1199" s="105" t="s">
        <v>5121</v>
      </c>
      <c r="B1199" s="106"/>
      <c r="C1199" s="106"/>
      <c r="D1199" s="106"/>
      <c r="E1199" s="106" t="s">
        <v>5122</v>
      </c>
      <c r="F1199" s="106" t="s">
        <v>5123</v>
      </c>
      <c r="G1199" s="105">
        <v>4</v>
      </c>
      <c r="H1199" s="106" t="s">
        <v>7</v>
      </c>
      <c r="I1199" s="105" t="s">
        <v>39</v>
      </c>
      <c r="J1199" s="105"/>
      <c r="K1199" s="105"/>
      <c r="L1199" s="105"/>
      <c r="M1199" s="106" t="s">
        <v>5124</v>
      </c>
      <c r="N1199" s="106" t="s">
        <v>40</v>
      </c>
      <c r="O1199" s="107"/>
      <c r="P1199" s="106" t="s">
        <v>5125</v>
      </c>
    </row>
    <row r="1200" spans="1:16" outlineLevel="2" x14ac:dyDescent="0.3">
      <c r="A1200" s="105" t="s">
        <v>5126</v>
      </c>
      <c r="B1200" s="106"/>
      <c r="C1200" s="106"/>
      <c r="D1200" s="106"/>
      <c r="E1200" s="106" t="s">
        <v>5127</v>
      </c>
      <c r="F1200" s="106" t="s">
        <v>5128</v>
      </c>
      <c r="G1200" s="105">
        <v>4</v>
      </c>
      <c r="H1200" s="106" t="s">
        <v>7</v>
      </c>
      <c r="I1200" s="105" t="s">
        <v>39</v>
      </c>
      <c r="J1200" s="105"/>
      <c r="K1200" s="105"/>
      <c r="L1200" s="105"/>
      <c r="M1200" s="106" t="s">
        <v>5129</v>
      </c>
      <c r="N1200" s="106" t="s">
        <v>223</v>
      </c>
      <c r="O1200" s="107"/>
      <c r="P1200" s="106" t="s">
        <v>5130</v>
      </c>
    </row>
    <row r="1201" spans="1:16" outlineLevel="2" x14ac:dyDescent="0.3">
      <c r="A1201" s="105" t="s">
        <v>5131</v>
      </c>
      <c r="B1201" s="106"/>
      <c r="C1201" s="106"/>
      <c r="D1201" s="106"/>
      <c r="E1201" s="106" t="s">
        <v>5132</v>
      </c>
      <c r="F1201" s="106" t="s">
        <v>5133</v>
      </c>
      <c r="G1201" s="105">
        <v>4</v>
      </c>
      <c r="H1201" s="106" t="s">
        <v>7</v>
      </c>
      <c r="I1201" s="105" t="s">
        <v>39</v>
      </c>
      <c r="J1201" s="105"/>
      <c r="K1201" s="105"/>
      <c r="L1201" s="105"/>
      <c r="M1201" s="106" t="s">
        <v>5134</v>
      </c>
      <c r="N1201" s="106" t="s">
        <v>40</v>
      </c>
      <c r="O1201" s="107"/>
      <c r="P1201" s="106" t="s">
        <v>5135</v>
      </c>
    </row>
    <row r="1202" spans="1:16" outlineLevel="2" x14ac:dyDescent="0.3">
      <c r="A1202" s="105" t="s">
        <v>5136</v>
      </c>
      <c r="B1202" s="106"/>
      <c r="C1202" s="106"/>
      <c r="D1202" s="106"/>
      <c r="E1202" s="106" t="s">
        <v>5137</v>
      </c>
      <c r="F1202" s="106" t="s">
        <v>5138</v>
      </c>
      <c r="G1202" s="105">
        <v>4</v>
      </c>
      <c r="H1202" s="106" t="s">
        <v>7</v>
      </c>
      <c r="I1202" s="105" t="s">
        <v>39</v>
      </c>
      <c r="J1202" s="105"/>
      <c r="K1202" s="105"/>
      <c r="L1202" s="105"/>
      <c r="M1202" s="106" t="s">
        <v>5139</v>
      </c>
      <c r="N1202" s="106" t="s">
        <v>40</v>
      </c>
      <c r="O1202" s="107"/>
      <c r="P1202" s="106" t="s">
        <v>5140</v>
      </c>
    </row>
    <row r="1203" spans="1:16" outlineLevel="2" x14ac:dyDescent="0.3">
      <c r="A1203" s="105" t="s">
        <v>5141</v>
      </c>
      <c r="B1203" s="106"/>
      <c r="C1203" s="106"/>
      <c r="D1203" s="106"/>
      <c r="E1203" s="106" t="s">
        <v>5142</v>
      </c>
      <c r="F1203" s="106" t="s">
        <v>5143</v>
      </c>
      <c r="G1203" s="105">
        <v>4</v>
      </c>
      <c r="H1203" s="106" t="s">
        <v>7</v>
      </c>
      <c r="I1203" s="105" t="s">
        <v>39</v>
      </c>
      <c r="J1203" s="105"/>
      <c r="K1203" s="105"/>
      <c r="L1203" s="105"/>
      <c r="M1203" s="106" t="s">
        <v>5144</v>
      </c>
      <c r="N1203" s="106" t="s">
        <v>40</v>
      </c>
      <c r="O1203" s="107"/>
      <c r="P1203" s="106" t="s">
        <v>5145</v>
      </c>
    </row>
    <row r="1204" spans="1:16" outlineLevel="2" x14ac:dyDescent="0.3">
      <c r="A1204" s="105" t="s">
        <v>5146</v>
      </c>
      <c r="B1204" s="106"/>
      <c r="C1204" s="106"/>
      <c r="D1204" s="106"/>
      <c r="E1204" s="106" t="s">
        <v>5147</v>
      </c>
      <c r="F1204" s="106" t="s">
        <v>5148</v>
      </c>
      <c r="G1204" s="105">
        <v>4</v>
      </c>
      <c r="H1204" s="106" t="s">
        <v>7</v>
      </c>
      <c r="I1204" s="105" t="s">
        <v>39</v>
      </c>
      <c r="J1204" s="105"/>
      <c r="K1204" s="105"/>
      <c r="L1204" s="105"/>
      <c r="M1204" s="106" t="s">
        <v>5149</v>
      </c>
      <c r="N1204" s="106" t="s">
        <v>40</v>
      </c>
      <c r="O1204" s="107"/>
      <c r="P1204" s="106" t="s">
        <v>5150</v>
      </c>
    </row>
    <row r="1205" spans="1:16" outlineLevel="2" x14ac:dyDescent="0.3">
      <c r="A1205" s="105" t="s">
        <v>5151</v>
      </c>
      <c r="B1205" s="106"/>
      <c r="C1205" s="106"/>
      <c r="D1205" s="106"/>
      <c r="E1205" s="106" t="s">
        <v>5152</v>
      </c>
      <c r="F1205" s="106" t="s">
        <v>5153</v>
      </c>
      <c r="G1205" s="105">
        <v>4</v>
      </c>
      <c r="H1205" s="106" t="s">
        <v>7</v>
      </c>
      <c r="I1205" s="105" t="s">
        <v>39</v>
      </c>
      <c r="J1205" s="105"/>
      <c r="K1205" s="105"/>
      <c r="L1205" s="105"/>
      <c r="M1205" s="106" t="s">
        <v>5154</v>
      </c>
      <c r="N1205" s="106" t="s">
        <v>40</v>
      </c>
      <c r="O1205" s="107"/>
      <c r="P1205" s="106" t="s">
        <v>5155</v>
      </c>
    </row>
    <row r="1206" spans="1:16" outlineLevel="2" x14ac:dyDescent="0.3">
      <c r="A1206" s="105" t="s">
        <v>5156</v>
      </c>
      <c r="B1206" s="106"/>
      <c r="C1206" s="106"/>
      <c r="D1206" s="106"/>
      <c r="E1206" s="106" t="s">
        <v>5157</v>
      </c>
      <c r="F1206" s="106" t="s">
        <v>5158</v>
      </c>
      <c r="G1206" s="105">
        <v>4</v>
      </c>
      <c r="H1206" s="106" t="s">
        <v>7</v>
      </c>
      <c r="I1206" s="105" t="s">
        <v>39</v>
      </c>
      <c r="J1206" s="105"/>
      <c r="K1206" s="105"/>
      <c r="L1206" s="105"/>
      <c r="M1206" s="106" t="s">
        <v>5159</v>
      </c>
      <c r="N1206" s="106" t="s">
        <v>40</v>
      </c>
      <c r="O1206" s="107"/>
      <c r="P1206" s="106" t="s">
        <v>5160</v>
      </c>
    </row>
    <row r="1207" spans="1:16" outlineLevel="2" x14ac:dyDescent="0.3">
      <c r="A1207" s="105" t="s">
        <v>5161</v>
      </c>
      <c r="B1207" s="106"/>
      <c r="C1207" s="106"/>
      <c r="D1207" s="106"/>
      <c r="E1207" s="106" t="s">
        <v>5162</v>
      </c>
      <c r="F1207" s="106" t="s">
        <v>5163</v>
      </c>
      <c r="G1207" s="105">
        <v>4</v>
      </c>
      <c r="H1207" s="106" t="s">
        <v>7</v>
      </c>
      <c r="I1207" s="105" t="s">
        <v>39</v>
      </c>
      <c r="J1207" s="105"/>
      <c r="K1207" s="105"/>
      <c r="L1207" s="105"/>
      <c r="M1207" s="106" t="s">
        <v>5164</v>
      </c>
      <c r="N1207" s="106" t="s">
        <v>40</v>
      </c>
      <c r="O1207" s="107"/>
      <c r="P1207" s="106" t="s">
        <v>5165</v>
      </c>
    </row>
    <row r="1208" spans="1:16" outlineLevel="2" x14ac:dyDescent="0.3">
      <c r="A1208" s="105" t="s">
        <v>5166</v>
      </c>
      <c r="B1208" s="106"/>
      <c r="C1208" s="106"/>
      <c r="D1208" s="106"/>
      <c r="E1208" s="106" t="s">
        <v>5167</v>
      </c>
      <c r="F1208" s="106" t="s">
        <v>5168</v>
      </c>
      <c r="G1208" s="105">
        <v>4</v>
      </c>
      <c r="H1208" s="106" t="s">
        <v>7</v>
      </c>
      <c r="I1208" s="105" t="s">
        <v>39</v>
      </c>
      <c r="J1208" s="105"/>
      <c r="K1208" s="105"/>
      <c r="L1208" s="105"/>
      <c r="M1208" s="106" t="s">
        <v>5169</v>
      </c>
      <c r="N1208" s="106" t="s">
        <v>40</v>
      </c>
      <c r="O1208" s="107"/>
      <c r="P1208" s="106" t="s">
        <v>5170</v>
      </c>
    </row>
    <row r="1209" spans="1:16" outlineLevel="2" x14ac:dyDescent="0.3">
      <c r="A1209" s="105" t="s">
        <v>5171</v>
      </c>
      <c r="B1209" s="106"/>
      <c r="C1209" s="106"/>
      <c r="D1209" s="106"/>
      <c r="E1209" s="106" t="s">
        <v>5172</v>
      </c>
      <c r="F1209" s="106" t="s">
        <v>5173</v>
      </c>
      <c r="G1209" s="105">
        <v>4</v>
      </c>
      <c r="H1209" s="106" t="s">
        <v>7</v>
      </c>
      <c r="I1209" s="105" t="s">
        <v>39</v>
      </c>
      <c r="J1209" s="105"/>
      <c r="K1209" s="105"/>
      <c r="L1209" s="105"/>
      <c r="M1209" s="106" t="s">
        <v>5174</v>
      </c>
      <c r="N1209" s="106" t="s">
        <v>223</v>
      </c>
      <c r="O1209" s="107"/>
      <c r="P1209" s="106" t="s">
        <v>5175</v>
      </c>
    </row>
    <row r="1210" spans="1:16" outlineLevel="2" x14ac:dyDescent="0.3">
      <c r="A1210" s="105" t="s">
        <v>5176</v>
      </c>
      <c r="B1210" s="106"/>
      <c r="C1210" s="106"/>
      <c r="D1210" s="106"/>
      <c r="E1210" s="106" t="s">
        <v>5177</v>
      </c>
      <c r="F1210" s="106" t="s">
        <v>5178</v>
      </c>
      <c r="G1210" s="105">
        <v>4</v>
      </c>
      <c r="H1210" s="106" t="s">
        <v>7</v>
      </c>
      <c r="I1210" s="105" t="s">
        <v>39</v>
      </c>
      <c r="J1210" s="105"/>
      <c r="K1210" s="105"/>
      <c r="L1210" s="105"/>
      <c r="M1210" s="106" t="s">
        <v>5179</v>
      </c>
      <c r="N1210" s="106" t="s">
        <v>40</v>
      </c>
      <c r="O1210" s="107"/>
      <c r="P1210" s="106" t="s">
        <v>5180</v>
      </c>
    </row>
    <row r="1211" spans="1:16" outlineLevel="2" x14ac:dyDescent="0.3">
      <c r="A1211" s="105" t="s">
        <v>5181</v>
      </c>
      <c r="B1211" s="106"/>
      <c r="C1211" s="106"/>
      <c r="D1211" s="106"/>
      <c r="E1211" s="106" t="s">
        <v>5182</v>
      </c>
      <c r="F1211" s="106" t="s">
        <v>5183</v>
      </c>
      <c r="G1211" s="105">
        <v>4</v>
      </c>
      <c r="H1211" s="106" t="s">
        <v>7</v>
      </c>
      <c r="I1211" s="105" t="s">
        <v>39</v>
      </c>
      <c r="J1211" s="105"/>
      <c r="K1211" s="105"/>
      <c r="L1211" s="105"/>
      <c r="M1211" s="106" t="s">
        <v>5184</v>
      </c>
      <c r="N1211" s="106" t="s">
        <v>40</v>
      </c>
      <c r="O1211" s="107"/>
      <c r="P1211" s="106" t="s">
        <v>5185</v>
      </c>
    </row>
    <row r="1212" spans="1:16" outlineLevel="2" x14ac:dyDescent="0.3">
      <c r="A1212" s="105" t="s">
        <v>5186</v>
      </c>
      <c r="B1212" s="106"/>
      <c r="C1212" s="106"/>
      <c r="D1212" s="106"/>
      <c r="E1212" s="106" t="s">
        <v>5187</v>
      </c>
      <c r="F1212" s="106" t="s">
        <v>5188</v>
      </c>
      <c r="G1212" s="105">
        <v>4</v>
      </c>
      <c r="H1212" s="106" t="s">
        <v>7</v>
      </c>
      <c r="I1212" s="105" t="s">
        <v>39</v>
      </c>
      <c r="J1212" s="105"/>
      <c r="K1212" s="105"/>
      <c r="L1212" s="105"/>
      <c r="M1212" s="106" t="s">
        <v>5189</v>
      </c>
      <c r="N1212" s="106" t="s">
        <v>40</v>
      </c>
      <c r="O1212" s="107"/>
      <c r="P1212" s="106" t="s">
        <v>5190</v>
      </c>
    </row>
    <row r="1213" spans="1:16" outlineLevel="2" x14ac:dyDescent="0.3">
      <c r="A1213" s="105" t="s">
        <v>5191</v>
      </c>
      <c r="B1213" s="106"/>
      <c r="C1213" s="106"/>
      <c r="D1213" s="106"/>
      <c r="E1213" s="106" t="s">
        <v>5192</v>
      </c>
      <c r="F1213" s="106" t="s">
        <v>5193</v>
      </c>
      <c r="G1213" s="105">
        <v>4</v>
      </c>
      <c r="H1213" s="106" t="s">
        <v>7</v>
      </c>
      <c r="I1213" s="105" t="s">
        <v>39</v>
      </c>
      <c r="J1213" s="105"/>
      <c r="K1213" s="105"/>
      <c r="L1213" s="105"/>
      <c r="M1213" s="106" t="s">
        <v>5194</v>
      </c>
      <c r="N1213" s="106" t="s">
        <v>40</v>
      </c>
      <c r="O1213" s="107"/>
      <c r="P1213" s="106" t="s">
        <v>5195</v>
      </c>
    </row>
    <row r="1214" spans="1:16" outlineLevel="2" x14ac:dyDescent="0.3">
      <c r="A1214" s="105" t="s">
        <v>5196</v>
      </c>
      <c r="B1214" s="106"/>
      <c r="C1214" s="106"/>
      <c r="D1214" s="106"/>
      <c r="E1214" s="106" t="s">
        <v>5197</v>
      </c>
      <c r="F1214" s="106" t="s">
        <v>5198</v>
      </c>
      <c r="G1214" s="105">
        <v>4</v>
      </c>
      <c r="H1214" s="106" t="s">
        <v>7</v>
      </c>
      <c r="I1214" s="105" t="s">
        <v>39</v>
      </c>
      <c r="J1214" s="105"/>
      <c r="K1214" s="105"/>
      <c r="L1214" s="105"/>
      <c r="M1214" s="106" t="s">
        <v>5199</v>
      </c>
      <c r="N1214" s="106" t="s">
        <v>223</v>
      </c>
      <c r="O1214" s="107"/>
      <c r="P1214" s="106" t="s">
        <v>5200</v>
      </c>
    </row>
    <row r="1215" spans="1:16" outlineLevel="2" x14ac:dyDescent="0.3">
      <c r="A1215" s="105" t="s">
        <v>5201</v>
      </c>
      <c r="B1215" s="106"/>
      <c r="C1215" s="106"/>
      <c r="D1215" s="106"/>
      <c r="E1215" s="106" t="s">
        <v>5202</v>
      </c>
      <c r="F1215" s="106" t="s">
        <v>5203</v>
      </c>
      <c r="G1215" s="105">
        <v>4</v>
      </c>
      <c r="H1215" s="106" t="s">
        <v>7</v>
      </c>
      <c r="I1215" s="105" t="s">
        <v>39</v>
      </c>
      <c r="J1215" s="105"/>
      <c r="K1215" s="105"/>
      <c r="L1215" s="105"/>
      <c r="M1215" s="106" t="s">
        <v>5204</v>
      </c>
      <c r="N1215" s="106" t="s">
        <v>40</v>
      </c>
      <c r="O1215" s="107"/>
      <c r="P1215" s="106" t="s">
        <v>5205</v>
      </c>
    </row>
    <row r="1216" spans="1:16" outlineLevel="2" x14ac:dyDescent="0.3">
      <c r="A1216" s="105" t="s">
        <v>5206</v>
      </c>
      <c r="B1216" s="106"/>
      <c r="C1216" s="106"/>
      <c r="D1216" s="106"/>
      <c r="E1216" s="106" t="s">
        <v>5207</v>
      </c>
      <c r="F1216" s="106" t="s">
        <v>5208</v>
      </c>
      <c r="G1216" s="105">
        <v>4</v>
      </c>
      <c r="H1216" s="106" t="s">
        <v>7</v>
      </c>
      <c r="I1216" s="105" t="s">
        <v>39</v>
      </c>
      <c r="J1216" s="105"/>
      <c r="K1216" s="105"/>
      <c r="L1216" s="105"/>
      <c r="M1216" s="106" t="s">
        <v>5189</v>
      </c>
      <c r="N1216" s="106" t="s">
        <v>40</v>
      </c>
      <c r="O1216" s="107"/>
      <c r="P1216" s="106" t="s">
        <v>5209</v>
      </c>
    </row>
    <row r="1217" spans="1:16" outlineLevel="2" x14ac:dyDescent="0.3">
      <c r="A1217" s="105" t="s">
        <v>5210</v>
      </c>
      <c r="B1217" s="106"/>
      <c r="C1217" s="106"/>
      <c r="D1217" s="106"/>
      <c r="E1217" s="106" t="s">
        <v>5211</v>
      </c>
      <c r="F1217" s="106" t="s">
        <v>5212</v>
      </c>
      <c r="G1217" s="105">
        <v>4</v>
      </c>
      <c r="H1217" s="106" t="s">
        <v>7</v>
      </c>
      <c r="I1217" s="105" t="s">
        <v>39</v>
      </c>
      <c r="J1217" s="105"/>
      <c r="K1217" s="105"/>
      <c r="L1217" s="105"/>
      <c r="M1217" s="106" t="s">
        <v>5213</v>
      </c>
      <c r="N1217" s="106" t="s">
        <v>40</v>
      </c>
      <c r="O1217" s="107"/>
      <c r="P1217" s="106" t="s">
        <v>5214</v>
      </c>
    </row>
    <row r="1218" spans="1:16" outlineLevel="2" x14ac:dyDescent="0.3">
      <c r="A1218" s="105" t="s">
        <v>5215</v>
      </c>
      <c r="B1218" s="106"/>
      <c r="C1218" s="106"/>
      <c r="D1218" s="106"/>
      <c r="E1218" s="106" t="s">
        <v>5216</v>
      </c>
      <c r="F1218" s="106" t="s">
        <v>5217</v>
      </c>
      <c r="G1218" s="105">
        <v>4</v>
      </c>
      <c r="H1218" s="106" t="s">
        <v>7</v>
      </c>
      <c r="I1218" s="105" t="s">
        <v>39</v>
      </c>
      <c r="J1218" s="105"/>
      <c r="K1218" s="105"/>
      <c r="L1218" s="105"/>
      <c r="M1218" s="106" t="s">
        <v>5218</v>
      </c>
      <c r="N1218" s="106" t="s">
        <v>40</v>
      </c>
      <c r="O1218" s="107"/>
      <c r="P1218" s="106" t="s">
        <v>5219</v>
      </c>
    </row>
    <row r="1219" spans="1:16" outlineLevel="2" x14ac:dyDescent="0.3">
      <c r="A1219" s="105" t="s">
        <v>5220</v>
      </c>
      <c r="B1219" s="106"/>
      <c r="C1219" s="106"/>
      <c r="D1219" s="106"/>
      <c r="E1219" s="106" t="s">
        <v>5221</v>
      </c>
      <c r="F1219" s="106" t="s">
        <v>5222</v>
      </c>
      <c r="G1219" s="105">
        <v>4</v>
      </c>
      <c r="H1219" s="106" t="s">
        <v>7</v>
      </c>
      <c r="I1219" s="105" t="s">
        <v>39</v>
      </c>
      <c r="J1219" s="105"/>
      <c r="K1219" s="105"/>
      <c r="L1219" s="105"/>
      <c r="M1219" s="106" t="s">
        <v>5223</v>
      </c>
      <c r="N1219" s="106" t="s">
        <v>40</v>
      </c>
      <c r="O1219" s="107"/>
      <c r="P1219" s="106" t="s">
        <v>5224</v>
      </c>
    </row>
    <row r="1220" spans="1:16" outlineLevel="2" x14ac:dyDescent="0.3">
      <c r="A1220" s="105" t="s">
        <v>5225</v>
      </c>
      <c r="B1220" s="106"/>
      <c r="C1220" s="106"/>
      <c r="D1220" s="106"/>
      <c r="E1220" s="106" t="s">
        <v>5226</v>
      </c>
      <c r="F1220" s="106" t="s">
        <v>5227</v>
      </c>
      <c r="G1220" s="105">
        <v>4</v>
      </c>
      <c r="H1220" s="106" t="s">
        <v>7</v>
      </c>
      <c r="I1220" s="105" t="s">
        <v>39</v>
      </c>
      <c r="J1220" s="105"/>
      <c r="K1220" s="105"/>
      <c r="L1220" s="105"/>
      <c r="M1220" s="106" t="s">
        <v>5228</v>
      </c>
      <c r="N1220" s="106" t="s">
        <v>40</v>
      </c>
      <c r="O1220" s="107"/>
      <c r="P1220" s="106" t="s">
        <v>5229</v>
      </c>
    </row>
    <row r="1221" spans="1:16" outlineLevel="1" x14ac:dyDescent="0.3">
      <c r="A1221" s="243" t="s">
        <v>5230</v>
      </c>
      <c r="B1221" s="244"/>
      <c r="C1221" s="245" t="s">
        <v>5231</v>
      </c>
      <c r="D1221" s="244"/>
      <c r="E1221" s="244"/>
      <c r="F1221" s="244"/>
      <c r="G1221" s="243">
        <v>2</v>
      </c>
      <c r="H1221" s="244" t="s">
        <v>25</v>
      </c>
      <c r="I1221" s="243" t="s">
        <v>39</v>
      </c>
      <c r="J1221" s="243">
        <v>7</v>
      </c>
      <c r="K1221" s="243">
        <v>0</v>
      </c>
      <c r="L1221" s="243">
        <v>5</v>
      </c>
      <c r="M1221" s="246" t="s">
        <v>5232</v>
      </c>
      <c r="N1221" s="246"/>
      <c r="O1221" s="247"/>
      <c r="P1221" s="246"/>
    </row>
    <row r="1222" spans="1:16" ht="27.6" outlineLevel="2" x14ac:dyDescent="0.3">
      <c r="A1222" s="248" t="s">
        <v>5233</v>
      </c>
      <c r="B1222" s="249"/>
      <c r="C1222" s="249"/>
      <c r="D1222" s="249" t="s">
        <v>5234</v>
      </c>
      <c r="E1222" s="249"/>
      <c r="F1222" s="249"/>
      <c r="G1222" s="248">
        <v>3</v>
      </c>
      <c r="H1222" s="249" t="s">
        <v>25</v>
      </c>
      <c r="I1222" s="248" t="s">
        <v>39</v>
      </c>
      <c r="J1222" s="248">
        <v>2</v>
      </c>
      <c r="K1222" s="248">
        <v>0</v>
      </c>
      <c r="L1222" s="248">
        <v>1</v>
      </c>
      <c r="M1222" s="250" t="s">
        <v>5235</v>
      </c>
      <c r="N1222" s="250" t="s">
        <v>223</v>
      </c>
      <c r="O1222" s="251"/>
      <c r="P1222" s="250" t="s">
        <v>5236</v>
      </c>
    </row>
    <row r="1223" spans="1:16" outlineLevel="3" x14ac:dyDescent="0.3">
      <c r="A1223" s="105" t="s">
        <v>5237</v>
      </c>
      <c r="B1223" s="106"/>
      <c r="C1223" s="106"/>
      <c r="D1223" s="106"/>
      <c r="E1223" s="106" t="s">
        <v>5238</v>
      </c>
      <c r="F1223" s="106" t="s">
        <v>5239</v>
      </c>
      <c r="G1223" s="105">
        <v>4</v>
      </c>
      <c r="H1223" s="106" t="s">
        <v>7</v>
      </c>
      <c r="I1223" s="105" t="s">
        <v>39</v>
      </c>
      <c r="J1223" s="105"/>
      <c r="K1223" s="105"/>
      <c r="L1223" s="105"/>
      <c r="M1223" s="106" t="s">
        <v>5240</v>
      </c>
      <c r="N1223" s="106" t="s">
        <v>223</v>
      </c>
      <c r="O1223" s="107"/>
      <c r="P1223" s="106" t="s">
        <v>5241</v>
      </c>
    </row>
    <row r="1224" spans="1:16" outlineLevel="3" x14ac:dyDescent="0.3">
      <c r="A1224" s="105" t="s">
        <v>5242</v>
      </c>
      <c r="B1224" s="106"/>
      <c r="C1224" s="106"/>
      <c r="D1224" s="106"/>
      <c r="E1224" s="106" t="s">
        <v>5243</v>
      </c>
      <c r="F1224" s="106" t="s">
        <v>5244</v>
      </c>
      <c r="G1224" s="105">
        <v>4</v>
      </c>
      <c r="H1224" s="106" t="s">
        <v>7</v>
      </c>
      <c r="I1224" s="105" t="s">
        <v>39</v>
      </c>
      <c r="J1224" s="105"/>
      <c r="K1224" s="105"/>
      <c r="L1224" s="105"/>
      <c r="M1224" s="106" t="s">
        <v>5245</v>
      </c>
      <c r="N1224" s="106" t="s">
        <v>287</v>
      </c>
      <c r="O1224" s="107"/>
      <c r="P1224" s="106"/>
    </row>
    <row r="1225" spans="1:16" ht="27.6" outlineLevel="2" x14ac:dyDescent="0.3">
      <c r="A1225" s="248" t="s">
        <v>5246</v>
      </c>
      <c r="B1225" s="249"/>
      <c r="C1225" s="249"/>
      <c r="D1225" s="249" t="s">
        <v>5247</v>
      </c>
      <c r="E1225" s="249"/>
      <c r="F1225" s="249"/>
      <c r="G1225" s="248">
        <v>3</v>
      </c>
      <c r="H1225" s="249" t="s">
        <v>25</v>
      </c>
      <c r="I1225" s="248" t="s">
        <v>39</v>
      </c>
      <c r="J1225" s="248">
        <v>5</v>
      </c>
      <c r="K1225" s="248">
        <v>0</v>
      </c>
      <c r="L1225" s="248">
        <v>4</v>
      </c>
      <c r="M1225" s="250" t="s">
        <v>5248</v>
      </c>
      <c r="N1225" s="250" t="s">
        <v>223</v>
      </c>
      <c r="O1225" s="251"/>
      <c r="P1225" s="250" t="s">
        <v>5236</v>
      </c>
    </row>
    <row r="1226" spans="1:16" outlineLevel="3" x14ac:dyDescent="0.3">
      <c r="A1226" s="105" t="s">
        <v>5249</v>
      </c>
      <c r="B1226" s="106"/>
      <c r="C1226" s="106"/>
      <c r="D1226" s="106"/>
      <c r="E1226" s="106" t="s">
        <v>5250</v>
      </c>
      <c r="F1226" s="106" t="s">
        <v>5251</v>
      </c>
      <c r="G1226" s="105">
        <v>4</v>
      </c>
      <c r="H1226" s="106" t="s">
        <v>7</v>
      </c>
      <c r="I1226" s="105" t="s">
        <v>39</v>
      </c>
      <c r="J1226" s="105"/>
      <c r="K1226" s="105"/>
      <c r="L1226" s="105"/>
      <c r="M1226" s="106" t="s">
        <v>5252</v>
      </c>
      <c r="N1226" s="106" t="s">
        <v>223</v>
      </c>
      <c r="O1226" s="107"/>
      <c r="P1226" s="106" t="s">
        <v>5253</v>
      </c>
    </row>
    <row r="1227" spans="1:16" outlineLevel="3" x14ac:dyDescent="0.3">
      <c r="A1227" s="105" t="s">
        <v>5254</v>
      </c>
      <c r="B1227" s="106"/>
      <c r="C1227" s="106"/>
      <c r="D1227" s="106"/>
      <c r="E1227" s="106" t="s">
        <v>5255</v>
      </c>
      <c r="F1227" s="106" t="s">
        <v>5256</v>
      </c>
      <c r="G1227" s="105">
        <v>4</v>
      </c>
      <c r="H1227" s="106" t="s">
        <v>7</v>
      </c>
      <c r="I1227" s="105" t="s">
        <v>39</v>
      </c>
      <c r="J1227" s="105"/>
      <c r="K1227" s="105"/>
      <c r="L1227" s="105"/>
      <c r="M1227" s="106" t="s">
        <v>5257</v>
      </c>
      <c r="N1227" s="106" t="s">
        <v>40</v>
      </c>
      <c r="O1227" s="107"/>
      <c r="P1227" s="106" t="s">
        <v>5258</v>
      </c>
    </row>
    <row r="1228" spans="1:16" outlineLevel="3" x14ac:dyDescent="0.3">
      <c r="A1228" s="105" t="s">
        <v>5259</v>
      </c>
      <c r="B1228" s="106"/>
      <c r="C1228" s="106"/>
      <c r="D1228" s="106"/>
      <c r="E1228" s="106" t="s">
        <v>5260</v>
      </c>
      <c r="F1228" s="106" t="s">
        <v>5261</v>
      </c>
      <c r="G1228" s="105">
        <v>4</v>
      </c>
      <c r="H1228" s="106" t="s">
        <v>7</v>
      </c>
      <c r="I1228" s="105" t="s">
        <v>39</v>
      </c>
      <c r="J1228" s="105"/>
      <c r="K1228" s="105"/>
      <c r="L1228" s="105"/>
      <c r="M1228" s="106" t="s">
        <v>5262</v>
      </c>
      <c r="N1228" s="106" t="s">
        <v>223</v>
      </c>
      <c r="O1228" s="107"/>
      <c r="P1228" s="106" t="s">
        <v>5263</v>
      </c>
    </row>
    <row r="1229" spans="1:16" outlineLevel="3" x14ac:dyDescent="0.3">
      <c r="A1229" s="105" t="s">
        <v>5264</v>
      </c>
      <c r="B1229" s="106"/>
      <c r="C1229" s="106"/>
      <c r="D1229" s="106"/>
      <c r="E1229" s="106" t="s">
        <v>5265</v>
      </c>
      <c r="F1229" s="106" t="s">
        <v>5266</v>
      </c>
      <c r="G1229" s="105">
        <v>4</v>
      </c>
      <c r="H1229" s="106" t="s">
        <v>7</v>
      </c>
      <c r="I1229" s="105" t="s">
        <v>39</v>
      </c>
      <c r="J1229" s="105"/>
      <c r="K1229" s="105"/>
      <c r="L1229" s="105"/>
      <c r="M1229" s="106" t="s">
        <v>5267</v>
      </c>
      <c r="N1229" s="106" t="s">
        <v>223</v>
      </c>
      <c r="O1229" s="107"/>
      <c r="P1229" s="106" t="s">
        <v>5268</v>
      </c>
    </row>
    <row r="1230" spans="1:16" outlineLevel="3" x14ac:dyDescent="0.3">
      <c r="A1230" s="105" t="s">
        <v>5269</v>
      </c>
      <c r="B1230" s="106"/>
      <c r="C1230" s="106"/>
      <c r="D1230" s="106"/>
      <c r="E1230" s="106" t="s">
        <v>5270</v>
      </c>
      <c r="F1230" s="106" t="s">
        <v>5271</v>
      </c>
      <c r="G1230" s="105">
        <v>4</v>
      </c>
      <c r="H1230" s="106" t="s">
        <v>7</v>
      </c>
      <c r="I1230" s="105" t="s">
        <v>39</v>
      </c>
      <c r="J1230" s="105"/>
      <c r="K1230" s="105"/>
      <c r="L1230" s="105"/>
      <c r="M1230" s="106"/>
      <c r="N1230" s="106" t="s">
        <v>287</v>
      </c>
      <c r="O1230" s="107"/>
      <c r="P1230" s="106" t="s">
        <v>5272</v>
      </c>
    </row>
    <row r="1231" spans="1:16" ht="27.6" outlineLevel="1" x14ac:dyDescent="0.3">
      <c r="A1231" s="243" t="s">
        <v>5273</v>
      </c>
      <c r="B1231" s="244"/>
      <c r="C1231" s="245" t="s">
        <v>5274</v>
      </c>
      <c r="D1231" s="244"/>
      <c r="E1231" s="244"/>
      <c r="F1231" s="244"/>
      <c r="G1231" s="243">
        <v>2</v>
      </c>
      <c r="H1231" s="244" t="s">
        <v>25</v>
      </c>
      <c r="I1231" s="243" t="s">
        <v>39</v>
      </c>
      <c r="J1231" s="243">
        <v>18</v>
      </c>
      <c r="K1231" s="243">
        <v>0</v>
      </c>
      <c r="L1231" s="243">
        <v>17</v>
      </c>
      <c r="M1231" s="246" t="s">
        <v>5275</v>
      </c>
      <c r="N1231" s="246"/>
      <c r="O1231" s="247"/>
      <c r="P1231" s="246"/>
    </row>
    <row r="1232" spans="1:16" ht="27.6" outlineLevel="2" x14ac:dyDescent="0.3">
      <c r="A1232" s="248" t="s">
        <v>5276</v>
      </c>
      <c r="B1232" s="249"/>
      <c r="C1232" s="249"/>
      <c r="D1232" s="249" t="s">
        <v>5234</v>
      </c>
      <c r="E1232" s="249"/>
      <c r="F1232" s="249"/>
      <c r="G1232" s="248">
        <v>3</v>
      </c>
      <c r="H1232" s="249" t="s">
        <v>25</v>
      </c>
      <c r="I1232" s="248" t="s">
        <v>39</v>
      </c>
      <c r="J1232" s="248">
        <v>6</v>
      </c>
      <c r="K1232" s="248">
        <v>0</v>
      </c>
      <c r="L1232" s="248">
        <v>5</v>
      </c>
      <c r="M1232" s="250" t="s">
        <v>5277</v>
      </c>
      <c r="N1232" s="250" t="s">
        <v>223</v>
      </c>
      <c r="O1232" s="251"/>
      <c r="P1232" s="250" t="s">
        <v>5236</v>
      </c>
    </row>
    <row r="1233" spans="1:16" outlineLevel="3" x14ac:dyDescent="0.3">
      <c r="A1233" s="105" t="s">
        <v>5278</v>
      </c>
      <c r="B1233" s="106"/>
      <c r="C1233" s="106"/>
      <c r="D1233" s="106"/>
      <c r="E1233" s="106" t="s">
        <v>5279</v>
      </c>
      <c r="F1233" s="106" t="s">
        <v>5280</v>
      </c>
      <c r="G1233" s="105">
        <v>4</v>
      </c>
      <c r="H1233" s="106" t="s">
        <v>7</v>
      </c>
      <c r="I1233" s="105" t="s">
        <v>39</v>
      </c>
      <c r="J1233" s="105"/>
      <c r="K1233" s="105"/>
      <c r="L1233" s="105"/>
      <c r="M1233" s="106"/>
      <c r="N1233" s="106" t="s">
        <v>287</v>
      </c>
      <c r="O1233" s="107"/>
      <c r="P1233" s="106"/>
    </row>
    <row r="1234" spans="1:16" outlineLevel="3" x14ac:dyDescent="0.3">
      <c r="A1234" s="105" t="s">
        <v>5281</v>
      </c>
      <c r="B1234" s="106"/>
      <c r="C1234" s="106"/>
      <c r="D1234" s="106"/>
      <c r="E1234" s="106" t="s">
        <v>5282</v>
      </c>
      <c r="F1234" s="106" t="s">
        <v>5283</v>
      </c>
      <c r="G1234" s="105">
        <v>4</v>
      </c>
      <c r="H1234" s="106" t="s">
        <v>7</v>
      </c>
      <c r="I1234" s="105" t="s">
        <v>39</v>
      </c>
      <c r="J1234" s="105"/>
      <c r="K1234" s="105"/>
      <c r="L1234" s="105"/>
      <c r="M1234" s="106" t="s">
        <v>5284</v>
      </c>
      <c r="N1234" s="106" t="s">
        <v>223</v>
      </c>
      <c r="O1234" s="107"/>
      <c r="P1234" s="106" t="s">
        <v>5285</v>
      </c>
    </row>
    <row r="1235" spans="1:16" outlineLevel="3" x14ac:dyDescent="0.3">
      <c r="A1235" s="105" t="s">
        <v>5286</v>
      </c>
      <c r="B1235" s="106"/>
      <c r="C1235" s="106"/>
      <c r="D1235" s="106"/>
      <c r="E1235" s="106" t="s">
        <v>5287</v>
      </c>
      <c r="F1235" s="106" t="s">
        <v>5288</v>
      </c>
      <c r="G1235" s="105">
        <v>4</v>
      </c>
      <c r="H1235" s="106" t="s">
        <v>7</v>
      </c>
      <c r="I1235" s="105" t="s">
        <v>39</v>
      </c>
      <c r="J1235" s="105"/>
      <c r="K1235" s="105"/>
      <c r="L1235" s="105"/>
      <c r="M1235" s="106" t="s">
        <v>5289</v>
      </c>
      <c r="N1235" s="106" t="s">
        <v>223</v>
      </c>
      <c r="O1235" s="107"/>
      <c r="P1235" s="106" t="s">
        <v>5290</v>
      </c>
    </row>
    <row r="1236" spans="1:16" outlineLevel="3" x14ac:dyDescent="0.3">
      <c r="A1236" s="105" t="s">
        <v>5291</v>
      </c>
      <c r="B1236" s="106"/>
      <c r="C1236" s="106"/>
      <c r="D1236" s="106"/>
      <c r="E1236" s="106" t="s">
        <v>5292</v>
      </c>
      <c r="F1236" s="106" t="s">
        <v>5293</v>
      </c>
      <c r="G1236" s="105">
        <v>4</v>
      </c>
      <c r="H1236" s="106" t="s">
        <v>7</v>
      </c>
      <c r="I1236" s="105" t="s">
        <v>39</v>
      </c>
      <c r="J1236" s="105"/>
      <c r="K1236" s="105"/>
      <c r="L1236" s="105"/>
      <c r="M1236" s="106" t="s">
        <v>5294</v>
      </c>
      <c r="N1236" s="106" t="s">
        <v>223</v>
      </c>
      <c r="O1236" s="107"/>
      <c r="P1236" s="106" t="s">
        <v>5295</v>
      </c>
    </row>
    <row r="1237" spans="1:16" outlineLevel="3" x14ac:dyDescent="0.3">
      <c r="A1237" s="105" t="s">
        <v>5296</v>
      </c>
      <c r="B1237" s="106"/>
      <c r="C1237" s="106"/>
      <c r="D1237" s="106"/>
      <c r="E1237" s="106" t="s">
        <v>5297</v>
      </c>
      <c r="F1237" s="106" t="s">
        <v>5298</v>
      </c>
      <c r="G1237" s="105">
        <v>4</v>
      </c>
      <c r="H1237" s="106" t="s">
        <v>7</v>
      </c>
      <c r="I1237" s="105" t="s">
        <v>39</v>
      </c>
      <c r="J1237" s="105"/>
      <c r="K1237" s="105"/>
      <c r="L1237" s="105"/>
      <c r="M1237" s="106" t="s">
        <v>5299</v>
      </c>
      <c r="N1237" s="106" t="s">
        <v>40</v>
      </c>
      <c r="O1237" s="107"/>
      <c r="P1237" s="106" t="s">
        <v>5300</v>
      </c>
    </row>
    <row r="1238" spans="1:16" outlineLevel="3" x14ac:dyDescent="0.3">
      <c r="A1238" s="105" t="s">
        <v>5301</v>
      </c>
      <c r="B1238" s="106"/>
      <c r="C1238" s="106"/>
      <c r="D1238" s="106"/>
      <c r="E1238" s="106" t="s">
        <v>5302</v>
      </c>
      <c r="F1238" s="106" t="s">
        <v>5303</v>
      </c>
      <c r="G1238" s="105">
        <v>4</v>
      </c>
      <c r="H1238" s="106" t="s">
        <v>7</v>
      </c>
      <c r="I1238" s="105" t="s">
        <v>39</v>
      </c>
      <c r="J1238" s="105"/>
      <c r="K1238" s="105"/>
      <c r="L1238" s="105"/>
      <c r="M1238" s="106" t="s">
        <v>5304</v>
      </c>
      <c r="N1238" s="106" t="s">
        <v>40</v>
      </c>
      <c r="O1238" s="107"/>
      <c r="P1238" s="106" t="s">
        <v>5305</v>
      </c>
    </row>
    <row r="1239" spans="1:16" ht="27.6" outlineLevel="2" x14ac:dyDescent="0.3">
      <c r="A1239" s="248" t="s">
        <v>5306</v>
      </c>
      <c r="B1239" s="249"/>
      <c r="C1239" s="249"/>
      <c r="D1239" s="249" t="s">
        <v>5247</v>
      </c>
      <c r="E1239" s="249"/>
      <c r="F1239" s="249"/>
      <c r="G1239" s="248">
        <v>3</v>
      </c>
      <c r="H1239" s="249" t="s">
        <v>25</v>
      </c>
      <c r="I1239" s="248" t="s">
        <v>39</v>
      </c>
      <c r="J1239" s="248">
        <v>12</v>
      </c>
      <c r="K1239" s="248">
        <v>0</v>
      </c>
      <c r="L1239" s="248">
        <v>12</v>
      </c>
      <c r="M1239" s="250" t="s">
        <v>5307</v>
      </c>
      <c r="N1239" s="250" t="s">
        <v>223</v>
      </c>
      <c r="O1239" s="251"/>
      <c r="P1239" s="250" t="s">
        <v>5236</v>
      </c>
    </row>
    <row r="1240" spans="1:16" outlineLevel="3" x14ac:dyDescent="0.3">
      <c r="A1240" s="105" t="s">
        <v>5308</v>
      </c>
      <c r="B1240" s="106"/>
      <c r="C1240" s="106"/>
      <c r="D1240" s="106"/>
      <c r="E1240" s="106" t="s">
        <v>5309</v>
      </c>
      <c r="F1240" s="106" t="s">
        <v>5310</v>
      </c>
      <c r="G1240" s="105">
        <v>4</v>
      </c>
      <c r="H1240" s="106" t="s">
        <v>7</v>
      </c>
      <c r="I1240" s="105" t="s">
        <v>39</v>
      </c>
      <c r="J1240" s="105"/>
      <c r="K1240" s="105"/>
      <c r="L1240" s="105"/>
      <c r="M1240" s="106" t="s">
        <v>5311</v>
      </c>
      <c r="N1240" s="106" t="s">
        <v>40</v>
      </c>
      <c r="O1240" s="107"/>
      <c r="P1240" s="106" t="s">
        <v>5312</v>
      </c>
    </row>
    <row r="1241" spans="1:16" outlineLevel="3" x14ac:dyDescent="0.3">
      <c r="A1241" s="105" t="s">
        <v>5313</v>
      </c>
      <c r="B1241" s="106"/>
      <c r="C1241" s="106"/>
      <c r="D1241" s="106"/>
      <c r="E1241" s="106" t="s">
        <v>5314</v>
      </c>
      <c r="F1241" s="106" t="s">
        <v>5315</v>
      </c>
      <c r="G1241" s="105">
        <v>4</v>
      </c>
      <c r="H1241" s="106" t="s">
        <v>7</v>
      </c>
      <c r="I1241" s="105" t="s">
        <v>39</v>
      </c>
      <c r="J1241" s="105"/>
      <c r="K1241" s="105"/>
      <c r="L1241" s="105"/>
      <c r="M1241" s="106" t="s">
        <v>5316</v>
      </c>
      <c r="N1241" s="106" t="s">
        <v>40</v>
      </c>
      <c r="O1241" s="107"/>
      <c r="P1241" s="106" t="s">
        <v>5317</v>
      </c>
    </row>
    <row r="1242" spans="1:16" outlineLevel="3" x14ac:dyDescent="0.3">
      <c r="A1242" s="105" t="s">
        <v>5318</v>
      </c>
      <c r="B1242" s="106"/>
      <c r="C1242" s="106"/>
      <c r="D1242" s="106"/>
      <c r="E1242" s="106" t="s">
        <v>5319</v>
      </c>
      <c r="F1242" s="106" t="s">
        <v>5320</v>
      </c>
      <c r="G1242" s="105">
        <v>4</v>
      </c>
      <c r="H1242" s="106" t="s">
        <v>7</v>
      </c>
      <c r="I1242" s="105" t="s">
        <v>39</v>
      </c>
      <c r="J1242" s="105"/>
      <c r="K1242" s="105"/>
      <c r="L1242" s="105"/>
      <c r="M1242" s="106" t="s">
        <v>5321</v>
      </c>
      <c r="N1242" s="106" t="s">
        <v>223</v>
      </c>
      <c r="O1242" s="107"/>
      <c r="P1242" s="106" t="s">
        <v>5322</v>
      </c>
    </row>
    <row r="1243" spans="1:16" outlineLevel="3" x14ac:dyDescent="0.3">
      <c r="A1243" s="105" t="s">
        <v>5323</v>
      </c>
      <c r="B1243" s="106"/>
      <c r="C1243" s="106"/>
      <c r="D1243" s="106"/>
      <c r="E1243" s="106" t="s">
        <v>5324</v>
      </c>
      <c r="F1243" s="106" t="s">
        <v>5325</v>
      </c>
      <c r="G1243" s="105">
        <v>4</v>
      </c>
      <c r="H1243" s="106" t="s">
        <v>7</v>
      </c>
      <c r="I1243" s="105" t="s">
        <v>39</v>
      </c>
      <c r="J1243" s="105"/>
      <c r="K1243" s="105"/>
      <c r="L1243" s="105"/>
      <c r="M1243" s="106" t="s">
        <v>5326</v>
      </c>
      <c r="N1243" s="106" t="s">
        <v>40</v>
      </c>
      <c r="O1243" s="107"/>
      <c r="P1243" s="106" t="s">
        <v>5327</v>
      </c>
    </row>
    <row r="1244" spans="1:16" outlineLevel="3" x14ac:dyDescent="0.3">
      <c r="A1244" s="105" t="s">
        <v>5328</v>
      </c>
      <c r="B1244" s="106"/>
      <c r="C1244" s="106"/>
      <c r="D1244" s="106"/>
      <c r="E1244" s="106" t="s">
        <v>5329</v>
      </c>
      <c r="F1244" s="106" t="s">
        <v>5330</v>
      </c>
      <c r="G1244" s="105">
        <v>4</v>
      </c>
      <c r="H1244" s="106" t="s">
        <v>7</v>
      </c>
      <c r="I1244" s="105" t="s">
        <v>39</v>
      </c>
      <c r="J1244" s="105"/>
      <c r="K1244" s="105"/>
      <c r="L1244" s="105"/>
      <c r="M1244" s="106" t="s">
        <v>5331</v>
      </c>
      <c r="N1244" s="106" t="s">
        <v>40</v>
      </c>
      <c r="O1244" s="107"/>
      <c r="P1244" s="106" t="s">
        <v>5332</v>
      </c>
    </row>
    <row r="1245" spans="1:16" outlineLevel="3" x14ac:dyDescent="0.3">
      <c r="A1245" s="105" t="s">
        <v>5333</v>
      </c>
      <c r="B1245" s="106"/>
      <c r="C1245" s="106"/>
      <c r="D1245" s="106"/>
      <c r="E1245" s="106" t="s">
        <v>5334</v>
      </c>
      <c r="F1245" s="106" t="s">
        <v>5335</v>
      </c>
      <c r="G1245" s="105">
        <v>4</v>
      </c>
      <c r="H1245" s="106" t="s">
        <v>7</v>
      </c>
      <c r="I1245" s="105" t="s">
        <v>39</v>
      </c>
      <c r="J1245" s="105"/>
      <c r="K1245" s="105"/>
      <c r="L1245" s="105"/>
      <c r="M1245" s="106" t="s">
        <v>5336</v>
      </c>
      <c r="N1245" s="106" t="s">
        <v>40</v>
      </c>
      <c r="O1245" s="107"/>
      <c r="P1245" s="106" t="s">
        <v>5337</v>
      </c>
    </row>
    <row r="1246" spans="1:16" outlineLevel="3" x14ac:dyDescent="0.3">
      <c r="A1246" s="105" t="s">
        <v>5338</v>
      </c>
      <c r="B1246" s="106"/>
      <c r="C1246" s="106"/>
      <c r="D1246" s="106"/>
      <c r="E1246" s="106" t="s">
        <v>5339</v>
      </c>
      <c r="F1246" s="106" t="s">
        <v>5340</v>
      </c>
      <c r="G1246" s="105">
        <v>4</v>
      </c>
      <c r="H1246" s="106" t="s">
        <v>7</v>
      </c>
      <c r="I1246" s="105" t="s">
        <v>39</v>
      </c>
      <c r="J1246" s="105"/>
      <c r="K1246" s="105"/>
      <c r="L1246" s="105"/>
      <c r="M1246" s="106" t="s">
        <v>5341</v>
      </c>
      <c r="N1246" s="106" t="s">
        <v>223</v>
      </c>
      <c r="O1246" s="107"/>
      <c r="P1246" s="106" t="s">
        <v>5342</v>
      </c>
    </row>
    <row r="1247" spans="1:16" outlineLevel="3" x14ac:dyDescent="0.3">
      <c r="A1247" s="105" t="s">
        <v>5343</v>
      </c>
      <c r="B1247" s="106"/>
      <c r="C1247" s="106"/>
      <c r="D1247" s="106"/>
      <c r="E1247" s="106" t="s">
        <v>5344</v>
      </c>
      <c r="F1247" s="106" t="s">
        <v>5345</v>
      </c>
      <c r="G1247" s="105">
        <v>4</v>
      </c>
      <c r="H1247" s="106" t="s">
        <v>7</v>
      </c>
      <c r="I1247" s="105" t="s">
        <v>39</v>
      </c>
      <c r="J1247" s="105"/>
      <c r="K1247" s="105"/>
      <c r="L1247" s="105"/>
      <c r="M1247" s="106" t="s">
        <v>5346</v>
      </c>
      <c r="N1247" s="106" t="s">
        <v>40</v>
      </c>
      <c r="O1247" s="107"/>
      <c r="P1247" s="106" t="s">
        <v>5347</v>
      </c>
    </row>
    <row r="1248" spans="1:16" outlineLevel="3" x14ac:dyDescent="0.3">
      <c r="A1248" s="105" t="s">
        <v>5348</v>
      </c>
      <c r="B1248" s="106"/>
      <c r="C1248" s="106"/>
      <c r="D1248" s="106"/>
      <c r="E1248" s="106" t="s">
        <v>5349</v>
      </c>
      <c r="F1248" s="106" t="s">
        <v>5350</v>
      </c>
      <c r="G1248" s="105">
        <v>4</v>
      </c>
      <c r="H1248" s="106" t="s">
        <v>7</v>
      </c>
      <c r="I1248" s="105" t="s">
        <v>39</v>
      </c>
      <c r="J1248" s="105"/>
      <c r="K1248" s="105"/>
      <c r="L1248" s="105"/>
      <c r="M1248" s="106" t="s">
        <v>5351</v>
      </c>
      <c r="N1248" s="106" t="s">
        <v>40</v>
      </c>
      <c r="O1248" s="107"/>
      <c r="P1248" s="106" t="s">
        <v>5352</v>
      </c>
    </row>
    <row r="1249" spans="1:16" outlineLevel="3" x14ac:dyDescent="0.3">
      <c r="A1249" s="105" t="s">
        <v>5353</v>
      </c>
      <c r="B1249" s="106"/>
      <c r="C1249" s="106"/>
      <c r="D1249" s="106"/>
      <c r="E1249" s="106" t="s">
        <v>5354</v>
      </c>
      <c r="F1249" s="106" t="s">
        <v>5355</v>
      </c>
      <c r="G1249" s="105">
        <v>4</v>
      </c>
      <c r="H1249" s="106" t="s">
        <v>7</v>
      </c>
      <c r="I1249" s="105" t="s">
        <v>39</v>
      </c>
      <c r="J1249" s="105"/>
      <c r="K1249" s="105"/>
      <c r="L1249" s="105"/>
      <c r="M1249" s="106" t="s">
        <v>5356</v>
      </c>
      <c r="N1249" s="106" t="s">
        <v>40</v>
      </c>
      <c r="O1249" s="107" t="s">
        <v>332</v>
      </c>
      <c r="P1249" s="106" t="s">
        <v>5357</v>
      </c>
    </row>
    <row r="1250" spans="1:16" outlineLevel="3" x14ac:dyDescent="0.3">
      <c r="A1250" s="105" t="s">
        <v>5358</v>
      </c>
      <c r="B1250" s="106"/>
      <c r="C1250" s="106"/>
      <c r="D1250" s="106"/>
      <c r="E1250" s="106" t="s">
        <v>5359</v>
      </c>
      <c r="F1250" s="106" t="s">
        <v>5360</v>
      </c>
      <c r="G1250" s="105">
        <v>4</v>
      </c>
      <c r="H1250" s="106" t="s">
        <v>7</v>
      </c>
      <c r="I1250" s="105" t="s">
        <v>39</v>
      </c>
      <c r="J1250" s="105"/>
      <c r="K1250" s="105"/>
      <c r="L1250" s="105"/>
      <c r="M1250" s="106" t="s">
        <v>5361</v>
      </c>
      <c r="N1250" s="106" t="s">
        <v>40</v>
      </c>
      <c r="O1250" s="107"/>
      <c r="P1250" s="106" t="s">
        <v>5362</v>
      </c>
    </row>
    <row r="1251" spans="1:16" outlineLevel="3" x14ac:dyDescent="0.3">
      <c r="A1251" s="105" t="s">
        <v>5363</v>
      </c>
      <c r="B1251" s="106"/>
      <c r="C1251" s="106"/>
      <c r="D1251" s="106"/>
      <c r="E1251" s="106" t="s">
        <v>5364</v>
      </c>
      <c r="F1251" s="106" t="s">
        <v>5365</v>
      </c>
      <c r="G1251" s="105">
        <v>4</v>
      </c>
      <c r="H1251" s="106" t="s">
        <v>7</v>
      </c>
      <c r="I1251" s="105" t="s">
        <v>39</v>
      </c>
      <c r="J1251" s="105"/>
      <c r="K1251" s="105"/>
      <c r="L1251" s="105"/>
      <c r="M1251" s="106" t="s">
        <v>5366</v>
      </c>
      <c r="N1251" s="106" t="s">
        <v>40</v>
      </c>
      <c r="O1251" s="107"/>
      <c r="P1251" s="106" t="s">
        <v>5367</v>
      </c>
    </row>
    <row r="1252" spans="1:16" ht="27.6" outlineLevel="1" x14ac:dyDescent="0.3">
      <c r="A1252" s="243" t="s">
        <v>5368</v>
      </c>
      <c r="B1252" s="244"/>
      <c r="C1252" s="245" t="s">
        <v>5369</v>
      </c>
      <c r="D1252" s="244"/>
      <c r="E1252" s="244"/>
      <c r="F1252" s="244"/>
      <c r="G1252" s="243">
        <v>2</v>
      </c>
      <c r="H1252" s="244" t="s">
        <v>25</v>
      </c>
      <c r="I1252" s="243" t="s">
        <v>39</v>
      </c>
      <c r="J1252" s="243">
        <v>7</v>
      </c>
      <c r="K1252" s="243">
        <v>0</v>
      </c>
      <c r="L1252" s="243">
        <v>7</v>
      </c>
      <c r="M1252" s="246" t="s">
        <v>5370</v>
      </c>
      <c r="N1252" s="246" t="s">
        <v>223</v>
      </c>
      <c r="O1252" s="247"/>
      <c r="P1252" s="246" t="s">
        <v>5236</v>
      </c>
    </row>
    <row r="1253" spans="1:16" outlineLevel="2" x14ac:dyDescent="0.3">
      <c r="A1253" s="105" t="s">
        <v>5371</v>
      </c>
      <c r="B1253" s="106"/>
      <c r="C1253" s="106"/>
      <c r="D1253" s="106"/>
      <c r="E1253" s="106" t="s">
        <v>5372</v>
      </c>
      <c r="F1253" s="106" t="s">
        <v>5373</v>
      </c>
      <c r="G1253" s="105">
        <v>4</v>
      </c>
      <c r="H1253" s="106" t="s">
        <v>7</v>
      </c>
      <c r="I1253" s="105" t="s">
        <v>39</v>
      </c>
      <c r="J1253" s="105"/>
      <c r="K1253" s="105"/>
      <c r="L1253" s="105"/>
      <c r="M1253" s="106" t="s">
        <v>5374</v>
      </c>
      <c r="N1253" s="106" t="s">
        <v>40</v>
      </c>
      <c r="O1253" s="107"/>
      <c r="P1253" s="106" t="s">
        <v>5375</v>
      </c>
    </row>
    <row r="1254" spans="1:16" outlineLevel="2" x14ac:dyDescent="0.3">
      <c r="A1254" s="105" t="s">
        <v>5376</v>
      </c>
      <c r="B1254" s="106"/>
      <c r="C1254" s="106"/>
      <c r="D1254" s="106"/>
      <c r="E1254" s="106" t="s">
        <v>5377</v>
      </c>
      <c r="F1254" s="106" t="s">
        <v>5378</v>
      </c>
      <c r="G1254" s="105">
        <v>4</v>
      </c>
      <c r="H1254" s="106" t="s">
        <v>7</v>
      </c>
      <c r="I1254" s="105" t="s">
        <v>39</v>
      </c>
      <c r="J1254" s="105"/>
      <c r="K1254" s="105"/>
      <c r="L1254" s="105"/>
      <c r="M1254" s="106" t="s">
        <v>5379</v>
      </c>
      <c r="N1254" s="106" t="s">
        <v>40</v>
      </c>
      <c r="O1254" s="107"/>
      <c r="P1254" s="106" t="s">
        <v>5380</v>
      </c>
    </row>
    <row r="1255" spans="1:16" outlineLevel="2" x14ac:dyDescent="0.3">
      <c r="A1255" s="105" t="s">
        <v>5381</v>
      </c>
      <c r="B1255" s="106"/>
      <c r="C1255" s="106"/>
      <c r="D1255" s="106"/>
      <c r="E1255" s="106" t="s">
        <v>5172</v>
      </c>
      <c r="F1255" s="106" t="s">
        <v>5173</v>
      </c>
      <c r="G1255" s="105">
        <v>4</v>
      </c>
      <c r="H1255" s="106" t="s">
        <v>7</v>
      </c>
      <c r="I1255" s="105" t="s">
        <v>39</v>
      </c>
      <c r="J1255" s="105"/>
      <c r="K1255" s="105"/>
      <c r="L1255" s="105"/>
      <c r="M1255" s="106" t="s">
        <v>5174</v>
      </c>
      <c r="N1255" s="106" t="s">
        <v>223</v>
      </c>
      <c r="O1255" s="107"/>
      <c r="P1255" s="106" t="s">
        <v>5382</v>
      </c>
    </row>
    <row r="1256" spans="1:16" outlineLevel="2" x14ac:dyDescent="0.3">
      <c r="A1256" s="105" t="s">
        <v>5383</v>
      </c>
      <c r="B1256" s="106"/>
      <c r="C1256" s="106"/>
      <c r="D1256" s="106"/>
      <c r="E1256" s="106" t="s">
        <v>5384</v>
      </c>
      <c r="F1256" s="106" t="s">
        <v>5385</v>
      </c>
      <c r="G1256" s="105">
        <v>4</v>
      </c>
      <c r="H1256" s="106" t="s">
        <v>7</v>
      </c>
      <c r="I1256" s="105" t="s">
        <v>39</v>
      </c>
      <c r="J1256" s="105"/>
      <c r="K1256" s="105"/>
      <c r="L1256" s="105"/>
      <c r="M1256" s="106" t="s">
        <v>5386</v>
      </c>
      <c r="N1256" s="106" t="s">
        <v>40</v>
      </c>
      <c r="O1256" s="107"/>
      <c r="P1256" s="106" t="s">
        <v>5387</v>
      </c>
    </row>
    <row r="1257" spans="1:16" outlineLevel="2" x14ac:dyDescent="0.3">
      <c r="A1257" s="105" t="s">
        <v>5388</v>
      </c>
      <c r="B1257" s="106"/>
      <c r="C1257" s="106"/>
      <c r="D1257" s="106"/>
      <c r="E1257" s="106" t="s">
        <v>5389</v>
      </c>
      <c r="F1257" s="106" t="s">
        <v>5390</v>
      </c>
      <c r="G1257" s="105">
        <v>4</v>
      </c>
      <c r="H1257" s="106" t="s">
        <v>7</v>
      </c>
      <c r="I1257" s="105" t="s">
        <v>39</v>
      </c>
      <c r="J1257" s="105"/>
      <c r="K1257" s="105"/>
      <c r="L1257" s="105"/>
      <c r="M1257" s="106" t="s">
        <v>5391</v>
      </c>
      <c r="N1257" s="106" t="s">
        <v>40</v>
      </c>
      <c r="O1257" s="107"/>
      <c r="P1257" s="106" t="s">
        <v>5392</v>
      </c>
    </row>
    <row r="1258" spans="1:16" outlineLevel="2" x14ac:dyDescent="0.3">
      <c r="A1258" s="105" t="s">
        <v>5393</v>
      </c>
      <c r="B1258" s="106"/>
      <c r="C1258" s="106"/>
      <c r="D1258" s="106"/>
      <c r="E1258" s="106" t="s">
        <v>5394</v>
      </c>
      <c r="F1258" s="106" t="s">
        <v>5395</v>
      </c>
      <c r="G1258" s="105">
        <v>4</v>
      </c>
      <c r="H1258" s="106" t="s">
        <v>7</v>
      </c>
      <c r="I1258" s="105" t="s">
        <v>39</v>
      </c>
      <c r="J1258" s="105"/>
      <c r="K1258" s="105"/>
      <c r="L1258" s="105"/>
      <c r="M1258" s="106" t="s">
        <v>5396</v>
      </c>
      <c r="N1258" s="106" t="s">
        <v>40</v>
      </c>
      <c r="O1258" s="107"/>
      <c r="P1258" s="106" t="s">
        <v>5397</v>
      </c>
    </row>
    <row r="1259" spans="1:16" outlineLevel="2" x14ac:dyDescent="0.3">
      <c r="A1259" s="105" t="s">
        <v>5398</v>
      </c>
      <c r="B1259" s="106"/>
      <c r="C1259" s="106"/>
      <c r="D1259" s="106"/>
      <c r="E1259" s="106" t="s">
        <v>5399</v>
      </c>
      <c r="F1259" s="106" t="s">
        <v>5400</v>
      </c>
      <c r="G1259" s="105">
        <v>4</v>
      </c>
      <c r="H1259" s="106" t="s">
        <v>7</v>
      </c>
      <c r="I1259" s="105" t="s">
        <v>39</v>
      </c>
      <c r="J1259" s="105"/>
      <c r="K1259" s="105"/>
      <c r="L1259" s="105"/>
      <c r="M1259" s="106" t="s">
        <v>5401</v>
      </c>
      <c r="N1259" s="106" t="s">
        <v>40</v>
      </c>
      <c r="O1259" s="107"/>
      <c r="P1259" s="106" t="s">
        <v>5402</v>
      </c>
    </row>
    <row r="1260" spans="1:16" outlineLevel="1" x14ac:dyDescent="0.3">
      <c r="A1260" s="243" t="s">
        <v>5403</v>
      </c>
      <c r="B1260" s="244"/>
      <c r="C1260" s="252" t="s">
        <v>5404</v>
      </c>
      <c r="D1260" s="253"/>
      <c r="E1260" s="244"/>
      <c r="F1260" s="244"/>
      <c r="G1260" s="243">
        <v>2</v>
      </c>
      <c r="H1260" s="253" t="s">
        <v>396</v>
      </c>
      <c r="I1260" s="243" t="s">
        <v>39</v>
      </c>
      <c r="J1260" s="243">
        <v>0</v>
      </c>
      <c r="K1260" s="243">
        <v>3</v>
      </c>
      <c r="L1260" s="243">
        <v>0</v>
      </c>
      <c r="M1260" s="246" t="s">
        <v>5405</v>
      </c>
      <c r="N1260" s="246" t="s">
        <v>4678</v>
      </c>
      <c r="O1260" s="247"/>
      <c r="P1260" s="246"/>
    </row>
    <row r="1261" spans="1:16" outlineLevel="2" x14ac:dyDescent="0.3">
      <c r="A1261" s="105" t="s">
        <v>5406</v>
      </c>
      <c r="B1261" s="106"/>
      <c r="C1261" s="106"/>
      <c r="D1261" s="106"/>
      <c r="E1261" s="106" t="s">
        <v>5407</v>
      </c>
      <c r="F1261" s="106" t="s">
        <v>13</v>
      </c>
      <c r="G1261" s="105">
        <v>4</v>
      </c>
      <c r="H1261" s="106" t="s">
        <v>7</v>
      </c>
      <c r="I1261" s="105"/>
      <c r="J1261" s="105"/>
      <c r="K1261" s="105"/>
      <c r="L1261" s="105"/>
      <c r="M1261" s="106" t="s">
        <v>5408</v>
      </c>
      <c r="N1261" s="106" t="s">
        <v>5409</v>
      </c>
      <c r="O1261" s="107" t="s">
        <v>5410</v>
      </c>
      <c r="P1261" s="106" t="s">
        <v>5411</v>
      </c>
    </row>
    <row r="1262" spans="1:16" outlineLevel="2" x14ac:dyDescent="0.3">
      <c r="A1262" s="105" t="s">
        <v>5412</v>
      </c>
      <c r="B1262" s="106"/>
      <c r="C1262" s="106"/>
      <c r="D1262" s="106"/>
      <c r="E1262" s="106" t="s">
        <v>5413</v>
      </c>
      <c r="F1262" s="106" t="s">
        <v>13</v>
      </c>
      <c r="G1262" s="105">
        <v>4</v>
      </c>
      <c r="H1262" s="106" t="s">
        <v>7</v>
      </c>
      <c r="I1262" s="105"/>
      <c r="J1262" s="105"/>
      <c r="K1262" s="105"/>
      <c r="L1262" s="105"/>
      <c r="M1262" s="106" t="s">
        <v>5414</v>
      </c>
      <c r="N1262" s="106" t="s">
        <v>5409</v>
      </c>
      <c r="O1262" s="107" t="s">
        <v>5410</v>
      </c>
      <c r="P1262" s="106" t="s">
        <v>5411</v>
      </c>
    </row>
    <row r="1263" spans="1:16" outlineLevel="2" x14ac:dyDescent="0.3">
      <c r="A1263" s="105" t="s">
        <v>5415</v>
      </c>
      <c r="B1263" s="106"/>
      <c r="C1263" s="106"/>
      <c r="D1263" s="106"/>
      <c r="E1263" s="106" t="s">
        <v>5416</v>
      </c>
      <c r="F1263" s="106" t="s">
        <v>13</v>
      </c>
      <c r="G1263" s="105">
        <v>4</v>
      </c>
      <c r="H1263" s="106" t="s">
        <v>7</v>
      </c>
      <c r="I1263" s="105"/>
      <c r="J1263" s="105"/>
      <c r="K1263" s="105"/>
      <c r="L1263" s="105"/>
      <c r="M1263" s="106" t="s">
        <v>5417</v>
      </c>
      <c r="N1263" s="106" t="s">
        <v>5418</v>
      </c>
      <c r="O1263" s="107" t="s">
        <v>5410</v>
      </c>
      <c r="P1263" s="106" t="s">
        <v>5419</v>
      </c>
    </row>
    <row r="1264" spans="1:16" x14ac:dyDescent="0.3">
      <c r="A1264" s="254" t="s">
        <v>5420</v>
      </c>
      <c r="B1264" s="255" t="s">
        <v>5421</v>
      </c>
      <c r="C1264" s="256" t="str">
        <f>COUNTIFS($G1265:$G1371,2)&amp;" subcapas"</f>
        <v>5 subcapas</v>
      </c>
      <c r="D1264" s="255"/>
      <c r="E1264" s="255"/>
      <c r="F1264" s="255"/>
      <c r="G1264" s="254">
        <v>1</v>
      </c>
      <c r="H1264" s="255" t="s">
        <v>2</v>
      </c>
      <c r="I1264" s="254"/>
      <c r="J1264" s="257">
        <f>SUMIFS(J1265:J1371,$G1265:$G1371,2)</f>
        <v>98</v>
      </c>
      <c r="K1264" s="257">
        <f>SUMIFS(K1265:K1371,$G1265:$G1371,2)</f>
        <v>4</v>
      </c>
      <c r="L1264" s="257">
        <f>SUMIFS(L1265:L1371,$G1265:$G1371,2)</f>
        <v>85</v>
      </c>
      <c r="M1264" s="258" t="s">
        <v>5422</v>
      </c>
      <c r="N1264" s="255"/>
      <c r="O1264" s="255"/>
      <c r="P1264" s="255" t="s">
        <v>5423</v>
      </c>
    </row>
    <row r="1265" spans="1:16" ht="27.6" outlineLevel="1" x14ac:dyDescent="0.3">
      <c r="A1265" s="259" t="s">
        <v>5424</v>
      </c>
      <c r="B1265" s="260"/>
      <c r="C1265" s="261" t="s">
        <v>5425</v>
      </c>
      <c r="D1265" s="260"/>
      <c r="E1265" s="260"/>
      <c r="F1265" s="260"/>
      <c r="G1265" s="259">
        <v>2</v>
      </c>
      <c r="H1265" s="260" t="s">
        <v>25</v>
      </c>
      <c r="I1265" s="259" t="s">
        <v>39</v>
      </c>
      <c r="J1265" s="259">
        <v>6</v>
      </c>
      <c r="K1265" s="259">
        <v>0</v>
      </c>
      <c r="L1265" s="259">
        <v>6</v>
      </c>
      <c r="M1265" s="262" t="s">
        <v>5426</v>
      </c>
      <c r="N1265" s="262" t="s">
        <v>40</v>
      </c>
      <c r="O1265" s="263"/>
      <c r="P1265" s="262" t="s">
        <v>5427</v>
      </c>
    </row>
    <row r="1266" spans="1:16" outlineLevel="2" x14ac:dyDescent="0.3">
      <c r="A1266" s="105" t="s">
        <v>5428</v>
      </c>
      <c r="B1266" s="106"/>
      <c r="C1266" s="106"/>
      <c r="D1266" s="106"/>
      <c r="E1266" s="106" t="s">
        <v>5429</v>
      </c>
      <c r="F1266" s="106" t="s">
        <v>5430</v>
      </c>
      <c r="G1266" s="105">
        <v>4</v>
      </c>
      <c r="H1266" s="106" t="s">
        <v>7</v>
      </c>
      <c r="I1266" s="105" t="s">
        <v>39</v>
      </c>
      <c r="J1266" s="105"/>
      <c r="K1266" s="105"/>
      <c r="L1266" s="105"/>
      <c r="M1266" s="106" t="s">
        <v>5431</v>
      </c>
      <c r="N1266" s="106" t="s">
        <v>40</v>
      </c>
      <c r="O1266" s="107"/>
      <c r="P1266" s="106" t="s">
        <v>5432</v>
      </c>
    </row>
    <row r="1267" spans="1:16" outlineLevel="2" x14ac:dyDescent="0.3">
      <c r="A1267" s="105" t="s">
        <v>5433</v>
      </c>
      <c r="B1267" s="106"/>
      <c r="C1267" s="106"/>
      <c r="D1267" s="106"/>
      <c r="E1267" s="106" t="s">
        <v>5434</v>
      </c>
      <c r="F1267" s="106" t="s">
        <v>5435</v>
      </c>
      <c r="G1267" s="105">
        <v>4</v>
      </c>
      <c r="H1267" s="106" t="s">
        <v>7</v>
      </c>
      <c r="I1267" s="105" t="s">
        <v>39</v>
      </c>
      <c r="J1267" s="105"/>
      <c r="K1267" s="105"/>
      <c r="L1267" s="105"/>
      <c r="M1267" s="106" t="s">
        <v>5436</v>
      </c>
      <c r="N1267" s="106" t="s">
        <v>40</v>
      </c>
      <c r="O1267" s="107"/>
      <c r="P1267" s="106" t="s">
        <v>5437</v>
      </c>
    </row>
    <row r="1268" spans="1:16" outlineLevel="2" x14ac:dyDescent="0.3">
      <c r="A1268" s="105" t="s">
        <v>5438</v>
      </c>
      <c r="B1268" s="106"/>
      <c r="C1268" s="106"/>
      <c r="D1268" s="106"/>
      <c r="E1268" s="106" t="s">
        <v>5439</v>
      </c>
      <c r="F1268" s="106" t="s">
        <v>5440</v>
      </c>
      <c r="G1268" s="105">
        <v>4</v>
      </c>
      <c r="H1268" s="106" t="s">
        <v>7</v>
      </c>
      <c r="I1268" s="105" t="s">
        <v>39</v>
      </c>
      <c r="J1268" s="105"/>
      <c r="K1268" s="105"/>
      <c r="L1268" s="105"/>
      <c r="M1268" s="106" t="s">
        <v>5441</v>
      </c>
      <c r="N1268" s="106" t="s">
        <v>40</v>
      </c>
      <c r="O1268" s="107"/>
      <c r="P1268" s="106" t="s">
        <v>5442</v>
      </c>
    </row>
    <row r="1269" spans="1:16" outlineLevel="2" x14ac:dyDescent="0.3">
      <c r="A1269" s="105" t="s">
        <v>5443</v>
      </c>
      <c r="B1269" s="106"/>
      <c r="C1269" s="106"/>
      <c r="D1269" s="106"/>
      <c r="E1269" s="106" t="s">
        <v>5444</v>
      </c>
      <c r="F1269" s="106" t="s">
        <v>1418</v>
      </c>
      <c r="G1269" s="105">
        <v>4</v>
      </c>
      <c r="H1269" s="106" t="s">
        <v>7</v>
      </c>
      <c r="I1269" s="105" t="s">
        <v>39</v>
      </c>
      <c r="J1269" s="105"/>
      <c r="K1269" s="105"/>
      <c r="L1269" s="105"/>
      <c r="M1269" s="106" t="s">
        <v>1419</v>
      </c>
      <c r="N1269" s="106" t="s">
        <v>223</v>
      </c>
      <c r="O1269" s="107"/>
      <c r="P1269" s="106" t="s">
        <v>5445</v>
      </c>
    </row>
    <row r="1270" spans="1:16" outlineLevel="2" x14ac:dyDescent="0.3">
      <c r="A1270" s="105" t="s">
        <v>5446</v>
      </c>
      <c r="B1270" s="106"/>
      <c r="C1270" s="106"/>
      <c r="D1270" s="106"/>
      <c r="E1270" s="106" t="s">
        <v>5447</v>
      </c>
      <c r="F1270" s="106" t="s">
        <v>5448</v>
      </c>
      <c r="G1270" s="105">
        <v>4</v>
      </c>
      <c r="H1270" s="106" t="s">
        <v>7</v>
      </c>
      <c r="I1270" s="105" t="s">
        <v>39</v>
      </c>
      <c r="J1270" s="105"/>
      <c r="K1270" s="105"/>
      <c r="L1270" s="105"/>
      <c r="M1270" s="106" t="s">
        <v>5449</v>
      </c>
      <c r="N1270" s="106" t="s">
        <v>223</v>
      </c>
      <c r="O1270" s="107"/>
      <c r="P1270" s="106" t="s">
        <v>5450</v>
      </c>
    </row>
    <row r="1271" spans="1:16" outlineLevel="2" x14ac:dyDescent="0.3">
      <c r="A1271" s="105" t="s">
        <v>5451</v>
      </c>
      <c r="B1271" s="106"/>
      <c r="C1271" s="106"/>
      <c r="D1271" s="106"/>
      <c r="E1271" s="106" t="s">
        <v>5452</v>
      </c>
      <c r="F1271" s="106" t="s">
        <v>5453</v>
      </c>
      <c r="G1271" s="105">
        <v>4</v>
      </c>
      <c r="H1271" s="106" t="s">
        <v>7</v>
      </c>
      <c r="I1271" s="105" t="s">
        <v>39</v>
      </c>
      <c r="J1271" s="105"/>
      <c r="K1271" s="105"/>
      <c r="L1271" s="105"/>
      <c r="M1271" s="106" t="s">
        <v>5454</v>
      </c>
      <c r="N1271" s="106" t="s">
        <v>40</v>
      </c>
      <c r="O1271" s="107"/>
      <c r="P1271" s="106" t="s">
        <v>5455</v>
      </c>
    </row>
    <row r="1272" spans="1:16" ht="27.6" outlineLevel="1" x14ac:dyDescent="0.3">
      <c r="A1272" s="259" t="s">
        <v>5456</v>
      </c>
      <c r="B1272" s="260"/>
      <c r="C1272" s="261" t="s">
        <v>5457</v>
      </c>
      <c r="D1272" s="260"/>
      <c r="E1272" s="260"/>
      <c r="F1272" s="260"/>
      <c r="G1272" s="259">
        <v>2</v>
      </c>
      <c r="H1272" s="260" t="s">
        <v>25</v>
      </c>
      <c r="I1272" s="259" t="s">
        <v>39</v>
      </c>
      <c r="J1272" s="259">
        <v>32</v>
      </c>
      <c r="K1272" s="259">
        <v>3</v>
      </c>
      <c r="L1272" s="259">
        <v>30</v>
      </c>
      <c r="M1272" s="262" t="s">
        <v>5458</v>
      </c>
      <c r="N1272" s="262" t="s">
        <v>223</v>
      </c>
      <c r="O1272" s="263"/>
      <c r="P1272" s="262" t="s">
        <v>5459</v>
      </c>
    </row>
    <row r="1273" spans="1:16" outlineLevel="2" x14ac:dyDescent="0.3">
      <c r="A1273" s="105" t="s">
        <v>5460</v>
      </c>
      <c r="B1273" s="106"/>
      <c r="C1273" s="106"/>
      <c r="D1273" s="106"/>
      <c r="E1273" s="106" t="s">
        <v>5461</v>
      </c>
      <c r="F1273" s="106" t="s">
        <v>5462</v>
      </c>
      <c r="G1273" s="105">
        <v>4</v>
      </c>
      <c r="H1273" s="106" t="s">
        <v>7</v>
      </c>
      <c r="I1273" s="105" t="s">
        <v>39</v>
      </c>
      <c r="J1273" s="105"/>
      <c r="K1273" s="105"/>
      <c r="L1273" s="105"/>
      <c r="M1273" s="106" t="s">
        <v>5463</v>
      </c>
      <c r="N1273" s="106" t="s">
        <v>40</v>
      </c>
      <c r="O1273" s="107"/>
      <c r="P1273" s="106" t="s">
        <v>5464</v>
      </c>
    </row>
    <row r="1274" spans="1:16" outlineLevel="2" x14ac:dyDescent="0.3">
      <c r="A1274" s="105" t="s">
        <v>5465</v>
      </c>
      <c r="B1274" s="106"/>
      <c r="C1274" s="106"/>
      <c r="D1274" s="106"/>
      <c r="E1274" s="106" t="s">
        <v>5466</v>
      </c>
      <c r="F1274" s="106" t="s">
        <v>5467</v>
      </c>
      <c r="G1274" s="105">
        <v>4</v>
      </c>
      <c r="H1274" s="106" t="s">
        <v>7</v>
      </c>
      <c r="I1274" s="105" t="s">
        <v>39</v>
      </c>
      <c r="J1274" s="105"/>
      <c r="K1274" s="105"/>
      <c r="L1274" s="105"/>
      <c r="M1274" s="106" t="s">
        <v>5468</v>
      </c>
      <c r="N1274" s="106" t="s">
        <v>40</v>
      </c>
      <c r="O1274" s="107"/>
      <c r="P1274" s="106" t="s">
        <v>5469</v>
      </c>
    </row>
    <row r="1275" spans="1:16" outlineLevel="2" x14ac:dyDescent="0.3">
      <c r="A1275" s="105" t="s">
        <v>5470</v>
      </c>
      <c r="B1275" s="106"/>
      <c r="C1275" s="106"/>
      <c r="D1275" s="106"/>
      <c r="E1275" s="106" t="s">
        <v>5471</v>
      </c>
      <c r="F1275" s="106" t="s">
        <v>5472</v>
      </c>
      <c r="G1275" s="105">
        <v>4</v>
      </c>
      <c r="H1275" s="106" t="s">
        <v>7</v>
      </c>
      <c r="I1275" s="105" t="s">
        <v>39</v>
      </c>
      <c r="J1275" s="105"/>
      <c r="K1275" s="105"/>
      <c r="L1275" s="105"/>
      <c r="M1275" s="106" t="s">
        <v>5473</v>
      </c>
      <c r="N1275" s="106" t="s">
        <v>40</v>
      </c>
      <c r="O1275" s="107"/>
      <c r="P1275" s="106" t="s">
        <v>5474</v>
      </c>
    </row>
    <row r="1276" spans="1:16" outlineLevel="2" x14ac:dyDescent="0.3">
      <c r="A1276" s="105" t="s">
        <v>5475</v>
      </c>
      <c r="B1276" s="106"/>
      <c r="C1276" s="106"/>
      <c r="D1276" s="106"/>
      <c r="E1276" s="106" t="s">
        <v>5476</v>
      </c>
      <c r="F1276" s="106" t="s">
        <v>13</v>
      </c>
      <c r="G1276" s="105">
        <v>4</v>
      </c>
      <c r="H1276" s="106" t="s">
        <v>7</v>
      </c>
      <c r="I1276" s="105"/>
      <c r="J1276" s="105"/>
      <c r="K1276" s="105"/>
      <c r="L1276" s="105"/>
      <c r="M1276" s="106" t="s">
        <v>5477</v>
      </c>
      <c r="N1276" s="106" t="s">
        <v>40</v>
      </c>
      <c r="O1276" s="107" t="s">
        <v>447</v>
      </c>
      <c r="P1276" s="106" t="s">
        <v>5478</v>
      </c>
    </row>
    <row r="1277" spans="1:16" outlineLevel="2" x14ac:dyDescent="0.3">
      <c r="A1277" s="105" t="s">
        <v>5479</v>
      </c>
      <c r="B1277" s="106"/>
      <c r="C1277" s="106"/>
      <c r="D1277" s="106"/>
      <c r="E1277" s="106" t="s">
        <v>5480</v>
      </c>
      <c r="F1277" s="106" t="s">
        <v>5481</v>
      </c>
      <c r="G1277" s="105">
        <v>4</v>
      </c>
      <c r="H1277" s="106" t="s">
        <v>7</v>
      </c>
      <c r="I1277" s="105" t="s">
        <v>39</v>
      </c>
      <c r="J1277" s="105"/>
      <c r="K1277" s="105"/>
      <c r="L1277" s="105"/>
      <c r="M1277" s="106" t="s">
        <v>5482</v>
      </c>
      <c r="N1277" s="106" t="s">
        <v>40</v>
      </c>
      <c r="O1277" s="107" t="s">
        <v>332</v>
      </c>
      <c r="P1277" s="106" t="s">
        <v>5483</v>
      </c>
    </row>
    <row r="1278" spans="1:16" outlineLevel="2" x14ac:dyDescent="0.3">
      <c r="A1278" s="105" t="s">
        <v>5484</v>
      </c>
      <c r="B1278" s="106"/>
      <c r="C1278" s="106"/>
      <c r="D1278" s="106"/>
      <c r="E1278" s="106" t="s">
        <v>5485</v>
      </c>
      <c r="F1278" s="106" t="s">
        <v>5486</v>
      </c>
      <c r="G1278" s="105">
        <v>4</v>
      </c>
      <c r="H1278" s="106" t="s">
        <v>7</v>
      </c>
      <c r="I1278" s="105" t="s">
        <v>39</v>
      </c>
      <c r="J1278" s="105"/>
      <c r="K1278" s="105"/>
      <c r="L1278" s="105"/>
      <c r="M1278" s="106" t="s">
        <v>5487</v>
      </c>
      <c r="N1278" s="106" t="s">
        <v>40</v>
      </c>
      <c r="O1278" s="107"/>
      <c r="P1278" s="106" t="s">
        <v>5488</v>
      </c>
    </row>
    <row r="1279" spans="1:16" outlineLevel="2" x14ac:dyDescent="0.3">
      <c r="A1279" s="105" t="s">
        <v>5489</v>
      </c>
      <c r="B1279" s="106"/>
      <c r="C1279" s="106"/>
      <c r="D1279" s="106"/>
      <c r="E1279" s="106" t="s">
        <v>5490</v>
      </c>
      <c r="F1279" s="106" t="s">
        <v>5491</v>
      </c>
      <c r="G1279" s="105">
        <v>4</v>
      </c>
      <c r="H1279" s="106" t="s">
        <v>7</v>
      </c>
      <c r="I1279" s="105" t="s">
        <v>39</v>
      </c>
      <c r="J1279" s="105"/>
      <c r="K1279" s="105"/>
      <c r="L1279" s="105"/>
      <c r="M1279" s="106"/>
      <c r="N1279" s="106" t="s">
        <v>287</v>
      </c>
      <c r="O1279" s="107"/>
      <c r="P1279" s="106"/>
    </row>
    <row r="1280" spans="1:16" outlineLevel="2" x14ac:dyDescent="0.3">
      <c r="A1280" s="105" t="s">
        <v>5492</v>
      </c>
      <c r="B1280" s="106"/>
      <c r="C1280" s="106"/>
      <c r="D1280" s="106"/>
      <c r="E1280" s="106" t="s">
        <v>5490</v>
      </c>
      <c r="F1280" s="106" t="s">
        <v>5493</v>
      </c>
      <c r="G1280" s="105">
        <v>4</v>
      </c>
      <c r="H1280" s="106" t="s">
        <v>7</v>
      </c>
      <c r="I1280" s="105" t="s">
        <v>39</v>
      </c>
      <c r="J1280" s="105"/>
      <c r="K1280" s="105"/>
      <c r="L1280" s="105"/>
      <c r="M1280" s="106"/>
      <c r="N1280" s="106" t="s">
        <v>287</v>
      </c>
      <c r="O1280" s="107"/>
      <c r="P1280" s="106"/>
    </row>
    <row r="1281" spans="1:16" outlineLevel="2" x14ac:dyDescent="0.3">
      <c r="A1281" s="105" t="s">
        <v>5494</v>
      </c>
      <c r="B1281" s="106"/>
      <c r="C1281" s="106"/>
      <c r="D1281" s="106"/>
      <c r="E1281" s="106" t="s">
        <v>5490</v>
      </c>
      <c r="F1281" s="106" t="s">
        <v>5495</v>
      </c>
      <c r="G1281" s="105">
        <v>4</v>
      </c>
      <c r="H1281" s="106" t="s">
        <v>7</v>
      </c>
      <c r="I1281" s="105" t="s">
        <v>39</v>
      </c>
      <c r="J1281" s="105"/>
      <c r="K1281" s="105"/>
      <c r="L1281" s="105"/>
      <c r="M1281" s="106"/>
      <c r="N1281" s="106" t="s">
        <v>287</v>
      </c>
      <c r="O1281" s="107"/>
      <c r="P1281" s="106"/>
    </row>
    <row r="1282" spans="1:16" outlineLevel="2" x14ac:dyDescent="0.3">
      <c r="A1282" s="105" t="s">
        <v>5496</v>
      </c>
      <c r="B1282" s="106"/>
      <c r="C1282" s="106"/>
      <c r="D1282" s="106"/>
      <c r="E1282" s="106" t="s">
        <v>5497</v>
      </c>
      <c r="F1282" s="106" t="s">
        <v>13</v>
      </c>
      <c r="G1282" s="105">
        <v>4</v>
      </c>
      <c r="H1282" s="106" t="s">
        <v>7</v>
      </c>
      <c r="I1282" s="105"/>
      <c r="J1282" s="105"/>
      <c r="K1282" s="105"/>
      <c r="L1282" s="105"/>
      <c r="M1282" s="106" t="s">
        <v>5498</v>
      </c>
      <c r="N1282" s="106" t="s">
        <v>40</v>
      </c>
      <c r="O1282" s="107" t="s">
        <v>447</v>
      </c>
      <c r="P1282" s="106" t="s">
        <v>5499</v>
      </c>
    </row>
    <row r="1283" spans="1:16" outlineLevel="2" x14ac:dyDescent="0.3">
      <c r="A1283" s="105" t="s">
        <v>5500</v>
      </c>
      <c r="B1283" s="106"/>
      <c r="C1283" s="106"/>
      <c r="D1283" s="106"/>
      <c r="E1283" s="106" t="s">
        <v>5501</v>
      </c>
      <c r="F1283" s="106" t="s">
        <v>5502</v>
      </c>
      <c r="G1283" s="105">
        <v>4</v>
      </c>
      <c r="H1283" s="106" t="s">
        <v>7</v>
      </c>
      <c r="I1283" s="105" t="s">
        <v>39</v>
      </c>
      <c r="J1283" s="105"/>
      <c r="K1283" s="105"/>
      <c r="L1283" s="105"/>
      <c r="M1283" s="106" t="s">
        <v>5503</v>
      </c>
      <c r="N1283" s="106" t="s">
        <v>40</v>
      </c>
      <c r="O1283" s="107"/>
      <c r="P1283" s="106" t="s">
        <v>5504</v>
      </c>
    </row>
    <row r="1284" spans="1:16" outlineLevel="2" x14ac:dyDescent="0.3">
      <c r="A1284" s="105" t="s">
        <v>5505</v>
      </c>
      <c r="B1284" s="106"/>
      <c r="C1284" s="106"/>
      <c r="D1284" s="106"/>
      <c r="E1284" s="106" t="s">
        <v>5506</v>
      </c>
      <c r="F1284" s="106" t="s">
        <v>5507</v>
      </c>
      <c r="G1284" s="105">
        <v>4</v>
      </c>
      <c r="H1284" s="106" t="s">
        <v>7</v>
      </c>
      <c r="I1284" s="105" t="s">
        <v>39</v>
      </c>
      <c r="J1284" s="105"/>
      <c r="K1284" s="105"/>
      <c r="L1284" s="105"/>
      <c r="M1284" s="106" t="s">
        <v>5508</v>
      </c>
      <c r="N1284" s="106" t="s">
        <v>40</v>
      </c>
      <c r="O1284" s="107"/>
      <c r="P1284" s="106" t="s">
        <v>5509</v>
      </c>
    </row>
    <row r="1285" spans="1:16" outlineLevel="2" x14ac:dyDescent="0.3">
      <c r="A1285" s="105" t="s">
        <v>5510</v>
      </c>
      <c r="B1285" s="106"/>
      <c r="C1285" s="106"/>
      <c r="D1285" s="106"/>
      <c r="E1285" s="106" t="s">
        <v>5511</v>
      </c>
      <c r="F1285" s="106" t="s">
        <v>5512</v>
      </c>
      <c r="G1285" s="105">
        <v>4</v>
      </c>
      <c r="H1285" s="106" t="s">
        <v>7</v>
      </c>
      <c r="I1285" s="105" t="s">
        <v>39</v>
      </c>
      <c r="J1285" s="105"/>
      <c r="K1285" s="105"/>
      <c r="L1285" s="105"/>
      <c r="M1285" s="106" t="s">
        <v>5513</v>
      </c>
      <c r="N1285" s="106" t="s">
        <v>40</v>
      </c>
      <c r="O1285" s="107"/>
      <c r="P1285" s="106" t="s">
        <v>5514</v>
      </c>
    </row>
    <row r="1286" spans="1:16" outlineLevel="2" x14ac:dyDescent="0.3">
      <c r="A1286" s="105" t="s">
        <v>5515</v>
      </c>
      <c r="B1286" s="106"/>
      <c r="C1286" s="106"/>
      <c r="D1286" s="106"/>
      <c r="E1286" s="106" t="s">
        <v>5516</v>
      </c>
      <c r="F1286" s="106" t="s">
        <v>5517</v>
      </c>
      <c r="G1286" s="105">
        <v>4</v>
      </c>
      <c r="H1286" s="106" t="s">
        <v>7</v>
      </c>
      <c r="I1286" s="105" t="s">
        <v>39</v>
      </c>
      <c r="J1286" s="105"/>
      <c r="K1286" s="105"/>
      <c r="L1286" s="105"/>
      <c r="M1286" s="106" t="s">
        <v>5518</v>
      </c>
      <c r="N1286" s="106" t="s">
        <v>40</v>
      </c>
      <c r="O1286" s="107" t="s">
        <v>600</v>
      </c>
      <c r="P1286" s="106" t="s">
        <v>5519</v>
      </c>
    </row>
    <row r="1287" spans="1:16" outlineLevel="2" x14ac:dyDescent="0.3">
      <c r="A1287" s="105" t="s">
        <v>5520</v>
      </c>
      <c r="B1287" s="106"/>
      <c r="C1287" s="106"/>
      <c r="D1287" s="106"/>
      <c r="E1287" s="106" t="s">
        <v>5521</v>
      </c>
      <c r="F1287" s="106" t="s">
        <v>5522</v>
      </c>
      <c r="G1287" s="105">
        <v>4</v>
      </c>
      <c r="H1287" s="106" t="s">
        <v>7</v>
      </c>
      <c r="I1287" s="105" t="s">
        <v>39</v>
      </c>
      <c r="J1287" s="105"/>
      <c r="K1287" s="105"/>
      <c r="L1287" s="105"/>
      <c r="M1287" s="106"/>
      <c r="N1287" s="106" t="s">
        <v>40</v>
      </c>
      <c r="O1287" s="107" t="s">
        <v>600</v>
      </c>
      <c r="P1287" s="106" t="s">
        <v>5523</v>
      </c>
    </row>
    <row r="1288" spans="1:16" outlineLevel="2" x14ac:dyDescent="0.3">
      <c r="A1288" s="105" t="s">
        <v>5524</v>
      </c>
      <c r="B1288" s="106"/>
      <c r="C1288" s="106"/>
      <c r="D1288" s="106"/>
      <c r="E1288" s="106" t="s">
        <v>5525</v>
      </c>
      <c r="F1288" s="106" t="s">
        <v>5526</v>
      </c>
      <c r="G1288" s="105">
        <v>4</v>
      </c>
      <c r="H1288" s="106" t="s">
        <v>7</v>
      </c>
      <c r="I1288" s="105" t="s">
        <v>39</v>
      </c>
      <c r="J1288" s="105"/>
      <c r="K1288" s="105"/>
      <c r="L1288" s="105"/>
      <c r="M1288" s="106" t="s">
        <v>5527</v>
      </c>
      <c r="N1288" s="106" t="s">
        <v>40</v>
      </c>
      <c r="O1288" s="107"/>
      <c r="P1288" s="106" t="s">
        <v>5528</v>
      </c>
    </row>
    <row r="1289" spans="1:16" outlineLevel="2" x14ac:dyDescent="0.3">
      <c r="A1289" s="105" t="s">
        <v>5529</v>
      </c>
      <c r="B1289" s="106"/>
      <c r="C1289" s="106"/>
      <c r="D1289" s="106"/>
      <c r="E1289" s="106" t="s">
        <v>5530</v>
      </c>
      <c r="F1289" s="106" t="s">
        <v>5531</v>
      </c>
      <c r="G1289" s="105">
        <v>4</v>
      </c>
      <c r="H1289" s="106" t="s">
        <v>7</v>
      </c>
      <c r="I1289" s="105" t="s">
        <v>39</v>
      </c>
      <c r="J1289" s="105"/>
      <c r="K1289" s="105"/>
      <c r="L1289" s="105"/>
      <c r="M1289" s="106" t="s">
        <v>5532</v>
      </c>
      <c r="N1289" s="106" t="s">
        <v>40</v>
      </c>
      <c r="O1289" s="107"/>
      <c r="P1289" s="106" t="s">
        <v>5533</v>
      </c>
    </row>
    <row r="1290" spans="1:16" outlineLevel="2" x14ac:dyDescent="0.3">
      <c r="A1290" s="105" t="s">
        <v>5534</v>
      </c>
      <c r="B1290" s="106"/>
      <c r="C1290" s="106"/>
      <c r="D1290" s="106"/>
      <c r="E1290" s="106" t="s">
        <v>5535</v>
      </c>
      <c r="F1290" s="106" t="s">
        <v>5536</v>
      </c>
      <c r="G1290" s="105">
        <v>4</v>
      </c>
      <c r="H1290" s="106" t="s">
        <v>7</v>
      </c>
      <c r="I1290" s="105" t="s">
        <v>39</v>
      </c>
      <c r="J1290" s="105"/>
      <c r="K1290" s="105"/>
      <c r="L1290" s="105"/>
      <c r="M1290" s="106" t="s">
        <v>5537</v>
      </c>
      <c r="N1290" s="106" t="s">
        <v>40</v>
      </c>
      <c r="O1290" s="107"/>
      <c r="P1290" s="106" t="s">
        <v>5538</v>
      </c>
    </row>
    <row r="1291" spans="1:16" outlineLevel="2" x14ac:dyDescent="0.3">
      <c r="A1291" s="105" t="s">
        <v>5539</v>
      </c>
      <c r="B1291" s="106"/>
      <c r="C1291" s="106"/>
      <c r="D1291" s="106"/>
      <c r="E1291" s="106" t="s">
        <v>5540</v>
      </c>
      <c r="F1291" s="106" t="s">
        <v>5541</v>
      </c>
      <c r="G1291" s="105">
        <v>4</v>
      </c>
      <c r="H1291" s="106" t="s">
        <v>7</v>
      </c>
      <c r="I1291" s="105" t="s">
        <v>39</v>
      </c>
      <c r="J1291" s="105"/>
      <c r="K1291" s="105"/>
      <c r="L1291" s="105"/>
      <c r="M1291" s="106" t="s">
        <v>5542</v>
      </c>
      <c r="N1291" s="106" t="s">
        <v>40</v>
      </c>
      <c r="O1291" s="107"/>
      <c r="P1291" s="106" t="s">
        <v>5543</v>
      </c>
    </row>
    <row r="1292" spans="1:16" outlineLevel="2" x14ac:dyDescent="0.3">
      <c r="A1292" s="105" t="s">
        <v>5544</v>
      </c>
      <c r="B1292" s="106"/>
      <c r="C1292" s="106"/>
      <c r="D1292" s="106"/>
      <c r="E1292" s="106" t="s">
        <v>5545</v>
      </c>
      <c r="F1292" s="106" t="s">
        <v>5546</v>
      </c>
      <c r="G1292" s="105">
        <v>4</v>
      </c>
      <c r="H1292" s="106" t="s">
        <v>7</v>
      </c>
      <c r="I1292" s="105" t="s">
        <v>39</v>
      </c>
      <c r="J1292" s="105"/>
      <c r="K1292" s="105"/>
      <c r="L1292" s="105"/>
      <c r="M1292" s="106" t="s">
        <v>5547</v>
      </c>
      <c r="N1292" s="106" t="s">
        <v>40</v>
      </c>
      <c r="O1292" s="107"/>
      <c r="P1292" s="106" t="s">
        <v>5548</v>
      </c>
    </row>
    <row r="1293" spans="1:16" outlineLevel="2" x14ac:dyDescent="0.3">
      <c r="A1293" s="105" t="s">
        <v>5549</v>
      </c>
      <c r="B1293" s="106"/>
      <c r="C1293" s="106"/>
      <c r="D1293" s="106"/>
      <c r="E1293" s="106" t="s">
        <v>5550</v>
      </c>
      <c r="F1293" s="106" t="s">
        <v>5551</v>
      </c>
      <c r="G1293" s="105">
        <v>4</v>
      </c>
      <c r="H1293" s="106" t="s">
        <v>7</v>
      </c>
      <c r="I1293" s="105" t="s">
        <v>39</v>
      </c>
      <c r="J1293" s="105"/>
      <c r="K1293" s="105"/>
      <c r="L1293" s="105"/>
      <c r="M1293" s="106" t="s">
        <v>5552</v>
      </c>
      <c r="N1293" s="106" t="s">
        <v>40</v>
      </c>
      <c r="O1293" s="107" t="s">
        <v>600</v>
      </c>
      <c r="P1293" s="106" t="s">
        <v>5553</v>
      </c>
    </row>
    <row r="1294" spans="1:16" outlineLevel="2" x14ac:dyDescent="0.3">
      <c r="A1294" s="105" t="s">
        <v>5554</v>
      </c>
      <c r="B1294" s="106"/>
      <c r="C1294" s="106"/>
      <c r="D1294" s="106"/>
      <c r="E1294" s="106" t="s">
        <v>5555</v>
      </c>
      <c r="F1294" s="106" t="s">
        <v>5556</v>
      </c>
      <c r="G1294" s="105">
        <v>4</v>
      </c>
      <c r="H1294" s="106" t="s">
        <v>7</v>
      </c>
      <c r="I1294" s="105" t="s">
        <v>39</v>
      </c>
      <c r="J1294" s="105"/>
      <c r="K1294" s="105"/>
      <c r="L1294" s="105"/>
      <c r="M1294" s="106" t="s">
        <v>5557</v>
      </c>
      <c r="N1294" s="106" t="s">
        <v>40</v>
      </c>
      <c r="O1294" s="107" t="s">
        <v>600</v>
      </c>
      <c r="P1294" s="106" t="s">
        <v>5558</v>
      </c>
    </row>
    <row r="1295" spans="1:16" outlineLevel="2" x14ac:dyDescent="0.3">
      <c r="A1295" s="105" t="s">
        <v>5559</v>
      </c>
      <c r="B1295" s="106"/>
      <c r="C1295" s="106"/>
      <c r="D1295" s="106"/>
      <c r="E1295" s="106" t="s">
        <v>5560</v>
      </c>
      <c r="F1295" s="106" t="s">
        <v>5561</v>
      </c>
      <c r="G1295" s="105">
        <v>4</v>
      </c>
      <c r="H1295" s="106" t="s">
        <v>7</v>
      </c>
      <c r="I1295" s="105" t="s">
        <v>39</v>
      </c>
      <c r="J1295" s="105"/>
      <c r="K1295" s="105"/>
      <c r="L1295" s="105"/>
      <c r="M1295" s="106" t="s">
        <v>5562</v>
      </c>
      <c r="N1295" s="106" t="s">
        <v>40</v>
      </c>
      <c r="O1295" s="107"/>
      <c r="P1295" s="106" t="s">
        <v>5563</v>
      </c>
    </row>
    <row r="1296" spans="1:16" outlineLevel="2" x14ac:dyDescent="0.3">
      <c r="A1296" s="105" t="s">
        <v>5564</v>
      </c>
      <c r="B1296" s="106"/>
      <c r="C1296" s="106"/>
      <c r="D1296" s="106"/>
      <c r="E1296" s="106" t="s">
        <v>5565</v>
      </c>
      <c r="F1296" s="106" t="s">
        <v>5566</v>
      </c>
      <c r="G1296" s="105">
        <v>4</v>
      </c>
      <c r="H1296" s="106" t="s">
        <v>7</v>
      </c>
      <c r="I1296" s="105" t="s">
        <v>39</v>
      </c>
      <c r="J1296" s="105"/>
      <c r="K1296" s="105"/>
      <c r="L1296" s="105"/>
      <c r="M1296" s="106" t="s">
        <v>5567</v>
      </c>
      <c r="N1296" s="106" t="s">
        <v>40</v>
      </c>
      <c r="O1296" s="107"/>
      <c r="P1296" s="106" t="s">
        <v>5568</v>
      </c>
    </row>
    <row r="1297" spans="1:16" outlineLevel="2" x14ac:dyDescent="0.3">
      <c r="A1297" s="105" t="s">
        <v>5569</v>
      </c>
      <c r="B1297" s="106"/>
      <c r="C1297" s="106"/>
      <c r="D1297" s="106"/>
      <c r="E1297" s="106" t="s">
        <v>5570</v>
      </c>
      <c r="F1297" s="106" t="s">
        <v>5571</v>
      </c>
      <c r="G1297" s="105">
        <v>4</v>
      </c>
      <c r="H1297" s="106" t="s">
        <v>7</v>
      </c>
      <c r="I1297" s="105" t="s">
        <v>39</v>
      </c>
      <c r="J1297" s="105"/>
      <c r="K1297" s="105"/>
      <c r="L1297" s="105"/>
      <c r="M1297" s="106" t="s">
        <v>5572</v>
      </c>
      <c r="N1297" s="106" t="s">
        <v>40</v>
      </c>
      <c r="O1297" s="107" t="s">
        <v>600</v>
      </c>
      <c r="P1297" s="106" t="s">
        <v>5573</v>
      </c>
    </row>
    <row r="1298" spans="1:16" outlineLevel="2" x14ac:dyDescent="0.3">
      <c r="A1298" s="105" t="s">
        <v>5574</v>
      </c>
      <c r="B1298" s="106"/>
      <c r="C1298" s="106"/>
      <c r="D1298" s="106"/>
      <c r="E1298" s="106" t="s">
        <v>5575</v>
      </c>
      <c r="F1298" s="106" t="s">
        <v>5576</v>
      </c>
      <c r="G1298" s="105">
        <v>4</v>
      </c>
      <c r="H1298" s="106" t="s">
        <v>7</v>
      </c>
      <c r="I1298" s="105" t="s">
        <v>39</v>
      </c>
      <c r="J1298" s="105"/>
      <c r="K1298" s="105"/>
      <c r="L1298" s="105"/>
      <c r="M1298" s="106" t="s">
        <v>5577</v>
      </c>
      <c r="N1298" s="106" t="s">
        <v>223</v>
      </c>
      <c r="O1298" s="107"/>
      <c r="P1298" s="106" t="s">
        <v>5578</v>
      </c>
    </row>
    <row r="1299" spans="1:16" outlineLevel="2" x14ac:dyDescent="0.3">
      <c r="A1299" s="105" t="s">
        <v>5579</v>
      </c>
      <c r="B1299" s="106"/>
      <c r="C1299" s="106"/>
      <c r="D1299" s="106"/>
      <c r="E1299" s="106" t="s">
        <v>5580</v>
      </c>
      <c r="F1299" s="106" t="s">
        <v>5581</v>
      </c>
      <c r="G1299" s="105">
        <v>4</v>
      </c>
      <c r="H1299" s="106" t="s">
        <v>7</v>
      </c>
      <c r="I1299" s="105" t="s">
        <v>39</v>
      </c>
      <c r="J1299" s="105"/>
      <c r="K1299" s="105"/>
      <c r="L1299" s="105"/>
      <c r="M1299" s="106" t="s">
        <v>5582</v>
      </c>
      <c r="N1299" s="106" t="s">
        <v>40</v>
      </c>
      <c r="O1299" s="107"/>
      <c r="P1299" s="106" t="s">
        <v>5583</v>
      </c>
    </row>
    <row r="1300" spans="1:16" outlineLevel="2" x14ac:dyDescent="0.3">
      <c r="A1300" s="105" t="s">
        <v>5584</v>
      </c>
      <c r="B1300" s="106"/>
      <c r="C1300" s="106"/>
      <c r="D1300" s="106"/>
      <c r="E1300" s="106" t="s">
        <v>5585</v>
      </c>
      <c r="F1300" s="106" t="s">
        <v>5586</v>
      </c>
      <c r="G1300" s="105">
        <v>4</v>
      </c>
      <c r="H1300" s="106" t="s">
        <v>7</v>
      </c>
      <c r="I1300" s="105" t="s">
        <v>39</v>
      </c>
      <c r="J1300" s="105"/>
      <c r="K1300" s="105"/>
      <c r="L1300" s="105"/>
      <c r="M1300" s="106" t="s">
        <v>5587</v>
      </c>
      <c r="N1300" s="106" t="s">
        <v>40</v>
      </c>
      <c r="O1300" s="107" t="s">
        <v>600</v>
      </c>
      <c r="P1300" s="106" t="s">
        <v>5588</v>
      </c>
    </row>
    <row r="1301" spans="1:16" outlineLevel="2" x14ac:dyDescent="0.3">
      <c r="A1301" s="105" t="s">
        <v>5589</v>
      </c>
      <c r="B1301" s="106"/>
      <c r="C1301" s="106"/>
      <c r="D1301" s="106"/>
      <c r="E1301" s="106" t="s">
        <v>5590</v>
      </c>
      <c r="F1301" s="106" t="s">
        <v>5591</v>
      </c>
      <c r="G1301" s="105">
        <v>4</v>
      </c>
      <c r="H1301" s="106" t="s">
        <v>7</v>
      </c>
      <c r="I1301" s="105" t="s">
        <v>39</v>
      </c>
      <c r="J1301" s="105"/>
      <c r="K1301" s="105"/>
      <c r="L1301" s="105"/>
      <c r="M1301" s="106" t="s">
        <v>5592</v>
      </c>
      <c r="N1301" s="106" t="s">
        <v>40</v>
      </c>
      <c r="O1301" s="107" t="s">
        <v>600</v>
      </c>
      <c r="P1301" s="106" t="s">
        <v>5593</v>
      </c>
    </row>
    <row r="1302" spans="1:16" outlineLevel="2" x14ac:dyDescent="0.3">
      <c r="A1302" s="105" t="s">
        <v>5594</v>
      </c>
      <c r="B1302" s="106"/>
      <c r="C1302" s="106"/>
      <c r="D1302" s="106"/>
      <c r="E1302" s="106" t="s">
        <v>5595</v>
      </c>
      <c r="F1302" s="106" t="s">
        <v>5596</v>
      </c>
      <c r="G1302" s="105">
        <v>4</v>
      </c>
      <c r="H1302" s="106" t="s">
        <v>7</v>
      </c>
      <c r="I1302" s="105" t="s">
        <v>39</v>
      </c>
      <c r="J1302" s="105"/>
      <c r="K1302" s="105"/>
      <c r="L1302" s="105"/>
      <c r="M1302" s="106" t="s">
        <v>5597</v>
      </c>
      <c r="N1302" s="106" t="s">
        <v>40</v>
      </c>
      <c r="O1302" s="107"/>
      <c r="P1302" s="106" t="s">
        <v>5598</v>
      </c>
    </row>
    <row r="1303" spans="1:16" outlineLevel="2" x14ac:dyDescent="0.3">
      <c r="A1303" s="105" t="s">
        <v>5599</v>
      </c>
      <c r="B1303" s="106"/>
      <c r="C1303" s="106"/>
      <c r="D1303" s="106"/>
      <c r="E1303" s="106" t="s">
        <v>5600</v>
      </c>
      <c r="F1303" s="106" t="s">
        <v>5601</v>
      </c>
      <c r="G1303" s="105">
        <v>4</v>
      </c>
      <c r="H1303" s="106" t="s">
        <v>7</v>
      </c>
      <c r="I1303" s="105" t="s">
        <v>39</v>
      </c>
      <c r="J1303" s="105"/>
      <c r="K1303" s="105"/>
      <c r="L1303" s="105"/>
      <c r="M1303" s="106"/>
      <c r="N1303" s="106" t="s">
        <v>287</v>
      </c>
      <c r="O1303" s="107"/>
      <c r="P1303" s="106"/>
    </row>
    <row r="1304" spans="1:16" outlineLevel="2" x14ac:dyDescent="0.3">
      <c r="A1304" s="105" t="s">
        <v>5602</v>
      </c>
      <c r="B1304" s="106"/>
      <c r="C1304" s="106"/>
      <c r="D1304" s="106"/>
      <c r="E1304" s="106" t="s">
        <v>5603</v>
      </c>
      <c r="F1304" s="106" t="s">
        <v>5604</v>
      </c>
      <c r="G1304" s="105">
        <v>4</v>
      </c>
      <c r="H1304" s="106" t="s">
        <v>7</v>
      </c>
      <c r="I1304" s="105" t="s">
        <v>39</v>
      </c>
      <c r="J1304" s="105"/>
      <c r="K1304" s="105"/>
      <c r="L1304" s="105"/>
      <c r="M1304" s="106" t="s">
        <v>5605</v>
      </c>
      <c r="N1304" s="106" t="s">
        <v>40</v>
      </c>
      <c r="O1304" s="107" t="s">
        <v>600</v>
      </c>
      <c r="P1304" s="106" t="s">
        <v>5606</v>
      </c>
    </row>
    <row r="1305" spans="1:16" outlineLevel="2" x14ac:dyDescent="0.3">
      <c r="A1305" s="105" t="s">
        <v>5607</v>
      </c>
      <c r="B1305" s="106"/>
      <c r="C1305" s="106"/>
      <c r="D1305" s="106"/>
      <c r="E1305" s="106" t="s">
        <v>5608</v>
      </c>
      <c r="F1305" s="106" t="s">
        <v>5609</v>
      </c>
      <c r="G1305" s="105">
        <v>4</v>
      </c>
      <c r="H1305" s="106" t="s">
        <v>7</v>
      </c>
      <c r="I1305" s="105" t="s">
        <v>39</v>
      </c>
      <c r="J1305" s="105"/>
      <c r="K1305" s="105"/>
      <c r="L1305" s="105"/>
      <c r="M1305" s="106"/>
      <c r="N1305" s="106" t="s">
        <v>287</v>
      </c>
      <c r="O1305" s="107"/>
      <c r="P1305" s="106" t="s">
        <v>5610</v>
      </c>
    </row>
    <row r="1306" spans="1:16" outlineLevel="2" x14ac:dyDescent="0.3">
      <c r="A1306" s="105" t="s">
        <v>5611</v>
      </c>
      <c r="B1306" s="106"/>
      <c r="C1306" s="106"/>
      <c r="D1306" s="106"/>
      <c r="E1306" s="106" t="s">
        <v>5612</v>
      </c>
      <c r="F1306" s="106" t="s">
        <v>13</v>
      </c>
      <c r="G1306" s="105">
        <v>4</v>
      </c>
      <c r="H1306" s="106" t="s">
        <v>7</v>
      </c>
      <c r="I1306" s="105"/>
      <c r="J1306" s="105"/>
      <c r="K1306" s="105"/>
      <c r="L1306" s="105"/>
      <c r="M1306" s="106"/>
      <c r="N1306" s="106" t="s">
        <v>40</v>
      </c>
      <c r="O1306" s="107" t="s">
        <v>447</v>
      </c>
      <c r="P1306" s="106" t="s">
        <v>5613</v>
      </c>
    </row>
    <row r="1307" spans="1:16" outlineLevel="2" x14ac:dyDescent="0.3">
      <c r="A1307" s="105" t="s">
        <v>5614</v>
      </c>
      <c r="B1307" s="106"/>
      <c r="C1307" s="106"/>
      <c r="D1307" s="106"/>
      <c r="E1307" s="106" t="s">
        <v>5615</v>
      </c>
      <c r="F1307" s="106" t="s">
        <v>5616</v>
      </c>
      <c r="G1307" s="105">
        <v>4</v>
      </c>
      <c r="H1307" s="106" t="s">
        <v>7</v>
      </c>
      <c r="I1307" s="105" t="s">
        <v>39</v>
      </c>
      <c r="J1307" s="105"/>
      <c r="K1307" s="105"/>
      <c r="L1307" s="105"/>
      <c r="M1307" s="106" t="s">
        <v>5617</v>
      </c>
      <c r="N1307" s="106" t="s">
        <v>40</v>
      </c>
      <c r="O1307" s="107" t="s">
        <v>600</v>
      </c>
      <c r="P1307" s="106" t="s">
        <v>5618</v>
      </c>
    </row>
    <row r="1308" spans="1:16" ht="27.6" outlineLevel="1" x14ac:dyDescent="0.3">
      <c r="A1308" s="259" t="s">
        <v>5619</v>
      </c>
      <c r="B1308" s="260"/>
      <c r="C1308" s="261" t="s">
        <v>5620</v>
      </c>
      <c r="D1308" s="260"/>
      <c r="E1308" s="260"/>
      <c r="F1308" s="260"/>
      <c r="G1308" s="259">
        <v>2</v>
      </c>
      <c r="H1308" s="260" t="s">
        <v>25</v>
      </c>
      <c r="I1308" s="259" t="s">
        <v>39</v>
      </c>
      <c r="J1308" s="259">
        <v>39</v>
      </c>
      <c r="K1308" s="259">
        <v>0</v>
      </c>
      <c r="L1308" s="259">
        <v>30</v>
      </c>
      <c r="M1308" s="262" t="s">
        <v>5621</v>
      </c>
      <c r="N1308" s="262" t="s">
        <v>223</v>
      </c>
      <c r="O1308" s="263"/>
      <c r="P1308" s="262" t="s">
        <v>5622</v>
      </c>
    </row>
    <row r="1309" spans="1:16" outlineLevel="2" x14ac:dyDescent="0.3">
      <c r="A1309" s="105" t="s">
        <v>5623</v>
      </c>
      <c r="B1309" s="106"/>
      <c r="C1309" s="106"/>
      <c r="D1309" s="106"/>
      <c r="E1309" s="106" t="s">
        <v>5624</v>
      </c>
      <c r="F1309" s="106" t="s">
        <v>5625</v>
      </c>
      <c r="G1309" s="105">
        <v>4</v>
      </c>
      <c r="H1309" s="106" t="s">
        <v>7</v>
      </c>
      <c r="I1309" s="105" t="s">
        <v>39</v>
      </c>
      <c r="J1309" s="105"/>
      <c r="K1309" s="105"/>
      <c r="L1309" s="105"/>
      <c r="M1309" s="106" t="s">
        <v>5626</v>
      </c>
      <c r="N1309" s="106" t="s">
        <v>40</v>
      </c>
      <c r="O1309" s="107"/>
      <c r="P1309" s="106" t="s">
        <v>5627</v>
      </c>
    </row>
    <row r="1310" spans="1:16" outlineLevel="2" x14ac:dyDescent="0.3">
      <c r="A1310" s="105" t="s">
        <v>5628</v>
      </c>
      <c r="B1310" s="106"/>
      <c r="C1310" s="106"/>
      <c r="D1310" s="106"/>
      <c r="E1310" s="106" t="s">
        <v>5629</v>
      </c>
      <c r="F1310" s="106" t="s">
        <v>5630</v>
      </c>
      <c r="G1310" s="105">
        <v>4</v>
      </c>
      <c r="H1310" s="106" t="s">
        <v>7</v>
      </c>
      <c r="I1310" s="105" t="s">
        <v>39</v>
      </c>
      <c r="J1310" s="105"/>
      <c r="K1310" s="105"/>
      <c r="L1310" s="105"/>
      <c r="M1310" s="106" t="s">
        <v>5631</v>
      </c>
      <c r="N1310" s="106" t="s">
        <v>40</v>
      </c>
      <c r="O1310" s="107"/>
      <c r="P1310" s="106" t="s">
        <v>5632</v>
      </c>
    </row>
    <row r="1311" spans="1:16" outlineLevel="2" x14ac:dyDescent="0.3">
      <c r="A1311" s="105" t="s">
        <v>5633</v>
      </c>
      <c r="B1311" s="106"/>
      <c r="C1311" s="106"/>
      <c r="D1311" s="106"/>
      <c r="E1311" s="106" t="s">
        <v>5634</v>
      </c>
      <c r="F1311" s="106" t="s">
        <v>5635</v>
      </c>
      <c r="G1311" s="105">
        <v>4</v>
      </c>
      <c r="H1311" s="106" t="s">
        <v>7</v>
      </c>
      <c r="I1311" s="105" t="s">
        <v>39</v>
      </c>
      <c r="J1311" s="105"/>
      <c r="K1311" s="105"/>
      <c r="L1311" s="105"/>
      <c r="M1311" s="106" t="s">
        <v>5636</v>
      </c>
      <c r="N1311" s="106" t="s">
        <v>40</v>
      </c>
      <c r="O1311" s="107"/>
      <c r="P1311" s="106" t="s">
        <v>5637</v>
      </c>
    </row>
    <row r="1312" spans="1:16" outlineLevel="2" x14ac:dyDescent="0.3">
      <c r="A1312" s="105" t="s">
        <v>5638</v>
      </c>
      <c r="B1312" s="106"/>
      <c r="C1312" s="106"/>
      <c r="D1312" s="106"/>
      <c r="E1312" s="106" t="s">
        <v>5639</v>
      </c>
      <c r="F1312" s="106" t="s">
        <v>5640</v>
      </c>
      <c r="G1312" s="105">
        <v>4</v>
      </c>
      <c r="H1312" s="106" t="s">
        <v>7</v>
      </c>
      <c r="I1312" s="105" t="s">
        <v>39</v>
      </c>
      <c r="J1312" s="105"/>
      <c r="K1312" s="105"/>
      <c r="L1312" s="105"/>
      <c r="M1312" s="106"/>
      <c r="N1312" s="106" t="s">
        <v>287</v>
      </c>
      <c r="O1312" s="107"/>
      <c r="P1312" s="106"/>
    </row>
    <row r="1313" spans="1:16" outlineLevel="2" x14ac:dyDescent="0.3">
      <c r="A1313" s="105" t="s">
        <v>5641</v>
      </c>
      <c r="B1313" s="106"/>
      <c r="C1313" s="106"/>
      <c r="D1313" s="106"/>
      <c r="E1313" s="106" t="s">
        <v>5642</v>
      </c>
      <c r="F1313" s="106" t="s">
        <v>5643</v>
      </c>
      <c r="G1313" s="105">
        <v>4</v>
      </c>
      <c r="H1313" s="106" t="s">
        <v>7</v>
      </c>
      <c r="I1313" s="105" t="s">
        <v>39</v>
      </c>
      <c r="J1313" s="105"/>
      <c r="K1313" s="105"/>
      <c r="L1313" s="105"/>
      <c r="M1313" s="106" t="s">
        <v>5644</v>
      </c>
      <c r="N1313" s="106" t="s">
        <v>223</v>
      </c>
      <c r="O1313" s="107"/>
      <c r="P1313" s="106" t="s">
        <v>5645</v>
      </c>
    </row>
    <row r="1314" spans="1:16" outlineLevel="2" x14ac:dyDescent="0.3">
      <c r="A1314" s="105" t="s">
        <v>5646</v>
      </c>
      <c r="B1314" s="106"/>
      <c r="C1314" s="106"/>
      <c r="D1314" s="106"/>
      <c r="E1314" s="106" t="s">
        <v>5647</v>
      </c>
      <c r="F1314" s="106" t="s">
        <v>5648</v>
      </c>
      <c r="G1314" s="105">
        <v>4</v>
      </c>
      <c r="H1314" s="106" t="s">
        <v>7</v>
      </c>
      <c r="I1314" s="105" t="s">
        <v>39</v>
      </c>
      <c r="J1314" s="105"/>
      <c r="K1314" s="105"/>
      <c r="L1314" s="105"/>
      <c r="M1314" s="106" t="s">
        <v>137</v>
      </c>
      <c r="N1314" s="106" t="s">
        <v>287</v>
      </c>
      <c r="O1314" s="107"/>
      <c r="P1314" s="106" t="s">
        <v>5649</v>
      </c>
    </row>
    <row r="1315" spans="1:16" outlineLevel="2" x14ac:dyDescent="0.3">
      <c r="A1315" s="105" t="s">
        <v>5650</v>
      </c>
      <c r="B1315" s="106"/>
      <c r="C1315" s="106"/>
      <c r="D1315" s="106"/>
      <c r="E1315" s="106" t="s">
        <v>5651</v>
      </c>
      <c r="F1315" s="106" t="s">
        <v>5652</v>
      </c>
      <c r="G1315" s="105">
        <v>4</v>
      </c>
      <c r="H1315" s="106" t="s">
        <v>7</v>
      </c>
      <c r="I1315" s="105" t="s">
        <v>39</v>
      </c>
      <c r="J1315" s="105"/>
      <c r="K1315" s="105"/>
      <c r="L1315" s="105"/>
      <c r="M1315" s="106"/>
      <c r="N1315" s="106" t="s">
        <v>287</v>
      </c>
      <c r="O1315" s="107"/>
      <c r="P1315" s="106"/>
    </row>
    <row r="1316" spans="1:16" outlineLevel="2" x14ac:dyDescent="0.3">
      <c r="A1316" s="105" t="s">
        <v>5653</v>
      </c>
      <c r="B1316" s="106"/>
      <c r="C1316" s="106"/>
      <c r="D1316" s="106"/>
      <c r="E1316" s="106" t="s">
        <v>5654</v>
      </c>
      <c r="F1316" s="106" t="s">
        <v>1018</v>
      </c>
      <c r="G1316" s="105">
        <v>4</v>
      </c>
      <c r="H1316" s="106" t="s">
        <v>7</v>
      </c>
      <c r="I1316" s="105" t="s">
        <v>39</v>
      </c>
      <c r="J1316" s="105"/>
      <c r="K1316" s="105"/>
      <c r="L1316" s="105"/>
      <c r="M1316" s="106" t="s">
        <v>1019</v>
      </c>
      <c r="N1316" s="106" t="s">
        <v>223</v>
      </c>
      <c r="O1316" s="107"/>
      <c r="P1316" s="106" t="s">
        <v>5655</v>
      </c>
    </row>
    <row r="1317" spans="1:16" outlineLevel="2" x14ac:dyDescent="0.3">
      <c r="A1317" s="105" t="s">
        <v>5656</v>
      </c>
      <c r="B1317" s="106"/>
      <c r="C1317" s="106"/>
      <c r="D1317" s="106"/>
      <c r="E1317" s="106" t="s">
        <v>5657</v>
      </c>
      <c r="F1317" s="106" t="s">
        <v>5658</v>
      </c>
      <c r="G1317" s="105">
        <v>4</v>
      </c>
      <c r="H1317" s="106" t="s">
        <v>7</v>
      </c>
      <c r="I1317" s="105" t="s">
        <v>39</v>
      </c>
      <c r="J1317" s="105"/>
      <c r="K1317" s="105"/>
      <c r="L1317" s="105"/>
      <c r="M1317" s="106"/>
      <c r="N1317" s="106" t="s">
        <v>287</v>
      </c>
      <c r="O1317" s="107"/>
      <c r="P1317" s="106"/>
    </row>
    <row r="1318" spans="1:16" outlineLevel="2" x14ac:dyDescent="0.3">
      <c r="A1318" s="105" t="s">
        <v>5659</v>
      </c>
      <c r="B1318" s="106"/>
      <c r="C1318" s="106"/>
      <c r="D1318" s="106"/>
      <c r="E1318" s="106" t="s">
        <v>5660</v>
      </c>
      <c r="F1318" s="106" t="s">
        <v>5661</v>
      </c>
      <c r="G1318" s="105">
        <v>4</v>
      </c>
      <c r="H1318" s="106" t="s">
        <v>7</v>
      </c>
      <c r="I1318" s="105" t="s">
        <v>39</v>
      </c>
      <c r="J1318" s="105"/>
      <c r="K1318" s="105"/>
      <c r="L1318" s="105"/>
      <c r="M1318" s="106" t="s">
        <v>5662</v>
      </c>
      <c r="N1318" s="106" t="s">
        <v>40</v>
      </c>
      <c r="O1318" s="107"/>
      <c r="P1318" s="106" t="s">
        <v>5663</v>
      </c>
    </row>
    <row r="1319" spans="1:16" outlineLevel="2" x14ac:dyDescent="0.3">
      <c r="A1319" s="105" t="s">
        <v>5664</v>
      </c>
      <c r="B1319" s="106"/>
      <c r="C1319" s="106"/>
      <c r="D1319" s="106"/>
      <c r="E1319" s="106" t="s">
        <v>5665</v>
      </c>
      <c r="F1319" s="106" t="s">
        <v>5666</v>
      </c>
      <c r="G1319" s="105">
        <v>4</v>
      </c>
      <c r="H1319" s="106" t="s">
        <v>7</v>
      </c>
      <c r="I1319" s="105" t="s">
        <v>39</v>
      </c>
      <c r="J1319" s="105"/>
      <c r="K1319" s="105"/>
      <c r="L1319" s="105"/>
      <c r="M1319" s="106" t="s">
        <v>5667</v>
      </c>
      <c r="N1319" s="106" t="s">
        <v>287</v>
      </c>
      <c r="O1319" s="107"/>
      <c r="P1319" s="106"/>
    </row>
    <row r="1320" spans="1:16" outlineLevel="2" x14ac:dyDescent="0.3">
      <c r="A1320" s="105" t="s">
        <v>5668</v>
      </c>
      <c r="B1320" s="106"/>
      <c r="C1320" s="106"/>
      <c r="D1320" s="106"/>
      <c r="E1320" s="106" t="s">
        <v>5669</v>
      </c>
      <c r="F1320" s="106" t="s">
        <v>5670</v>
      </c>
      <c r="G1320" s="105">
        <v>4</v>
      </c>
      <c r="H1320" s="106" t="s">
        <v>7</v>
      </c>
      <c r="I1320" s="105" t="s">
        <v>39</v>
      </c>
      <c r="J1320" s="105"/>
      <c r="K1320" s="105"/>
      <c r="L1320" s="105"/>
      <c r="M1320" s="106" t="s">
        <v>5671</v>
      </c>
      <c r="N1320" s="106" t="s">
        <v>40</v>
      </c>
      <c r="O1320" s="107"/>
      <c r="P1320" s="106" t="s">
        <v>5672</v>
      </c>
    </row>
    <row r="1321" spans="1:16" outlineLevel="2" x14ac:dyDescent="0.3">
      <c r="A1321" s="105" t="s">
        <v>5673</v>
      </c>
      <c r="B1321" s="106"/>
      <c r="C1321" s="106"/>
      <c r="D1321" s="106"/>
      <c r="E1321" s="106" t="s">
        <v>5674</v>
      </c>
      <c r="F1321" s="106" t="s">
        <v>5675</v>
      </c>
      <c r="G1321" s="105">
        <v>4</v>
      </c>
      <c r="H1321" s="106" t="s">
        <v>7</v>
      </c>
      <c r="I1321" s="105" t="s">
        <v>39</v>
      </c>
      <c r="J1321" s="105"/>
      <c r="K1321" s="105"/>
      <c r="L1321" s="105"/>
      <c r="M1321" s="106" t="s">
        <v>5676</v>
      </c>
      <c r="N1321" s="106" t="s">
        <v>40</v>
      </c>
      <c r="O1321" s="107"/>
      <c r="P1321" s="106" t="s">
        <v>5677</v>
      </c>
    </row>
    <row r="1322" spans="1:16" outlineLevel="2" x14ac:dyDescent="0.3">
      <c r="A1322" s="105" t="s">
        <v>5678</v>
      </c>
      <c r="B1322" s="106"/>
      <c r="C1322" s="106"/>
      <c r="D1322" s="106"/>
      <c r="E1322" s="106" t="s">
        <v>5679</v>
      </c>
      <c r="F1322" s="106" t="s">
        <v>5680</v>
      </c>
      <c r="G1322" s="105">
        <v>4</v>
      </c>
      <c r="H1322" s="106" t="s">
        <v>7</v>
      </c>
      <c r="I1322" s="105" t="s">
        <v>39</v>
      </c>
      <c r="J1322" s="105"/>
      <c r="K1322" s="105"/>
      <c r="L1322" s="105"/>
      <c r="M1322" s="106"/>
      <c r="N1322" s="106" t="s">
        <v>287</v>
      </c>
      <c r="O1322" s="107"/>
      <c r="P1322" s="106"/>
    </row>
    <row r="1323" spans="1:16" outlineLevel="2" x14ac:dyDescent="0.3">
      <c r="A1323" s="105" t="s">
        <v>5681</v>
      </c>
      <c r="B1323" s="106"/>
      <c r="C1323" s="106"/>
      <c r="D1323" s="106"/>
      <c r="E1323" s="106" t="s">
        <v>5682</v>
      </c>
      <c r="F1323" s="106" t="s">
        <v>5683</v>
      </c>
      <c r="G1323" s="105">
        <v>4</v>
      </c>
      <c r="H1323" s="106" t="s">
        <v>7</v>
      </c>
      <c r="I1323" s="105" t="s">
        <v>39</v>
      </c>
      <c r="J1323" s="105"/>
      <c r="K1323" s="105"/>
      <c r="L1323" s="105"/>
      <c r="M1323" s="106" t="s">
        <v>5684</v>
      </c>
      <c r="N1323" s="106" t="s">
        <v>40</v>
      </c>
      <c r="O1323" s="107"/>
      <c r="P1323" s="106" t="s">
        <v>5685</v>
      </c>
    </row>
    <row r="1324" spans="1:16" outlineLevel="2" x14ac:dyDescent="0.3">
      <c r="A1324" s="105" t="s">
        <v>5686</v>
      </c>
      <c r="B1324" s="106"/>
      <c r="C1324" s="106"/>
      <c r="D1324" s="106"/>
      <c r="E1324" s="106" t="s">
        <v>5687</v>
      </c>
      <c r="F1324" s="106" t="s">
        <v>5688</v>
      </c>
      <c r="G1324" s="105">
        <v>4</v>
      </c>
      <c r="H1324" s="106" t="s">
        <v>7</v>
      </c>
      <c r="I1324" s="105" t="s">
        <v>39</v>
      </c>
      <c r="J1324" s="105"/>
      <c r="K1324" s="105"/>
      <c r="L1324" s="105"/>
      <c r="M1324" s="106" t="s">
        <v>5689</v>
      </c>
      <c r="N1324" s="106" t="s">
        <v>40</v>
      </c>
      <c r="O1324" s="107"/>
      <c r="P1324" s="106" t="s">
        <v>5690</v>
      </c>
    </row>
    <row r="1325" spans="1:16" outlineLevel="2" x14ac:dyDescent="0.3">
      <c r="A1325" s="105" t="s">
        <v>5691</v>
      </c>
      <c r="B1325" s="106"/>
      <c r="C1325" s="106"/>
      <c r="D1325" s="106"/>
      <c r="E1325" s="106" t="s">
        <v>5692</v>
      </c>
      <c r="F1325" s="106" t="s">
        <v>5693</v>
      </c>
      <c r="G1325" s="105">
        <v>4</v>
      </c>
      <c r="H1325" s="106" t="s">
        <v>7</v>
      </c>
      <c r="I1325" s="105" t="s">
        <v>39</v>
      </c>
      <c r="J1325" s="105"/>
      <c r="K1325" s="105"/>
      <c r="L1325" s="105"/>
      <c r="M1325" s="106" t="s">
        <v>5694</v>
      </c>
      <c r="N1325" s="106" t="s">
        <v>40</v>
      </c>
      <c r="O1325" s="107"/>
      <c r="P1325" s="106" t="s">
        <v>5695</v>
      </c>
    </row>
    <row r="1326" spans="1:16" outlineLevel="2" x14ac:dyDescent="0.3">
      <c r="A1326" s="105" t="s">
        <v>5696</v>
      </c>
      <c r="B1326" s="106"/>
      <c r="C1326" s="106"/>
      <c r="D1326" s="106"/>
      <c r="E1326" s="106" t="s">
        <v>5697</v>
      </c>
      <c r="F1326" s="106" t="s">
        <v>5698</v>
      </c>
      <c r="G1326" s="105">
        <v>4</v>
      </c>
      <c r="H1326" s="106" t="s">
        <v>7</v>
      </c>
      <c r="I1326" s="105" t="s">
        <v>39</v>
      </c>
      <c r="J1326" s="105"/>
      <c r="K1326" s="105"/>
      <c r="L1326" s="105"/>
      <c r="M1326" s="106" t="s">
        <v>5699</v>
      </c>
      <c r="N1326" s="106" t="s">
        <v>40</v>
      </c>
      <c r="O1326" s="107"/>
      <c r="P1326" s="106" t="s">
        <v>5700</v>
      </c>
    </row>
    <row r="1327" spans="1:16" outlineLevel="2" x14ac:dyDescent="0.3">
      <c r="A1327" s="105" t="s">
        <v>5701</v>
      </c>
      <c r="B1327" s="106"/>
      <c r="C1327" s="106"/>
      <c r="D1327" s="106"/>
      <c r="E1327" s="106" t="s">
        <v>5702</v>
      </c>
      <c r="F1327" s="106" t="s">
        <v>5703</v>
      </c>
      <c r="G1327" s="105">
        <v>4</v>
      </c>
      <c r="H1327" s="106" t="s">
        <v>7</v>
      </c>
      <c r="I1327" s="105" t="s">
        <v>39</v>
      </c>
      <c r="J1327" s="105"/>
      <c r="K1327" s="105"/>
      <c r="L1327" s="105"/>
      <c r="M1327" s="106" t="s">
        <v>5704</v>
      </c>
      <c r="N1327" s="106" t="s">
        <v>40</v>
      </c>
      <c r="O1327" s="107"/>
      <c r="P1327" s="106" t="s">
        <v>5705</v>
      </c>
    </row>
    <row r="1328" spans="1:16" outlineLevel="2" x14ac:dyDescent="0.3">
      <c r="A1328" s="105" t="s">
        <v>5706</v>
      </c>
      <c r="B1328" s="106"/>
      <c r="C1328" s="106"/>
      <c r="D1328" s="106"/>
      <c r="E1328" s="106" t="s">
        <v>5707</v>
      </c>
      <c r="F1328" s="106" t="s">
        <v>5708</v>
      </c>
      <c r="G1328" s="105">
        <v>4</v>
      </c>
      <c r="H1328" s="106" t="s">
        <v>7</v>
      </c>
      <c r="I1328" s="105" t="s">
        <v>39</v>
      </c>
      <c r="J1328" s="105"/>
      <c r="K1328" s="105"/>
      <c r="L1328" s="105"/>
      <c r="M1328" s="106" t="s">
        <v>5709</v>
      </c>
      <c r="N1328" s="106" t="s">
        <v>223</v>
      </c>
      <c r="O1328" s="107"/>
      <c r="P1328" s="106" t="s">
        <v>5710</v>
      </c>
    </row>
    <row r="1329" spans="1:16" outlineLevel="2" x14ac:dyDescent="0.3">
      <c r="A1329" s="105" t="s">
        <v>5711</v>
      </c>
      <c r="B1329" s="106"/>
      <c r="C1329" s="106"/>
      <c r="D1329" s="106"/>
      <c r="E1329" s="106" t="s">
        <v>5712</v>
      </c>
      <c r="F1329" s="106" t="s">
        <v>5713</v>
      </c>
      <c r="G1329" s="105">
        <v>4</v>
      </c>
      <c r="H1329" s="106" t="s">
        <v>7</v>
      </c>
      <c r="I1329" s="105" t="s">
        <v>39</v>
      </c>
      <c r="J1329" s="105"/>
      <c r="K1329" s="105"/>
      <c r="L1329" s="105"/>
      <c r="M1329" s="106" t="s">
        <v>5714</v>
      </c>
      <c r="N1329" s="106" t="s">
        <v>40</v>
      </c>
      <c r="O1329" s="107"/>
      <c r="P1329" s="106" t="s">
        <v>5715</v>
      </c>
    </row>
    <row r="1330" spans="1:16" outlineLevel="2" x14ac:dyDescent="0.3">
      <c r="A1330" s="105" t="s">
        <v>5716</v>
      </c>
      <c r="B1330" s="106"/>
      <c r="C1330" s="106"/>
      <c r="D1330" s="106"/>
      <c r="E1330" s="106" t="s">
        <v>5717</v>
      </c>
      <c r="F1330" s="106" t="s">
        <v>5718</v>
      </c>
      <c r="G1330" s="105">
        <v>4</v>
      </c>
      <c r="H1330" s="106" t="s">
        <v>7</v>
      </c>
      <c r="I1330" s="105" t="s">
        <v>39</v>
      </c>
      <c r="J1330" s="105"/>
      <c r="K1330" s="105"/>
      <c r="L1330" s="105"/>
      <c r="M1330" s="106" t="s">
        <v>5719</v>
      </c>
      <c r="N1330" s="106" t="s">
        <v>40</v>
      </c>
      <c r="O1330" s="107"/>
      <c r="P1330" s="106" t="s">
        <v>5720</v>
      </c>
    </row>
    <row r="1331" spans="1:16" outlineLevel="2" x14ac:dyDescent="0.3">
      <c r="A1331" s="105" t="s">
        <v>5721</v>
      </c>
      <c r="B1331" s="106"/>
      <c r="C1331" s="106"/>
      <c r="D1331" s="106"/>
      <c r="E1331" s="106" t="s">
        <v>5722</v>
      </c>
      <c r="F1331" s="106" t="s">
        <v>5723</v>
      </c>
      <c r="G1331" s="105">
        <v>4</v>
      </c>
      <c r="H1331" s="106" t="s">
        <v>7</v>
      </c>
      <c r="I1331" s="105" t="s">
        <v>39</v>
      </c>
      <c r="J1331" s="105"/>
      <c r="K1331" s="105"/>
      <c r="L1331" s="105"/>
      <c r="M1331" s="106"/>
      <c r="N1331" s="106" t="s">
        <v>287</v>
      </c>
      <c r="O1331" s="107"/>
      <c r="P1331" s="106"/>
    </row>
    <row r="1332" spans="1:16" outlineLevel="2" x14ac:dyDescent="0.3">
      <c r="A1332" s="105" t="s">
        <v>5724</v>
      </c>
      <c r="B1332" s="106"/>
      <c r="C1332" s="106"/>
      <c r="D1332" s="106"/>
      <c r="E1332" s="106" t="s">
        <v>5725</v>
      </c>
      <c r="F1332" s="106" t="s">
        <v>5726</v>
      </c>
      <c r="G1332" s="105">
        <v>4</v>
      </c>
      <c r="H1332" s="106" t="s">
        <v>7</v>
      </c>
      <c r="I1332" s="105" t="s">
        <v>39</v>
      </c>
      <c r="J1332" s="105"/>
      <c r="K1332" s="105"/>
      <c r="L1332" s="105"/>
      <c r="M1332" s="106" t="s">
        <v>5727</v>
      </c>
      <c r="N1332" s="106" t="s">
        <v>223</v>
      </c>
      <c r="O1332" s="107"/>
      <c r="P1332" s="106" t="s">
        <v>5728</v>
      </c>
    </row>
    <row r="1333" spans="1:16" outlineLevel="2" x14ac:dyDescent="0.3">
      <c r="A1333" s="105" t="s">
        <v>5729</v>
      </c>
      <c r="B1333" s="106"/>
      <c r="C1333" s="106"/>
      <c r="D1333" s="106"/>
      <c r="E1333" s="106" t="s">
        <v>5730</v>
      </c>
      <c r="F1333" s="106" t="s">
        <v>5731</v>
      </c>
      <c r="G1333" s="105">
        <v>4</v>
      </c>
      <c r="H1333" s="106" t="s">
        <v>7</v>
      </c>
      <c r="I1333" s="105" t="s">
        <v>39</v>
      </c>
      <c r="J1333" s="105"/>
      <c r="K1333" s="105"/>
      <c r="L1333" s="105"/>
      <c r="M1333" s="106" t="s">
        <v>5732</v>
      </c>
      <c r="N1333" s="106" t="s">
        <v>40</v>
      </c>
      <c r="O1333" s="107"/>
      <c r="P1333" s="106" t="s">
        <v>5733</v>
      </c>
    </row>
    <row r="1334" spans="1:16" outlineLevel="2" x14ac:dyDescent="0.3">
      <c r="A1334" s="105" t="s">
        <v>5734</v>
      </c>
      <c r="B1334" s="106"/>
      <c r="C1334" s="106"/>
      <c r="D1334" s="106"/>
      <c r="E1334" s="106" t="s">
        <v>5735</v>
      </c>
      <c r="F1334" s="106" t="s">
        <v>5736</v>
      </c>
      <c r="G1334" s="105">
        <v>4</v>
      </c>
      <c r="H1334" s="106" t="s">
        <v>7</v>
      </c>
      <c r="I1334" s="105" t="s">
        <v>39</v>
      </c>
      <c r="J1334" s="105"/>
      <c r="K1334" s="105"/>
      <c r="L1334" s="105"/>
      <c r="M1334" s="106" t="s">
        <v>5737</v>
      </c>
      <c r="N1334" s="106" t="s">
        <v>223</v>
      </c>
      <c r="O1334" s="107"/>
      <c r="P1334" s="106" t="s">
        <v>5738</v>
      </c>
    </row>
    <row r="1335" spans="1:16" outlineLevel="2" x14ac:dyDescent="0.3">
      <c r="A1335" s="105" t="s">
        <v>5739</v>
      </c>
      <c r="B1335" s="106"/>
      <c r="C1335" s="106"/>
      <c r="D1335" s="106"/>
      <c r="E1335" s="106" t="s">
        <v>5740</v>
      </c>
      <c r="F1335" s="106" t="s">
        <v>5741</v>
      </c>
      <c r="G1335" s="105">
        <v>4</v>
      </c>
      <c r="H1335" s="106" t="s">
        <v>7</v>
      </c>
      <c r="I1335" s="105" t="s">
        <v>39</v>
      </c>
      <c r="J1335" s="105"/>
      <c r="K1335" s="105"/>
      <c r="L1335" s="105"/>
      <c r="M1335" s="106" t="s">
        <v>5742</v>
      </c>
      <c r="N1335" s="106" t="s">
        <v>40</v>
      </c>
      <c r="O1335" s="107"/>
      <c r="P1335" s="106" t="s">
        <v>5743</v>
      </c>
    </row>
    <row r="1336" spans="1:16" outlineLevel="2" x14ac:dyDescent="0.3">
      <c r="A1336" s="105" t="s">
        <v>5744</v>
      </c>
      <c r="B1336" s="106"/>
      <c r="C1336" s="106"/>
      <c r="D1336" s="106"/>
      <c r="E1336" s="106" t="s">
        <v>5745</v>
      </c>
      <c r="F1336" s="106" t="s">
        <v>5746</v>
      </c>
      <c r="G1336" s="105">
        <v>4</v>
      </c>
      <c r="H1336" s="106" t="s">
        <v>7</v>
      </c>
      <c r="I1336" s="105" t="s">
        <v>39</v>
      </c>
      <c r="J1336" s="105"/>
      <c r="K1336" s="105"/>
      <c r="L1336" s="105"/>
      <c r="M1336" s="106" t="s">
        <v>5747</v>
      </c>
      <c r="N1336" s="106" t="s">
        <v>223</v>
      </c>
      <c r="O1336" s="107"/>
      <c r="P1336" s="106" t="s">
        <v>5748</v>
      </c>
    </row>
    <row r="1337" spans="1:16" outlineLevel="2" x14ac:dyDescent="0.3">
      <c r="A1337" s="105" t="s">
        <v>5749</v>
      </c>
      <c r="B1337" s="106"/>
      <c r="C1337" s="106"/>
      <c r="D1337" s="106"/>
      <c r="E1337" s="106" t="s">
        <v>5750</v>
      </c>
      <c r="F1337" s="106" t="s">
        <v>5751</v>
      </c>
      <c r="G1337" s="105">
        <v>4</v>
      </c>
      <c r="H1337" s="106" t="s">
        <v>7</v>
      </c>
      <c r="I1337" s="105" t="s">
        <v>39</v>
      </c>
      <c r="J1337" s="105"/>
      <c r="K1337" s="105"/>
      <c r="L1337" s="105"/>
      <c r="M1337" s="106" t="s">
        <v>5752</v>
      </c>
      <c r="N1337" s="106" t="s">
        <v>223</v>
      </c>
      <c r="O1337" s="107"/>
      <c r="P1337" s="106" t="s">
        <v>5753</v>
      </c>
    </row>
    <row r="1338" spans="1:16" outlineLevel="2" x14ac:dyDescent="0.3">
      <c r="A1338" s="105" t="s">
        <v>5754</v>
      </c>
      <c r="B1338" s="106"/>
      <c r="C1338" s="106"/>
      <c r="D1338" s="106"/>
      <c r="E1338" s="106" t="s">
        <v>5755</v>
      </c>
      <c r="F1338" s="106" t="s">
        <v>5756</v>
      </c>
      <c r="G1338" s="105">
        <v>4</v>
      </c>
      <c r="H1338" s="106" t="s">
        <v>7</v>
      </c>
      <c r="I1338" s="105" t="s">
        <v>39</v>
      </c>
      <c r="J1338" s="105"/>
      <c r="K1338" s="105"/>
      <c r="L1338" s="105"/>
      <c r="M1338" s="106"/>
      <c r="N1338" s="106" t="s">
        <v>287</v>
      </c>
      <c r="O1338" s="107"/>
      <c r="P1338" s="106" t="s">
        <v>5757</v>
      </c>
    </row>
    <row r="1339" spans="1:16" outlineLevel="2" x14ac:dyDescent="0.3">
      <c r="A1339" s="105" t="s">
        <v>5758</v>
      </c>
      <c r="B1339" s="106"/>
      <c r="C1339" s="106"/>
      <c r="D1339" s="106"/>
      <c r="E1339" s="106" t="s">
        <v>5759</v>
      </c>
      <c r="F1339" s="106" t="s">
        <v>5760</v>
      </c>
      <c r="G1339" s="105">
        <v>4</v>
      </c>
      <c r="H1339" s="106" t="s">
        <v>7</v>
      </c>
      <c r="I1339" s="105" t="s">
        <v>39</v>
      </c>
      <c r="J1339" s="105"/>
      <c r="K1339" s="105"/>
      <c r="L1339" s="105"/>
      <c r="M1339" s="106" t="s">
        <v>5761</v>
      </c>
      <c r="N1339" s="106" t="s">
        <v>40</v>
      </c>
      <c r="O1339" s="107"/>
      <c r="P1339" s="106" t="s">
        <v>5762</v>
      </c>
    </row>
    <row r="1340" spans="1:16" outlineLevel="2" x14ac:dyDescent="0.3">
      <c r="A1340" s="105" t="s">
        <v>5763</v>
      </c>
      <c r="B1340" s="106"/>
      <c r="C1340" s="106"/>
      <c r="D1340" s="106"/>
      <c r="E1340" s="106" t="s">
        <v>5764</v>
      </c>
      <c r="F1340" s="106" t="s">
        <v>5765</v>
      </c>
      <c r="G1340" s="105">
        <v>4</v>
      </c>
      <c r="H1340" s="106" t="s">
        <v>7</v>
      </c>
      <c r="I1340" s="105" t="s">
        <v>39</v>
      </c>
      <c r="J1340" s="105"/>
      <c r="K1340" s="105"/>
      <c r="L1340" s="105"/>
      <c r="M1340" s="106" t="s">
        <v>5766</v>
      </c>
      <c r="N1340" s="106" t="s">
        <v>40</v>
      </c>
      <c r="O1340" s="107"/>
      <c r="P1340" s="106" t="s">
        <v>5767</v>
      </c>
    </row>
    <row r="1341" spans="1:16" outlineLevel="2" x14ac:dyDescent="0.3">
      <c r="A1341" s="105" t="s">
        <v>5768</v>
      </c>
      <c r="B1341" s="106"/>
      <c r="C1341" s="106"/>
      <c r="D1341" s="106"/>
      <c r="E1341" s="106" t="s">
        <v>5769</v>
      </c>
      <c r="F1341" s="106" t="s">
        <v>5770</v>
      </c>
      <c r="G1341" s="105">
        <v>4</v>
      </c>
      <c r="H1341" s="106" t="s">
        <v>7</v>
      </c>
      <c r="I1341" s="105" t="s">
        <v>39</v>
      </c>
      <c r="J1341" s="105"/>
      <c r="K1341" s="105"/>
      <c r="L1341" s="105"/>
      <c r="M1341" s="106" t="s">
        <v>5771</v>
      </c>
      <c r="N1341" s="106" t="s">
        <v>40</v>
      </c>
      <c r="O1341" s="107"/>
      <c r="P1341" s="106" t="s">
        <v>5772</v>
      </c>
    </row>
    <row r="1342" spans="1:16" outlineLevel="2" x14ac:dyDescent="0.3">
      <c r="A1342" s="105" t="s">
        <v>5773</v>
      </c>
      <c r="B1342" s="106"/>
      <c r="C1342" s="106"/>
      <c r="D1342" s="106"/>
      <c r="E1342" s="106" t="s">
        <v>5774</v>
      </c>
      <c r="F1342" s="106" t="s">
        <v>5775</v>
      </c>
      <c r="G1342" s="105">
        <v>4</v>
      </c>
      <c r="H1342" s="106" t="s">
        <v>7</v>
      </c>
      <c r="I1342" s="105" t="s">
        <v>39</v>
      </c>
      <c r="J1342" s="105"/>
      <c r="K1342" s="105"/>
      <c r="L1342" s="105"/>
      <c r="M1342" s="106" t="s">
        <v>5776</v>
      </c>
      <c r="N1342" s="106" t="s">
        <v>223</v>
      </c>
      <c r="O1342" s="107"/>
      <c r="P1342" s="106" t="s">
        <v>5777</v>
      </c>
    </row>
    <row r="1343" spans="1:16" outlineLevel="2" x14ac:dyDescent="0.3">
      <c r="A1343" s="105" t="s">
        <v>5778</v>
      </c>
      <c r="B1343" s="106"/>
      <c r="C1343" s="106"/>
      <c r="D1343" s="106"/>
      <c r="E1343" s="106" t="s">
        <v>5779</v>
      </c>
      <c r="F1343" s="106" t="s">
        <v>5780</v>
      </c>
      <c r="G1343" s="105">
        <v>4</v>
      </c>
      <c r="H1343" s="106" t="s">
        <v>7</v>
      </c>
      <c r="I1343" s="105" t="s">
        <v>39</v>
      </c>
      <c r="J1343" s="105"/>
      <c r="K1343" s="105"/>
      <c r="L1343" s="105"/>
      <c r="M1343" s="106"/>
      <c r="N1343" s="106" t="s">
        <v>287</v>
      </c>
      <c r="O1343" s="107"/>
      <c r="P1343" s="106"/>
    </row>
    <row r="1344" spans="1:16" outlineLevel="2" x14ac:dyDescent="0.3">
      <c r="A1344" s="105" t="s">
        <v>5781</v>
      </c>
      <c r="B1344" s="106"/>
      <c r="C1344" s="106"/>
      <c r="D1344" s="106"/>
      <c r="E1344" s="106" t="s">
        <v>5782</v>
      </c>
      <c r="F1344" s="106" t="s">
        <v>5783</v>
      </c>
      <c r="G1344" s="105">
        <v>4</v>
      </c>
      <c r="H1344" s="106" t="s">
        <v>7</v>
      </c>
      <c r="I1344" s="105" t="s">
        <v>39</v>
      </c>
      <c r="J1344" s="105"/>
      <c r="K1344" s="105"/>
      <c r="L1344" s="105"/>
      <c r="M1344" s="106" t="s">
        <v>5784</v>
      </c>
      <c r="N1344" s="106" t="s">
        <v>223</v>
      </c>
      <c r="O1344" s="107"/>
      <c r="P1344" s="106" t="s">
        <v>5785</v>
      </c>
    </row>
    <row r="1345" spans="1:16" outlineLevel="2" x14ac:dyDescent="0.3">
      <c r="A1345" s="105" t="s">
        <v>5786</v>
      </c>
      <c r="B1345" s="106"/>
      <c r="C1345" s="106"/>
      <c r="D1345" s="106"/>
      <c r="E1345" s="106" t="s">
        <v>5787</v>
      </c>
      <c r="F1345" s="106" t="s">
        <v>5788</v>
      </c>
      <c r="G1345" s="105">
        <v>4</v>
      </c>
      <c r="H1345" s="106" t="s">
        <v>7</v>
      </c>
      <c r="I1345" s="105" t="s">
        <v>39</v>
      </c>
      <c r="J1345" s="105"/>
      <c r="K1345" s="105"/>
      <c r="L1345" s="105"/>
      <c r="M1345" s="106" t="s">
        <v>5789</v>
      </c>
      <c r="N1345" s="106" t="s">
        <v>223</v>
      </c>
      <c r="O1345" s="107"/>
      <c r="P1345" s="106" t="s">
        <v>5790</v>
      </c>
    </row>
    <row r="1346" spans="1:16" outlineLevel="2" x14ac:dyDescent="0.3">
      <c r="A1346" s="105" t="s">
        <v>5791</v>
      </c>
      <c r="B1346" s="106"/>
      <c r="C1346" s="106"/>
      <c r="D1346" s="106"/>
      <c r="E1346" s="106" t="s">
        <v>5792</v>
      </c>
      <c r="F1346" s="106" t="s">
        <v>5793</v>
      </c>
      <c r="G1346" s="105">
        <v>4</v>
      </c>
      <c r="H1346" s="106" t="s">
        <v>7</v>
      </c>
      <c r="I1346" s="105" t="s">
        <v>39</v>
      </c>
      <c r="J1346" s="105"/>
      <c r="K1346" s="105"/>
      <c r="L1346" s="105"/>
      <c r="M1346" s="106" t="s">
        <v>5794</v>
      </c>
      <c r="N1346" s="106" t="s">
        <v>40</v>
      </c>
      <c r="O1346" s="107"/>
      <c r="P1346" s="106" t="s">
        <v>5795</v>
      </c>
    </row>
    <row r="1347" spans="1:16" outlineLevel="2" x14ac:dyDescent="0.3">
      <c r="A1347" s="105" t="s">
        <v>5796</v>
      </c>
      <c r="B1347" s="106"/>
      <c r="C1347" s="106"/>
      <c r="D1347" s="106"/>
      <c r="E1347" s="106" t="s">
        <v>5797</v>
      </c>
      <c r="F1347" s="106" t="s">
        <v>5798</v>
      </c>
      <c r="G1347" s="105">
        <v>4</v>
      </c>
      <c r="H1347" s="106" t="s">
        <v>7</v>
      </c>
      <c r="I1347" s="105" t="s">
        <v>39</v>
      </c>
      <c r="J1347" s="105"/>
      <c r="K1347" s="105"/>
      <c r="L1347" s="105"/>
      <c r="M1347" s="106" t="s">
        <v>5799</v>
      </c>
      <c r="N1347" s="106" t="s">
        <v>40</v>
      </c>
      <c r="O1347" s="107"/>
      <c r="P1347" s="106" t="s">
        <v>5800</v>
      </c>
    </row>
    <row r="1348" spans="1:16" ht="27.6" outlineLevel="1" x14ac:dyDescent="0.3">
      <c r="A1348" s="259" t="s">
        <v>5801</v>
      </c>
      <c r="B1348" s="260"/>
      <c r="C1348" s="261" t="s">
        <v>5802</v>
      </c>
      <c r="D1348" s="260"/>
      <c r="E1348" s="260"/>
      <c r="F1348" s="260"/>
      <c r="G1348" s="259">
        <v>2</v>
      </c>
      <c r="H1348" s="260" t="s">
        <v>25</v>
      </c>
      <c r="I1348" s="259" t="s">
        <v>39</v>
      </c>
      <c r="J1348" s="259">
        <v>16</v>
      </c>
      <c r="K1348" s="259">
        <v>1</v>
      </c>
      <c r="L1348" s="259">
        <v>17</v>
      </c>
      <c r="M1348" s="262" t="s">
        <v>5803</v>
      </c>
      <c r="N1348" s="262" t="s">
        <v>40</v>
      </c>
      <c r="O1348" s="263"/>
      <c r="P1348" s="262" t="s">
        <v>5804</v>
      </c>
    </row>
    <row r="1349" spans="1:16" outlineLevel="2" x14ac:dyDescent="0.3">
      <c r="A1349" s="105" t="s">
        <v>5805</v>
      </c>
      <c r="B1349" s="106"/>
      <c r="C1349" s="106"/>
      <c r="D1349" s="106"/>
      <c r="E1349" s="106" t="s">
        <v>5806</v>
      </c>
      <c r="F1349" s="106" t="s">
        <v>5807</v>
      </c>
      <c r="G1349" s="105">
        <v>4</v>
      </c>
      <c r="H1349" s="106" t="s">
        <v>7</v>
      </c>
      <c r="I1349" s="105" t="s">
        <v>39</v>
      </c>
      <c r="J1349" s="105"/>
      <c r="K1349" s="105"/>
      <c r="L1349" s="105"/>
      <c r="M1349" s="106" t="s">
        <v>5808</v>
      </c>
      <c r="N1349" s="106" t="s">
        <v>40</v>
      </c>
      <c r="O1349" s="107"/>
      <c r="P1349" s="106" t="s">
        <v>5809</v>
      </c>
    </row>
    <row r="1350" spans="1:16" outlineLevel="2" x14ac:dyDescent="0.3">
      <c r="A1350" s="105" t="s">
        <v>5810</v>
      </c>
      <c r="B1350" s="106"/>
      <c r="C1350" s="106"/>
      <c r="D1350" s="106"/>
      <c r="E1350" s="106" t="s">
        <v>5811</v>
      </c>
      <c r="F1350" s="106" t="s">
        <v>968</v>
      </c>
      <c r="G1350" s="105">
        <v>4</v>
      </c>
      <c r="H1350" s="106" t="s">
        <v>7</v>
      </c>
      <c r="I1350" s="105" t="s">
        <v>39</v>
      </c>
      <c r="J1350" s="105"/>
      <c r="K1350" s="105"/>
      <c r="L1350" s="105"/>
      <c r="M1350" s="106" t="s">
        <v>5812</v>
      </c>
      <c r="N1350" s="106" t="s">
        <v>40</v>
      </c>
      <c r="O1350" s="107"/>
      <c r="P1350" s="106" t="s">
        <v>5813</v>
      </c>
    </row>
    <row r="1351" spans="1:16" outlineLevel="2" x14ac:dyDescent="0.3">
      <c r="A1351" s="105" t="s">
        <v>5814</v>
      </c>
      <c r="B1351" s="106"/>
      <c r="C1351" s="106"/>
      <c r="D1351" s="106"/>
      <c r="E1351" s="106" t="s">
        <v>5815</v>
      </c>
      <c r="F1351" s="106" t="s">
        <v>5816</v>
      </c>
      <c r="G1351" s="105">
        <v>4</v>
      </c>
      <c r="H1351" s="106" t="s">
        <v>7</v>
      </c>
      <c r="I1351" s="105" t="s">
        <v>39</v>
      </c>
      <c r="J1351" s="105"/>
      <c r="K1351" s="105"/>
      <c r="L1351" s="105"/>
      <c r="M1351" s="106" t="s">
        <v>5817</v>
      </c>
      <c r="N1351" s="106" t="s">
        <v>40</v>
      </c>
      <c r="O1351" s="107"/>
      <c r="P1351" s="106" t="s">
        <v>5818</v>
      </c>
    </row>
    <row r="1352" spans="1:16" outlineLevel="2" x14ac:dyDescent="0.3">
      <c r="A1352" s="105" t="s">
        <v>5819</v>
      </c>
      <c r="B1352" s="106"/>
      <c r="C1352" s="106"/>
      <c r="D1352" s="106"/>
      <c r="E1352" s="106" t="s">
        <v>5820</v>
      </c>
      <c r="F1352" s="106" t="s">
        <v>5821</v>
      </c>
      <c r="G1352" s="105">
        <v>4</v>
      </c>
      <c r="H1352" s="106" t="s">
        <v>7</v>
      </c>
      <c r="I1352" s="105" t="s">
        <v>39</v>
      </c>
      <c r="J1352" s="105"/>
      <c r="K1352" s="105"/>
      <c r="L1352" s="105"/>
      <c r="M1352" s="106" t="s">
        <v>5822</v>
      </c>
      <c r="N1352" s="106" t="s">
        <v>40</v>
      </c>
      <c r="O1352" s="107"/>
      <c r="P1352" s="106" t="s">
        <v>5823</v>
      </c>
    </row>
    <row r="1353" spans="1:16" outlineLevel="2" x14ac:dyDescent="0.3">
      <c r="A1353" s="105" t="s">
        <v>5824</v>
      </c>
      <c r="B1353" s="106"/>
      <c r="C1353" s="106"/>
      <c r="D1353" s="106"/>
      <c r="E1353" s="106" t="s">
        <v>5825</v>
      </c>
      <c r="F1353" s="106" t="s">
        <v>1107</v>
      </c>
      <c r="G1353" s="105">
        <v>4</v>
      </c>
      <c r="H1353" s="106" t="s">
        <v>7</v>
      </c>
      <c r="I1353" s="105" t="s">
        <v>39</v>
      </c>
      <c r="J1353" s="105"/>
      <c r="K1353" s="105"/>
      <c r="L1353" s="105"/>
      <c r="M1353" s="106" t="s">
        <v>1108</v>
      </c>
      <c r="N1353" s="106" t="s">
        <v>40</v>
      </c>
      <c r="O1353" s="107"/>
      <c r="P1353" s="106" t="s">
        <v>5826</v>
      </c>
    </row>
    <row r="1354" spans="1:16" outlineLevel="2" x14ac:dyDescent="0.3">
      <c r="A1354" s="105" t="s">
        <v>5827</v>
      </c>
      <c r="B1354" s="106"/>
      <c r="C1354" s="106"/>
      <c r="D1354" s="106"/>
      <c r="E1354" s="106" t="s">
        <v>5828</v>
      </c>
      <c r="F1354" s="106" t="s">
        <v>5829</v>
      </c>
      <c r="G1354" s="105">
        <v>4</v>
      </c>
      <c r="H1354" s="106" t="s">
        <v>7</v>
      </c>
      <c r="I1354" s="105" t="s">
        <v>39</v>
      </c>
      <c r="J1354" s="105"/>
      <c r="K1354" s="105"/>
      <c r="L1354" s="105"/>
      <c r="M1354" s="106" t="s">
        <v>5830</v>
      </c>
      <c r="N1354" s="106" t="s">
        <v>40</v>
      </c>
      <c r="O1354" s="107"/>
      <c r="P1354" s="106" t="s">
        <v>5831</v>
      </c>
    </row>
    <row r="1355" spans="1:16" outlineLevel="2" x14ac:dyDescent="0.3">
      <c r="A1355" s="105" t="s">
        <v>5832</v>
      </c>
      <c r="B1355" s="106"/>
      <c r="C1355" s="106"/>
      <c r="D1355" s="106"/>
      <c r="E1355" s="106" t="s">
        <v>5833</v>
      </c>
      <c r="F1355" s="106" t="s">
        <v>13</v>
      </c>
      <c r="G1355" s="105">
        <v>4</v>
      </c>
      <c r="H1355" s="106" t="s">
        <v>7</v>
      </c>
      <c r="I1355" s="105"/>
      <c r="J1355" s="105"/>
      <c r="K1355" s="105"/>
      <c r="L1355" s="105"/>
      <c r="M1355" s="106" t="s">
        <v>5834</v>
      </c>
      <c r="N1355" s="106" t="s">
        <v>40</v>
      </c>
      <c r="O1355" s="107" t="s">
        <v>447</v>
      </c>
      <c r="P1355" s="106" t="s">
        <v>5835</v>
      </c>
    </row>
    <row r="1356" spans="1:16" outlineLevel="2" x14ac:dyDescent="0.3">
      <c r="A1356" s="105" t="s">
        <v>5836</v>
      </c>
      <c r="B1356" s="106"/>
      <c r="C1356" s="106"/>
      <c r="D1356" s="106"/>
      <c r="E1356" s="106" t="s">
        <v>5837</v>
      </c>
      <c r="F1356" s="106" t="s">
        <v>5688</v>
      </c>
      <c r="G1356" s="105">
        <v>4</v>
      </c>
      <c r="H1356" s="106" t="s">
        <v>7</v>
      </c>
      <c r="I1356" s="105" t="s">
        <v>39</v>
      </c>
      <c r="J1356" s="105"/>
      <c r="K1356" s="105"/>
      <c r="L1356" s="105"/>
      <c r="M1356" s="106" t="s">
        <v>5689</v>
      </c>
      <c r="N1356" s="106" t="s">
        <v>40</v>
      </c>
      <c r="O1356" s="107"/>
      <c r="P1356" s="106" t="s">
        <v>5838</v>
      </c>
    </row>
    <row r="1357" spans="1:16" outlineLevel="2" x14ac:dyDescent="0.3">
      <c r="A1357" s="105" t="s">
        <v>5839</v>
      </c>
      <c r="B1357" s="106"/>
      <c r="C1357" s="106"/>
      <c r="D1357" s="106"/>
      <c r="E1357" s="106" t="s">
        <v>5840</v>
      </c>
      <c r="F1357" s="106" t="s">
        <v>5841</v>
      </c>
      <c r="G1357" s="105">
        <v>4</v>
      </c>
      <c r="H1357" s="106" t="s">
        <v>7</v>
      </c>
      <c r="I1357" s="105" t="s">
        <v>39</v>
      </c>
      <c r="J1357" s="105"/>
      <c r="K1357" s="105"/>
      <c r="L1357" s="105"/>
      <c r="M1357" s="106" t="s">
        <v>5842</v>
      </c>
      <c r="N1357" s="106" t="s">
        <v>40</v>
      </c>
      <c r="O1357" s="107"/>
      <c r="P1357" s="106" t="s">
        <v>5843</v>
      </c>
    </row>
    <row r="1358" spans="1:16" outlineLevel="2" x14ac:dyDescent="0.3">
      <c r="A1358" s="105" t="s">
        <v>5844</v>
      </c>
      <c r="B1358" s="106"/>
      <c r="C1358" s="106"/>
      <c r="D1358" s="106"/>
      <c r="E1358" s="106" t="s">
        <v>5845</v>
      </c>
      <c r="F1358" s="106" t="s">
        <v>5846</v>
      </c>
      <c r="G1358" s="105">
        <v>4</v>
      </c>
      <c r="H1358" s="106" t="s">
        <v>7</v>
      </c>
      <c r="I1358" s="105" t="s">
        <v>39</v>
      </c>
      <c r="J1358" s="105"/>
      <c r="K1358" s="105"/>
      <c r="L1358" s="105"/>
      <c r="M1358" s="106" t="s">
        <v>5847</v>
      </c>
      <c r="N1358" s="106" t="s">
        <v>40</v>
      </c>
      <c r="O1358" s="107"/>
      <c r="P1358" s="106" t="s">
        <v>5848</v>
      </c>
    </row>
    <row r="1359" spans="1:16" outlineLevel="2" x14ac:dyDescent="0.3">
      <c r="A1359" s="105" t="s">
        <v>5849</v>
      </c>
      <c r="B1359" s="106"/>
      <c r="C1359" s="106"/>
      <c r="D1359" s="106"/>
      <c r="E1359" s="106" t="s">
        <v>5850</v>
      </c>
      <c r="F1359" s="106" t="s">
        <v>5851</v>
      </c>
      <c r="G1359" s="105">
        <v>4</v>
      </c>
      <c r="H1359" s="106" t="s">
        <v>7</v>
      </c>
      <c r="I1359" s="105" t="s">
        <v>39</v>
      </c>
      <c r="J1359" s="105"/>
      <c r="K1359" s="105"/>
      <c r="L1359" s="105"/>
      <c r="M1359" s="106" t="s">
        <v>5852</v>
      </c>
      <c r="N1359" s="106" t="s">
        <v>40</v>
      </c>
      <c r="O1359" s="107"/>
      <c r="P1359" s="106" t="s">
        <v>5853</v>
      </c>
    </row>
    <row r="1360" spans="1:16" outlineLevel="2" x14ac:dyDescent="0.3">
      <c r="A1360" s="105" t="s">
        <v>5854</v>
      </c>
      <c r="B1360" s="106"/>
      <c r="C1360" s="106"/>
      <c r="D1360" s="106"/>
      <c r="E1360" s="106" t="s">
        <v>5855</v>
      </c>
      <c r="F1360" s="106" t="s">
        <v>5856</v>
      </c>
      <c r="G1360" s="105">
        <v>4</v>
      </c>
      <c r="H1360" s="106" t="s">
        <v>7</v>
      </c>
      <c r="I1360" s="105" t="s">
        <v>39</v>
      </c>
      <c r="J1360" s="105"/>
      <c r="K1360" s="105"/>
      <c r="L1360" s="105"/>
      <c r="M1360" s="106" t="s">
        <v>5857</v>
      </c>
      <c r="N1360" s="106" t="s">
        <v>40</v>
      </c>
      <c r="O1360" s="107"/>
      <c r="P1360" s="106" t="s">
        <v>5858</v>
      </c>
    </row>
    <row r="1361" spans="1:16" outlineLevel="2" x14ac:dyDescent="0.3">
      <c r="A1361" s="105" t="s">
        <v>5859</v>
      </c>
      <c r="B1361" s="106"/>
      <c r="C1361" s="106"/>
      <c r="D1361" s="106"/>
      <c r="E1361" s="106" t="s">
        <v>5860</v>
      </c>
      <c r="F1361" s="106" t="s">
        <v>5861</v>
      </c>
      <c r="G1361" s="105">
        <v>4</v>
      </c>
      <c r="H1361" s="106" t="s">
        <v>7</v>
      </c>
      <c r="I1361" s="105" t="s">
        <v>39</v>
      </c>
      <c r="J1361" s="105"/>
      <c r="K1361" s="105"/>
      <c r="L1361" s="105"/>
      <c r="M1361" s="106" t="s">
        <v>5862</v>
      </c>
      <c r="N1361" s="106" t="s">
        <v>40</v>
      </c>
      <c r="O1361" s="107"/>
      <c r="P1361" s="106" t="s">
        <v>5863</v>
      </c>
    </row>
    <row r="1362" spans="1:16" outlineLevel="2" x14ac:dyDescent="0.3">
      <c r="A1362" s="105" t="s">
        <v>5864</v>
      </c>
      <c r="B1362" s="106"/>
      <c r="C1362" s="106"/>
      <c r="D1362" s="106"/>
      <c r="E1362" s="106" t="s">
        <v>1309</v>
      </c>
      <c r="F1362" s="106" t="s">
        <v>1310</v>
      </c>
      <c r="G1362" s="105">
        <v>4</v>
      </c>
      <c r="H1362" s="106" t="s">
        <v>7</v>
      </c>
      <c r="I1362" s="105" t="s">
        <v>39</v>
      </c>
      <c r="J1362" s="105"/>
      <c r="K1362" s="105"/>
      <c r="L1362" s="105"/>
      <c r="M1362" s="106" t="s">
        <v>1311</v>
      </c>
      <c r="N1362" s="106" t="s">
        <v>40</v>
      </c>
      <c r="O1362" s="107"/>
      <c r="P1362" s="106" t="s">
        <v>5865</v>
      </c>
    </row>
    <row r="1363" spans="1:16" outlineLevel="2" x14ac:dyDescent="0.3">
      <c r="A1363" s="105" t="s">
        <v>5866</v>
      </c>
      <c r="B1363" s="106"/>
      <c r="C1363" s="106"/>
      <c r="D1363" s="106"/>
      <c r="E1363" s="106" t="s">
        <v>5759</v>
      </c>
      <c r="F1363" s="106" t="s">
        <v>5760</v>
      </c>
      <c r="G1363" s="105">
        <v>4</v>
      </c>
      <c r="H1363" s="106" t="s">
        <v>7</v>
      </c>
      <c r="I1363" s="105" t="s">
        <v>39</v>
      </c>
      <c r="J1363" s="105"/>
      <c r="K1363" s="105"/>
      <c r="L1363" s="105"/>
      <c r="M1363" s="106" t="s">
        <v>5761</v>
      </c>
      <c r="N1363" s="106" t="s">
        <v>40</v>
      </c>
      <c r="O1363" s="107"/>
      <c r="P1363" s="106" t="s">
        <v>5867</v>
      </c>
    </row>
    <row r="1364" spans="1:16" outlineLevel="2" x14ac:dyDescent="0.3">
      <c r="A1364" s="105" t="s">
        <v>5868</v>
      </c>
      <c r="B1364" s="106"/>
      <c r="C1364" s="106"/>
      <c r="D1364" s="106"/>
      <c r="E1364" s="106" t="s">
        <v>5869</v>
      </c>
      <c r="F1364" s="106" t="s">
        <v>5870</v>
      </c>
      <c r="G1364" s="105">
        <v>4</v>
      </c>
      <c r="H1364" s="106" t="s">
        <v>7</v>
      </c>
      <c r="I1364" s="105" t="s">
        <v>39</v>
      </c>
      <c r="J1364" s="105"/>
      <c r="K1364" s="105"/>
      <c r="L1364" s="105"/>
      <c r="M1364" s="106" t="s">
        <v>5871</v>
      </c>
      <c r="N1364" s="106" t="s">
        <v>40</v>
      </c>
      <c r="O1364" s="107"/>
      <c r="P1364" s="106" t="s">
        <v>5872</v>
      </c>
    </row>
    <row r="1365" spans="1:16" outlineLevel="2" x14ac:dyDescent="0.3">
      <c r="A1365" s="105" t="s">
        <v>5873</v>
      </c>
      <c r="B1365" s="106"/>
      <c r="C1365" s="106"/>
      <c r="D1365" s="106"/>
      <c r="E1365" s="106" t="s">
        <v>5874</v>
      </c>
      <c r="F1365" s="106" t="s">
        <v>5788</v>
      </c>
      <c r="G1365" s="105">
        <v>4</v>
      </c>
      <c r="H1365" s="106" t="s">
        <v>7</v>
      </c>
      <c r="I1365" s="105" t="s">
        <v>39</v>
      </c>
      <c r="J1365" s="105"/>
      <c r="K1365" s="105"/>
      <c r="L1365" s="105"/>
      <c r="M1365" s="106" t="s">
        <v>5789</v>
      </c>
      <c r="N1365" s="106" t="s">
        <v>223</v>
      </c>
      <c r="O1365" s="107"/>
      <c r="P1365" s="106" t="s">
        <v>5875</v>
      </c>
    </row>
    <row r="1366" spans="1:16" ht="27.6" outlineLevel="1" x14ac:dyDescent="0.3">
      <c r="A1366" s="259" t="s">
        <v>5876</v>
      </c>
      <c r="B1366" s="260"/>
      <c r="C1366" s="264" t="s">
        <v>5877</v>
      </c>
      <c r="D1366" s="265"/>
      <c r="E1366" s="260"/>
      <c r="F1366" s="260"/>
      <c r="G1366" s="259">
        <v>2</v>
      </c>
      <c r="H1366" s="265" t="s">
        <v>396</v>
      </c>
      <c r="I1366" s="259" t="s">
        <v>39</v>
      </c>
      <c r="J1366" s="259">
        <v>5</v>
      </c>
      <c r="K1366" s="259">
        <v>0</v>
      </c>
      <c r="L1366" s="259">
        <v>2</v>
      </c>
      <c r="M1366" s="262" t="s">
        <v>5878</v>
      </c>
      <c r="N1366" s="262" t="s">
        <v>5879</v>
      </c>
      <c r="O1366" s="263"/>
      <c r="P1366" s="262" t="s">
        <v>4231</v>
      </c>
    </row>
    <row r="1367" spans="1:16" outlineLevel="2" x14ac:dyDescent="0.3">
      <c r="A1367" s="105" t="s">
        <v>5880</v>
      </c>
      <c r="B1367" s="106"/>
      <c r="C1367" s="106"/>
      <c r="D1367" s="106"/>
      <c r="E1367" s="106" t="s">
        <v>5881</v>
      </c>
      <c r="F1367" s="106" t="s">
        <v>3584</v>
      </c>
      <c r="G1367" s="105">
        <v>4</v>
      </c>
      <c r="H1367" s="106" t="s">
        <v>7</v>
      </c>
      <c r="I1367" s="105" t="s">
        <v>39</v>
      </c>
      <c r="J1367" s="105"/>
      <c r="K1367" s="105"/>
      <c r="L1367" s="105"/>
      <c r="M1367" s="106" t="s">
        <v>5882</v>
      </c>
      <c r="N1367" s="106" t="s">
        <v>5883</v>
      </c>
      <c r="O1367" s="107" t="s">
        <v>5884</v>
      </c>
      <c r="P1367" s="106" t="s">
        <v>5885</v>
      </c>
    </row>
    <row r="1368" spans="1:16" outlineLevel="2" x14ac:dyDescent="0.3">
      <c r="A1368" s="105" t="s">
        <v>5886</v>
      </c>
      <c r="B1368" s="106"/>
      <c r="C1368" s="106"/>
      <c r="D1368" s="106"/>
      <c r="E1368" s="106" t="s">
        <v>4281</v>
      </c>
      <c r="F1368" s="106" t="s">
        <v>4282</v>
      </c>
      <c r="G1368" s="105">
        <v>4</v>
      </c>
      <c r="H1368" s="106" t="s">
        <v>7</v>
      </c>
      <c r="I1368" s="105" t="s">
        <v>39</v>
      </c>
      <c r="J1368" s="105"/>
      <c r="K1368" s="105"/>
      <c r="L1368" s="105"/>
      <c r="M1368" s="106" t="s">
        <v>4283</v>
      </c>
      <c r="N1368" s="106" t="s">
        <v>40</v>
      </c>
      <c r="O1368" s="107"/>
      <c r="P1368" s="106" t="s">
        <v>4284</v>
      </c>
    </row>
    <row r="1369" spans="1:16" outlineLevel="2" x14ac:dyDescent="0.3">
      <c r="A1369" s="105" t="s">
        <v>5887</v>
      </c>
      <c r="B1369" s="106"/>
      <c r="C1369" s="106"/>
      <c r="D1369" s="106"/>
      <c r="E1369" s="106" t="s">
        <v>5888</v>
      </c>
      <c r="F1369" s="106" t="s">
        <v>5889</v>
      </c>
      <c r="G1369" s="105">
        <v>4</v>
      </c>
      <c r="H1369" s="106" t="s">
        <v>7</v>
      </c>
      <c r="I1369" s="105" t="s">
        <v>39</v>
      </c>
      <c r="J1369" s="105"/>
      <c r="K1369" s="105"/>
      <c r="L1369" s="105"/>
      <c r="M1369" s="106"/>
      <c r="N1369" s="106" t="s">
        <v>287</v>
      </c>
      <c r="O1369" s="107"/>
      <c r="P1369" s="106"/>
    </row>
    <row r="1370" spans="1:16" outlineLevel="2" x14ac:dyDescent="0.3">
      <c r="A1370" s="105" t="s">
        <v>5890</v>
      </c>
      <c r="B1370" s="106"/>
      <c r="C1370" s="106"/>
      <c r="D1370" s="106"/>
      <c r="E1370" s="106" t="s">
        <v>5891</v>
      </c>
      <c r="F1370" s="106" t="s">
        <v>5892</v>
      </c>
      <c r="G1370" s="105">
        <v>4</v>
      </c>
      <c r="H1370" s="106" t="s">
        <v>7</v>
      </c>
      <c r="I1370" s="105" t="s">
        <v>39</v>
      </c>
      <c r="J1370" s="105"/>
      <c r="K1370" s="105"/>
      <c r="L1370" s="105"/>
      <c r="M1370" s="106"/>
      <c r="N1370" s="106" t="s">
        <v>287</v>
      </c>
      <c r="O1370" s="107"/>
      <c r="P1370" s="106"/>
    </row>
    <row r="1371" spans="1:16" outlineLevel="2" x14ac:dyDescent="0.3">
      <c r="A1371" s="105" t="s">
        <v>5893</v>
      </c>
      <c r="B1371" s="106"/>
      <c r="C1371" s="106"/>
      <c r="D1371" s="106"/>
      <c r="E1371" s="106" t="s">
        <v>4306</v>
      </c>
      <c r="F1371" s="106" t="s">
        <v>4307</v>
      </c>
      <c r="G1371" s="105">
        <v>4</v>
      </c>
      <c r="H1371" s="106" t="s">
        <v>7</v>
      </c>
      <c r="I1371" s="105" t="s">
        <v>39</v>
      </c>
      <c r="J1371" s="105"/>
      <c r="K1371" s="105"/>
      <c r="L1371" s="105"/>
      <c r="M1371" s="106" t="s">
        <v>4308</v>
      </c>
      <c r="N1371" s="106" t="s">
        <v>223</v>
      </c>
      <c r="O1371" s="107"/>
      <c r="P1371" s="106" t="s">
        <v>4309</v>
      </c>
    </row>
    <row r="1372" spans="1:16" x14ac:dyDescent="0.3">
      <c r="A1372" s="266" t="s">
        <v>5894</v>
      </c>
      <c r="B1372" s="267" t="s">
        <v>5895</v>
      </c>
      <c r="C1372" s="268" t="str">
        <f>COUNTIFS($G1373:$G1488,2)&amp;" subcapas"</f>
        <v>5 subcapas</v>
      </c>
      <c r="D1372" s="267"/>
      <c r="E1372" s="267"/>
      <c r="F1372" s="267"/>
      <c r="G1372" s="266">
        <v>1</v>
      </c>
      <c r="H1372" s="267" t="s">
        <v>2</v>
      </c>
      <c r="I1372" s="266"/>
      <c r="J1372" s="269">
        <f>SUMIFS(J1373:J1488,$G1373:$G1488,2)</f>
        <v>111</v>
      </c>
      <c r="K1372" s="269">
        <f>SUMIFS(K1373:K1488,$G1373:$G1488,2)</f>
        <v>0</v>
      </c>
      <c r="L1372" s="269">
        <f>SUMIFS(L1373:L1488,$G1373:$G1488,2)</f>
        <v>109</v>
      </c>
      <c r="M1372" s="270" t="s">
        <v>5896</v>
      </c>
      <c r="N1372" s="267"/>
      <c r="O1372" s="267"/>
      <c r="P1372" s="267" t="s">
        <v>5897</v>
      </c>
    </row>
    <row r="1373" spans="1:16" ht="27.6" outlineLevel="1" x14ac:dyDescent="0.3">
      <c r="A1373" s="271" t="s">
        <v>5898</v>
      </c>
      <c r="B1373" s="272"/>
      <c r="C1373" s="273" t="s">
        <v>5899</v>
      </c>
      <c r="D1373" s="272"/>
      <c r="E1373" s="272"/>
      <c r="F1373" s="272"/>
      <c r="G1373" s="271">
        <v>2</v>
      </c>
      <c r="H1373" s="272" t="s">
        <v>25</v>
      </c>
      <c r="I1373" s="271" t="s">
        <v>39</v>
      </c>
      <c r="J1373" s="271">
        <v>29</v>
      </c>
      <c r="K1373" s="271">
        <v>0</v>
      </c>
      <c r="L1373" s="271">
        <v>29</v>
      </c>
      <c r="M1373" s="274" t="s">
        <v>5900</v>
      </c>
      <c r="N1373" s="274" t="s">
        <v>40</v>
      </c>
      <c r="O1373" s="275"/>
      <c r="P1373" s="274" t="s">
        <v>5901</v>
      </c>
    </row>
    <row r="1374" spans="1:16" outlineLevel="2" x14ac:dyDescent="0.3">
      <c r="A1374" s="105" t="s">
        <v>5902</v>
      </c>
      <c r="B1374" s="106"/>
      <c r="C1374" s="106"/>
      <c r="D1374" s="106"/>
      <c r="E1374" s="106" t="s">
        <v>5903</v>
      </c>
      <c r="F1374" s="106" t="s">
        <v>5904</v>
      </c>
      <c r="G1374" s="105">
        <v>4</v>
      </c>
      <c r="H1374" s="106" t="s">
        <v>7</v>
      </c>
      <c r="I1374" s="105" t="s">
        <v>39</v>
      </c>
      <c r="J1374" s="105"/>
      <c r="K1374" s="105"/>
      <c r="L1374" s="105"/>
      <c r="M1374" s="106" t="s">
        <v>5905</v>
      </c>
      <c r="N1374" s="106" t="s">
        <v>40</v>
      </c>
      <c r="O1374" s="107"/>
      <c r="P1374" s="106" t="s">
        <v>5906</v>
      </c>
    </row>
    <row r="1375" spans="1:16" outlineLevel="2" x14ac:dyDescent="0.3">
      <c r="A1375" s="105" t="s">
        <v>5907</v>
      </c>
      <c r="B1375" s="106"/>
      <c r="C1375" s="106"/>
      <c r="D1375" s="106"/>
      <c r="E1375" s="106" t="s">
        <v>5908</v>
      </c>
      <c r="F1375" s="106" t="s">
        <v>5909</v>
      </c>
      <c r="G1375" s="105">
        <v>4</v>
      </c>
      <c r="H1375" s="106" t="s">
        <v>7</v>
      </c>
      <c r="I1375" s="105" t="s">
        <v>39</v>
      </c>
      <c r="J1375" s="105"/>
      <c r="K1375" s="105"/>
      <c r="L1375" s="105"/>
      <c r="M1375" s="106" t="s">
        <v>5910</v>
      </c>
      <c r="N1375" s="106" t="s">
        <v>223</v>
      </c>
      <c r="O1375" s="107"/>
      <c r="P1375" s="106" t="s">
        <v>5911</v>
      </c>
    </row>
    <row r="1376" spans="1:16" outlineLevel="2" x14ac:dyDescent="0.3">
      <c r="A1376" s="105" t="s">
        <v>5912</v>
      </c>
      <c r="B1376" s="106"/>
      <c r="C1376" s="106"/>
      <c r="D1376" s="106"/>
      <c r="E1376" s="106" t="s">
        <v>5913</v>
      </c>
      <c r="F1376" s="106" t="s">
        <v>5914</v>
      </c>
      <c r="G1376" s="105">
        <v>4</v>
      </c>
      <c r="H1376" s="106" t="s">
        <v>7</v>
      </c>
      <c r="I1376" s="105" t="s">
        <v>39</v>
      </c>
      <c r="J1376" s="105"/>
      <c r="K1376" s="105"/>
      <c r="L1376" s="105"/>
      <c r="M1376" s="106" t="s">
        <v>5915</v>
      </c>
      <c r="N1376" s="106" t="s">
        <v>40</v>
      </c>
      <c r="O1376" s="107"/>
      <c r="P1376" s="106" t="s">
        <v>5916</v>
      </c>
    </row>
    <row r="1377" spans="1:16" outlineLevel="2" x14ac:dyDescent="0.3">
      <c r="A1377" s="105" t="s">
        <v>5917</v>
      </c>
      <c r="B1377" s="106"/>
      <c r="C1377" s="106"/>
      <c r="D1377" s="106"/>
      <c r="E1377" s="106" t="s">
        <v>5918</v>
      </c>
      <c r="F1377" s="106" t="s">
        <v>5919</v>
      </c>
      <c r="G1377" s="105">
        <v>4</v>
      </c>
      <c r="H1377" s="106" t="s">
        <v>7</v>
      </c>
      <c r="I1377" s="105" t="s">
        <v>39</v>
      </c>
      <c r="J1377" s="105"/>
      <c r="K1377" s="105"/>
      <c r="L1377" s="105"/>
      <c r="M1377" s="106" t="s">
        <v>5920</v>
      </c>
      <c r="N1377" s="106" t="s">
        <v>40</v>
      </c>
      <c r="O1377" s="107"/>
      <c r="P1377" s="106" t="s">
        <v>5921</v>
      </c>
    </row>
    <row r="1378" spans="1:16" outlineLevel="2" x14ac:dyDescent="0.3">
      <c r="A1378" s="105" t="s">
        <v>5922</v>
      </c>
      <c r="B1378" s="106"/>
      <c r="C1378" s="106"/>
      <c r="D1378" s="106"/>
      <c r="E1378" s="106" t="s">
        <v>5923</v>
      </c>
      <c r="F1378" s="106" t="s">
        <v>5924</v>
      </c>
      <c r="G1378" s="105">
        <v>4</v>
      </c>
      <c r="H1378" s="106" t="s">
        <v>7</v>
      </c>
      <c r="I1378" s="105" t="s">
        <v>39</v>
      </c>
      <c r="J1378" s="105"/>
      <c r="K1378" s="105"/>
      <c r="L1378" s="105"/>
      <c r="M1378" s="106" t="s">
        <v>5925</v>
      </c>
      <c r="N1378" s="106" t="s">
        <v>40</v>
      </c>
      <c r="O1378" s="107"/>
      <c r="P1378" s="106" t="s">
        <v>5926</v>
      </c>
    </row>
    <row r="1379" spans="1:16" outlineLevel="2" x14ac:dyDescent="0.3">
      <c r="A1379" s="105" t="s">
        <v>5927</v>
      </c>
      <c r="B1379" s="106"/>
      <c r="C1379" s="106"/>
      <c r="D1379" s="106"/>
      <c r="E1379" s="106" t="s">
        <v>5928</v>
      </c>
      <c r="F1379" s="106" t="s">
        <v>5929</v>
      </c>
      <c r="G1379" s="105">
        <v>4</v>
      </c>
      <c r="H1379" s="106" t="s">
        <v>7</v>
      </c>
      <c r="I1379" s="105" t="s">
        <v>39</v>
      </c>
      <c r="J1379" s="105"/>
      <c r="K1379" s="105"/>
      <c r="L1379" s="105"/>
      <c r="M1379" s="106" t="s">
        <v>5930</v>
      </c>
      <c r="N1379" s="106" t="s">
        <v>40</v>
      </c>
      <c r="O1379" s="107"/>
      <c r="P1379" s="106" t="s">
        <v>5931</v>
      </c>
    </row>
    <row r="1380" spans="1:16" outlineLevel="2" x14ac:dyDescent="0.3">
      <c r="A1380" s="105" t="s">
        <v>5932</v>
      </c>
      <c r="B1380" s="106"/>
      <c r="C1380" s="106"/>
      <c r="D1380" s="106"/>
      <c r="E1380" s="106" t="s">
        <v>5933</v>
      </c>
      <c r="F1380" s="106" t="s">
        <v>5934</v>
      </c>
      <c r="G1380" s="105">
        <v>4</v>
      </c>
      <c r="H1380" s="106" t="s">
        <v>7</v>
      </c>
      <c r="I1380" s="105" t="s">
        <v>39</v>
      </c>
      <c r="J1380" s="105"/>
      <c r="K1380" s="105"/>
      <c r="L1380" s="105"/>
      <c r="M1380" s="106" t="s">
        <v>5935</v>
      </c>
      <c r="N1380" s="106" t="s">
        <v>40</v>
      </c>
      <c r="O1380" s="107"/>
      <c r="P1380" s="106" t="s">
        <v>5936</v>
      </c>
    </row>
    <row r="1381" spans="1:16" outlineLevel="2" x14ac:dyDescent="0.3">
      <c r="A1381" s="105" t="s">
        <v>5937</v>
      </c>
      <c r="B1381" s="106"/>
      <c r="C1381" s="106"/>
      <c r="D1381" s="106"/>
      <c r="E1381" s="106" t="s">
        <v>5938</v>
      </c>
      <c r="F1381" s="106" t="s">
        <v>5939</v>
      </c>
      <c r="G1381" s="105">
        <v>4</v>
      </c>
      <c r="H1381" s="106" t="s">
        <v>7</v>
      </c>
      <c r="I1381" s="105" t="s">
        <v>39</v>
      </c>
      <c r="J1381" s="105"/>
      <c r="K1381" s="105"/>
      <c r="L1381" s="105"/>
      <c r="M1381" s="106" t="s">
        <v>5940</v>
      </c>
      <c r="N1381" s="106" t="s">
        <v>40</v>
      </c>
      <c r="O1381" s="107"/>
      <c r="P1381" s="106" t="s">
        <v>5941</v>
      </c>
    </row>
    <row r="1382" spans="1:16" outlineLevel="2" x14ac:dyDescent="0.3">
      <c r="A1382" s="105" t="s">
        <v>5942</v>
      </c>
      <c r="B1382" s="106"/>
      <c r="C1382" s="106"/>
      <c r="D1382" s="106"/>
      <c r="E1382" s="106" t="s">
        <v>5943</v>
      </c>
      <c r="F1382" s="106" t="s">
        <v>5944</v>
      </c>
      <c r="G1382" s="105">
        <v>4</v>
      </c>
      <c r="H1382" s="106" t="s">
        <v>7</v>
      </c>
      <c r="I1382" s="105" t="s">
        <v>39</v>
      </c>
      <c r="J1382" s="105"/>
      <c r="K1382" s="105"/>
      <c r="L1382" s="105"/>
      <c r="M1382" s="106" t="s">
        <v>5945</v>
      </c>
      <c r="N1382" s="106" t="s">
        <v>40</v>
      </c>
      <c r="O1382" s="107"/>
      <c r="P1382" s="106" t="s">
        <v>5946</v>
      </c>
    </row>
    <row r="1383" spans="1:16" outlineLevel="2" x14ac:dyDescent="0.3">
      <c r="A1383" s="105" t="s">
        <v>5947</v>
      </c>
      <c r="B1383" s="106"/>
      <c r="C1383" s="106"/>
      <c r="D1383" s="106"/>
      <c r="E1383" s="106" t="s">
        <v>5948</v>
      </c>
      <c r="F1383" s="106" t="s">
        <v>5949</v>
      </c>
      <c r="G1383" s="105">
        <v>4</v>
      </c>
      <c r="H1383" s="106" t="s">
        <v>7</v>
      </c>
      <c r="I1383" s="105" t="s">
        <v>39</v>
      </c>
      <c r="J1383" s="105"/>
      <c r="K1383" s="105"/>
      <c r="L1383" s="105"/>
      <c r="M1383" s="106" t="s">
        <v>5950</v>
      </c>
      <c r="N1383" s="106" t="s">
        <v>40</v>
      </c>
      <c r="O1383" s="107"/>
      <c r="P1383" s="106" t="s">
        <v>5951</v>
      </c>
    </row>
    <row r="1384" spans="1:16" outlineLevel="2" x14ac:dyDescent="0.3">
      <c r="A1384" s="105" t="s">
        <v>5952</v>
      </c>
      <c r="B1384" s="106"/>
      <c r="C1384" s="106"/>
      <c r="D1384" s="106"/>
      <c r="E1384" s="106" t="s">
        <v>5953</v>
      </c>
      <c r="F1384" s="106" t="s">
        <v>5954</v>
      </c>
      <c r="G1384" s="105">
        <v>4</v>
      </c>
      <c r="H1384" s="106" t="s">
        <v>7</v>
      </c>
      <c r="I1384" s="105" t="s">
        <v>39</v>
      </c>
      <c r="J1384" s="105"/>
      <c r="K1384" s="105"/>
      <c r="L1384" s="105"/>
      <c r="M1384" s="106" t="s">
        <v>5955</v>
      </c>
      <c r="N1384" s="106" t="s">
        <v>40</v>
      </c>
      <c r="O1384" s="107"/>
      <c r="P1384" s="106" t="s">
        <v>5956</v>
      </c>
    </row>
    <row r="1385" spans="1:16" outlineLevel="2" x14ac:dyDescent="0.3">
      <c r="A1385" s="105" t="s">
        <v>5957</v>
      </c>
      <c r="B1385" s="106"/>
      <c r="C1385" s="106"/>
      <c r="D1385" s="106"/>
      <c r="E1385" s="106" t="s">
        <v>5958</v>
      </c>
      <c r="F1385" s="106" t="s">
        <v>5959</v>
      </c>
      <c r="G1385" s="105">
        <v>4</v>
      </c>
      <c r="H1385" s="106" t="s">
        <v>7</v>
      </c>
      <c r="I1385" s="105" t="s">
        <v>39</v>
      </c>
      <c r="J1385" s="105"/>
      <c r="K1385" s="105"/>
      <c r="L1385" s="105"/>
      <c r="M1385" s="106" t="s">
        <v>5960</v>
      </c>
      <c r="N1385" s="106" t="s">
        <v>40</v>
      </c>
      <c r="O1385" s="107"/>
      <c r="P1385" s="106" t="s">
        <v>5961</v>
      </c>
    </row>
    <row r="1386" spans="1:16" outlineLevel="2" x14ac:dyDescent="0.3">
      <c r="A1386" s="105" t="s">
        <v>5962</v>
      </c>
      <c r="B1386" s="106"/>
      <c r="C1386" s="106"/>
      <c r="D1386" s="106"/>
      <c r="E1386" s="106" t="s">
        <v>5963</v>
      </c>
      <c r="F1386" s="106" t="s">
        <v>5964</v>
      </c>
      <c r="G1386" s="105">
        <v>4</v>
      </c>
      <c r="H1386" s="106" t="s">
        <v>7</v>
      </c>
      <c r="I1386" s="105" t="s">
        <v>39</v>
      </c>
      <c r="J1386" s="105"/>
      <c r="K1386" s="105"/>
      <c r="L1386" s="105"/>
      <c r="M1386" s="106" t="s">
        <v>5965</v>
      </c>
      <c r="N1386" s="106" t="s">
        <v>40</v>
      </c>
      <c r="O1386" s="107"/>
      <c r="P1386" s="106" t="s">
        <v>5966</v>
      </c>
    </row>
    <row r="1387" spans="1:16" outlineLevel="2" x14ac:dyDescent="0.3">
      <c r="A1387" s="105" t="s">
        <v>5967</v>
      </c>
      <c r="B1387" s="106"/>
      <c r="C1387" s="106"/>
      <c r="D1387" s="106"/>
      <c r="E1387" s="106" t="s">
        <v>5968</v>
      </c>
      <c r="F1387" s="106" t="s">
        <v>5969</v>
      </c>
      <c r="G1387" s="105">
        <v>4</v>
      </c>
      <c r="H1387" s="106" t="s">
        <v>7</v>
      </c>
      <c r="I1387" s="105" t="s">
        <v>39</v>
      </c>
      <c r="J1387" s="105"/>
      <c r="K1387" s="105"/>
      <c r="L1387" s="105"/>
      <c r="M1387" s="106" t="s">
        <v>5970</v>
      </c>
      <c r="N1387" s="106" t="s">
        <v>40</v>
      </c>
      <c r="O1387" s="107"/>
      <c r="P1387" s="106" t="s">
        <v>5971</v>
      </c>
    </row>
    <row r="1388" spans="1:16" outlineLevel="2" x14ac:dyDescent="0.3">
      <c r="A1388" s="105" t="s">
        <v>5972</v>
      </c>
      <c r="B1388" s="106"/>
      <c r="C1388" s="106"/>
      <c r="D1388" s="106"/>
      <c r="E1388" s="106" t="s">
        <v>5973</v>
      </c>
      <c r="F1388" s="106" t="s">
        <v>5974</v>
      </c>
      <c r="G1388" s="105">
        <v>4</v>
      </c>
      <c r="H1388" s="106" t="s">
        <v>7</v>
      </c>
      <c r="I1388" s="105" t="s">
        <v>39</v>
      </c>
      <c r="J1388" s="105"/>
      <c r="K1388" s="105"/>
      <c r="L1388" s="105"/>
      <c r="M1388" s="106" t="s">
        <v>5975</v>
      </c>
      <c r="N1388" s="106" t="s">
        <v>40</v>
      </c>
      <c r="O1388" s="107"/>
      <c r="P1388" s="106" t="s">
        <v>5976</v>
      </c>
    </row>
    <row r="1389" spans="1:16" outlineLevel="2" x14ac:dyDescent="0.3">
      <c r="A1389" s="105" t="s">
        <v>5977</v>
      </c>
      <c r="B1389" s="106"/>
      <c r="C1389" s="106"/>
      <c r="D1389" s="106"/>
      <c r="E1389" s="106" t="s">
        <v>4747</v>
      </c>
      <c r="F1389" s="106" t="s">
        <v>5978</v>
      </c>
      <c r="G1389" s="105">
        <v>4</v>
      </c>
      <c r="H1389" s="106" t="s">
        <v>7</v>
      </c>
      <c r="I1389" s="105" t="s">
        <v>39</v>
      </c>
      <c r="J1389" s="105"/>
      <c r="K1389" s="105"/>
      <c r="L1389" s="105"/>
      <c r="M1389" s="106" t="s">
        <v>5979</v>
      </c>
      <c r="N1389" s="106" t="s">
        <v>40</v>
      </c>
      <c r="O1389" s="107"/>
      <c r="P1389" s="106" t="s">
        <v>5980</v>
      </c>
    </row>
    <row r="1390" spans="1:16" outlineLevel="2" x14ac:dyDescent="0.3">
      <c r="A1390" s="105" t="s">
        <v>5981</v>
      </c>
      <c r="B1390" s="106"/>
      <c r="C1390" s="106"/>
      <c r="D1390" s="106"/>
      <c r="E1390" s="106" t="s">
        <v>5982</v>
      </c>
      <c r="F1390" s="106" t="s">
        <v>5983</v>
      </c>
      <c r="G1390" s="105">
        <v>4</v>
      </c>
      <c r="H1390" s="106" t="s">
        <v>7</v>
      </c>
      <c r="I1390" s="105" t="s">
        <v>39</v>
      </c>
      <c r="J1390" s="105"/>
      <c r="K1390" s="105"/>
      <c r="L1390" s="105"/>
      <c r="M1390" s="106" t="s">
        <v>5984</v>
      </c>
      <c r="N1390" s="106" t="s">
        <v>40</v>
      </c>
      <c r="O1390" s="107"/>
      <c r="P1390" s="106" t="s">
        <v>5985</v>
      </c>
    </row>
    <row r="1391" spans="1:16" outlineLevel="2" x14ac:dyDescent="0.3">
      <c r="A1391" s="105" t="s">
        <v>5986</v>
      </c>
      <c r="B1391" s="106"/>
      <c r="C1391" s="106"/>
      <c r="D1391" s="106"/>
      <c r="E1391" s="106" t="s">
        <v>5987</v>
      </c>
      <c r="F1391" s="106" t="s">
        <v>5988</v>
      </c>
      <c r="G1391" s="105">
        <v>4</v>
      </c>
      <c r="H1391" s="106" t="s">
        <v>7</v>
      </c>
      <c r="I1391" s="105" t="s">
        <v>39</v>
      </c>
      <c r="J1391" s="105"/>
      <c r="K1391" s="105"/>
      <c r="L1391" s="105"/>
      <c r="M1391" s="106" t="s">
        <v>5989</v>
      </c>
      <c r="N1391" s="106" t="s">
        <v>40</v>
      </c>
      <c r="O1391" s="107"/>
      <c r="P1391" s="106" t="s">
        <v>5990</v>
      </c>
    </row>
    <row r="1392" spans="1:16" outlineLevel="2" x14ac:dyDescent="0.3">
      <c r="A1392" s="105" t="s">
        <v>5991</v>
      </c>
      <c r="B1392" s="106"/>
      <c r="C1392" s="106"/>
      <c r="D1392" s="106"/>
      <c r="E1392" s="106" t="s">
        <v>5992</v>
      </c>
      <c r="F1392" s="106" t="s">
        <v>5993</v>
      </c>
      <c r="G1392" s="105">
        <v>4</v>
      </c>
      <c r="H1392" s="106" t="s">
        <v>7</v>
      </c>
      <c r="I1392" s="105" t="s">
        <v>39</v>
      </c>
      <c r="J1392" s="105"/>
      <c r="K1392" s="105"/>
      <c r="L1392" s="105"/>
      <c r="M1392" s="106" t="s">
        <v>5994</v>
      </c>
      <c r="N1392" s="106" t="s">
        <v>40</v>
      </c>
      <c r="O1392" s="107"/>
      <c r="P1392" s="106" t="s">
        <v>5995</v>
      </c>
    </row>
    <row r="1393" spans="1:16" outlineLevel="2" x14ac:dyDescent="0.3">
      <c r="A1393" s="105" t="s">
        <v>5996</v>
      </c>
      <c r="B1393" s="106"/>
      <c r="C1393" s="106"/>
      <c r="D1393" s="106"/>
      <c r="E1393" s="106" t="s">
        <v>5997</v>
      </c>
      <c r="F1393" s="106" t="s">
        <v>5998</v>
      </c>
      <c r="G1393" s="105">
        <v>4</v>
      </c>
      <c r="H1393" s="106" t="s">
        <v>7</v>
      </c>
      <c r="I1393" s="105" t="s">
        <v>39</v>
      </c>
      <c r="J1393" s="105"/>
      <c r="K1393" s="105"/>
      <c r="L1393" s="105"/>
      <c r="M1393" s="106" t="s">
        <v>5999</v>
      </c>
      <c r="N1393" s="106" t="s">
        <v>40</v>
      </c>
      <c r="O1393" s="107"/>
      <c r="P1393" s="106" t="s">
        <v>6000</v>
      </c>
    </row>
    <row r="1394" spans="1:16" outlineLevel="2" x14ac:dyDescent="0.3">
      <c r="A1394" s="105" t="s">
        <v>6001</v>
      </c>
      <c r="B1394" s="106"/>
      <c r="C1394" s="106"/>
      <c r="D1394" s="106"/>
      <c r="E1394" s="106" t="s">
        <v>6002</v>
      </c>
      <c r="F1394" s="106" t="s">
        <v>6003</v>
      </c>
      <c r="G1394" s="105">
        <v>4</v>
      </c>
      <c r="H1394" s="106" t="s">
        <v>7</v>
      </c>
      <c r="I1394" s="105" t="s">
        <v>39</v>
      </c>
      <c r="J1394" s="105"/>
      <c r="K1394" s="105"/>
      <c r="L1394" s="105"/>
      <c r="M1394" s="106" t="s">
        <v>6004</v>
      </c>
      <c r="N1394" s="106" t="s">
        <v>40</v>
      </c>
      <c r="O1394" s="107"/>
      <c r="P1394" s="106" t="s">
        <v>6005</v>
      </c>
    </row>
    <row r="1395" spans="1:16" outlineLevel="2" x14ac:dyDescent="0.3">
      <c r="A1395" s="105" t="s">
        <v>6006</v>
      </c>
      <c r="B1395" s="106"/>
      <c r="C1395" s="106"/>
      <c r="D1395" s="106"/>
      <c r="E1395" s="106" t="s">
        <v>6007</v>
      </c>
      <c r="F1395" s="106" t="s">
        <v>6008</v>
      </c>
      <c r="G1395" s="105">
        <v>4</v>
      </c>
      <c r="H1395" s="106" t="s">
        <v>7</v>
      </c>
      <c r="I1395" s="105" t="s">
        <v>39</v>
      </c>
      <c r="J1395" s="105"/>
      <c r="K1395" s="105"/>
      <c r="L1395" s="105"/>
      <c r="M1395" s="106" t="s">
        <v>6009</v>
      </c>
      <c r="N1395" s="106" t="s">
        <v>40</v>
      </c>
      <c r="O1395" s="107"/>
      <c r="P1395" s="106" t="s">
        <v>6010</v>
      </c>
    </row>
    <row r="1396" spans="1:16" outlineLevel="2" x14ac:dyDescent="0.3">
      <c r="A1396" s="105" t="s">
        <v>6011</v>
      </c>
      <c r="B1396" s="106"/>
      <c r="C1396" s="106"/>
      <c r="D1396" s="106"/>
      <c r="E1396" s="106" t="s">
        <v>6012</v>
      </c>
      <c r="F1396" s="106" t="s">
        <v>6013</v>
      </c>
      <c r="G1396" s="105">
        <v>4</v>
      </c>
      <c r="H1396" s="106" t="s">
        <v>7</v>
      </c>
      <c r="I1396" s="105" t="s">
        <v>39</v>
      </c>
      <c r="J1396" s="105"/>
      <c r="K1396" s="105"/>
      <c r="L1396" s="105"/>
      <c r="M1396" s="106" t="s">
        <v>6014</v>
      </c>
      <c r="N1396" s="106" t="s">
        <v>40</v>
      </c>
      <c r="O1396" s="107"/>
      <c r="P1396" s="106" t="s">
        <v>6015</v>
      </c>
    </row>
    <row r="1397" spans="1:16" outlineLevel="2" x14ac:dyDescent="0.3">
      <c r="A1397" s="105" t="s">
        <v>6016</v>
      </c>
      <c r="B1397" s="106"/>
      <c r="C1397" s="106"/>
      <c r="D1397" s="106"/>
      <c r="E1397" s="106" t="s">
        <v>6017</v>
      </c>
      <c r="F1397" s="106" t="s">
        <v>6018</v>
      </c>
      <c r="G1397" s="105">
        <v>4</v>
      </c>
      <c r="H1397" s="106" t="s">
        <v>7</v>
      </c>
      <c r="I1397" s="105" t="s">
        <v>39</v>
      </c>
      <c r="J1397" s="105"/>
      <c r="K1397" s="105"/>
      <c r="L1397" s="105"/>
      <c r="M1397" s="106" t="s">
        <v>6019</v>
      </c>
      <c r="N1397" s="106" t="s">
        <v>223</v>
      </c>
      <c r="O1397" s="107"/>
      <c r="P1397" s="106" t="s">
        <v>6020</v>
      </c>
    </row>
    <row r="1398" spans="1:16" outlineLevel="2" x14ac:dyDescent="0.3">
      <c r="A1398" s="105" t="s">
        <v>6021</v>
      </c>
      <c r="B1398" s="106"/>
      <c r="C1398" s="106"/>
      <c r="D1398" s="106"/>
      <c r="E1398" s="106" t="s">
        <v>6022</v>
      </c>
      <c r="F1398" s="106" t="s">
        <v>6023</v>
      </c>
      <c r="G1398" s="105">
        <v>4</v>
      </c>
      <c r="H1398" s="106" t="s">
        <v>7</v>
      </c>
      <c r="I1398" s="105" t="s">
        <v>39</v>
      </c>
      <c r="J1398" s="105"/>
      <c r="K1398" s="105"/>
      <c r="L1398" s="105"/>
      <c r="M1398" s="106" t="s">
        <v>6024</v>
      </c>
      <c r="N1398" s="106" t="s">
        <v>223</v>
      </c>
      <c r="O1398" s="107"/>
      <c r="P1398" s="106" t="s">
        <v>6025</v>
      </c>
    </row>
    <row r="1399" spans="1:16" outlineLevel="2" x14ac:dyDescent="0.3">
      <c r="A1399" s="105" t="s">
        <v>6026</v>
      </c>
      <c r="B1399" s="106"/>
      <c r="C1399" s="106"/>
      <c r="D1399" s="106"/>
      <c r="E1399" s="106" t="s">
        <v>6027</v>
      </c>
      <c r="F1399" s="106" t="s">
        <v>6028</v>
      </c>
      <c r="G1399" s="105">
        <v>4</v>
      </c>
      <c r="H1399" s="106" t="s">
        <v>7</v>
      </c>
      <c r="I1399" s="105" t="s">
        <v>39</v>
      </c>
      <c r="J1399" s="105"/>
      <c r="K1399" s="105"/>
      <c r="L1399" s="105"/>
      <c r="M1399" s="106" t="s">
        <v>6029</v>
      </c>
      <c r="N1399" s="106" t="s">
        <v>40</v>
      </c>
      <c r="O1399" s="107"/>
      <c r="P1399" s="106" t="s">
        <v>6030</v>
      </c>
    </row>
    <row r="1400" spans="1:16" outlineLevel="2" x14ac:dyDescent="0.3">
      <c r="A1400" s="105" t="s">
        <v>6031</v>
      </c>
      <c r="B1400" s="106"/>
      <c r="C1400" s="106"/>
      <c r="D1400" s="106"/>
      <c r="E1400" s="106" t="s">
        <v>6032</v>
      </c>
      <c r="F1400" s="106" t="s">
        <v>6033</v>
      </c>
      <c r="G1400" s="105">
        <v>4</v>
      </c>
      <c r="H1400" s="106" t="s">
        <v>7</v>
      </c>
      <c r="I1400" s="105" t="s">
        <v>39</v>
      </c>
      <c r="J1400" s="105"/>
      <c r="K1400" s="105"/>
      <c r="L1400" s="105"/>
      <c r="M1400" s="106" t="s">
        <v>6034</v>
      </c>
      <c r="N1400" s="106" t="s">
        <v>223</v>
      </c>
      <c r="O1400" s="107"/>
      <c r="P1400" s="106" t="s">
        <v>6035</v>
      </c>
    </row>
    <row r="1401" spans="1:16" outlineLevel="2" x14ac:dyDescent="0.3">
      <c r="A1401" s="105" t="s">
        <v>6036</v>
      </c>
      <c r="B1401" s="106"/>
      <c r="C1401" s="106"/>
      <c r="D1401" s="106"/>
      <c r="E1401" s="106" t="s">
        <v>6037</v>
      </c>
      <c r="F1401" s="106" t="s">
        <v>6038</v>
      </c>
      <c r="G1401" s="105">
        <v>4</v>
      </c>
      <c r="H1401" s="106" t="s">
        <v>7</v>
      </c>
      <c r="I1401" s="105" t="s">
        <v>39</v>
      </c>
      <c r="J1401" s="105"/>
      <c r="K1401" s="105"/>
      <c r="L1401" s="105"/>
      <c r="M1401" s="106" t="s">
        <v>6039</v>
      </c>
      <c r="N1401" s="106" t="s">
        <v>40</v>
      </c>
      <c r="O1401" s="107"/>
      <c r="P1401" s="106" t="s">
        <v>6040</v>
      </c>
    </row>
    <row r="1402" spans="1:16" outlineLevel="2" x14ac:dyDescent="0.3">
      <c r="A1402" s="105" t="s">
        <v>6041</v>
      </c>
      <c r="B1402" s="106"/>
      <c r="C1402" s="106"/>
      <c r="D1402" s="106"/>
      <c r="E1402" s="106" t="s">
        <v>6042</v>
      </c>
      <c r="F1402" s="106" t="s">
        <v>6043</v>
      </c>
      <c r="G1402" s="105">
        <v>4</v>
      </c>
      <c r="H1402" s="106" t="s">
        <v>7</v>
      </c>
      <c r="I1402" s="105" t="s">
        <v>39</v>
      </c>
      <c r="J1402" s="105"/>
      <c r="K1402" s="105"/>
      <c r="L1402" s="105"/>
      <c r="M1402" s="106" t="s">
        <v>6044</v>
      </c>
      <c r="N1402" s="106" t="s">
        <v>40</v>
      </c>
      <c r="O1402" s="107"/>
      <c r="P1402" s="106" t="s">
        <v>6045</v>
      </c>
    </row>
    <row r="1403" spans="1:16" ht="27.6" outlineLevel="1" x14ac:dyDescent="0.3">
      <c r="A1403" s="271" t="s">
        <v>6046</v>
      </c>
      <c r="B1403" s="272"/>
      <c r="C1403" s="273" t="s">
        <v>6047</v>
      </c>
      <c r="D1403" s="272"/>
      <c r="E1403" s="272"/>
      <c r="F1403" s="272"/>
      <c r="G1403" s="271">
        <v>2</v>
      </c>
      <c r="H1403" s="272" t="s">
        <v>25</v>
      </c>
      <c r="I1403" s="271" t="s">
        <v>39</v>
      </c>
      <c r="J1403" s="271">
        <v>32</v>
      </c>
      <c r="K1403" s="271">
        <v>0</v>
      </c>
      <c r="L1403" s="271">
        <v>32</v>
      </c>
      <c r="M1403" s="274" t="s">
        <v>6048</v>
      </c>
      <c r="N1403" s="274" t="s">
        <v>40</v>
      </c>
      <c r="O1403" s="275"/>
      <c r="P1403" s="274" t="s">
        <v>6049</v>
      </c>
    </row>
    <row r="1404" spans="1:16" outlineLevel="2" x14ac:dyDescent="0.3">
      <c r="A1404" s="105" t="s">
        <v>6050</v>
      </c>
      <c r="B1404" s="106"/>
      <c r="C1404" s="106"/>
      <c r="D1404" s="106"/>
      <c r="E1404" s="106" t="s">
        <v>6051</v>
      </c>
      <c r="F1404" s="106" t="s">
        <v>6052</v>
      </c>
      <c r="G1404" s="105">
        <v>4</v>
      </c>
      <c r="H1404" s="106" t="s">
        <v>7</v>
      </c>
      <c r="I1404" s="105" t="s">
        <v>39</v>
      </c>
      <c r="J1404" s="105"/>
      <c r="K1404" s="105"/>
      <c r="L1404" s="105"/>
      <c r="M1404" s="106" t="s">
        <v>6053</v>
      </c>
      <c r="N1404" s="106" t="s">
        <v>40</v>
      </c>
      <c r="O1404" s="107"/>
      <c r="P1404" s="106" t="s">
        <v>6054</v>
      </c>
    </row>
    <row r="1405" spans="1:16" outlineLevel="2" x14ac:dyDescent="0.3">
      <c r="A1405" s="105" t="s">
        <v>6055</v>
      </c>
      <c r="B1405" s="106"/>
      <c r="C1405" s="106"/>
      <c r="D1405" s="106"/>
      <c r="E1405" s="106" t="s">
        <v>6056</v>
      </c>
      <c r="F1405" s="106" t="s">
        <v>6057</v>
      </c>
      <c r="G1405" s="105">
        <v>4</v>
      </c>
      <c r="H1405" s="106" t="s">
        <v>7</v>
      </c>
      <c r="I1405" s="105" t="s">
        <v>39</v>
      </c>
      <c r="J1405" s="105"/>
      <c r="K1405" s="105"/>
      <c r="L1405" s="105"/>
      <c r="M1405" s="106" t="s">
        <v>6058</v>
      </c>
      <c r="N1405" s="106" t="s">
        <v>40</v>
      </c>
      <c r="O1405" s="107"/>
      <c r="P1405" s="106" t="s">
        <v>6059</v>
      </c>
    </row>
    <row r="1406" spans="1:16" outlineLevel="2" x14ac:dyDescent="0.3">
      <c r="A1406" s="105" t="s">
        <v>6060</v>
      </c>
      <c r="B1406" s="106"/>
      <c r="C1406" s="106"/>
      <c r="D1406" s="106"/>
      <c r="E1406" s="106" t="s">
        <v>6061</v>
      </c>
      <c r="F1406" s="106" t="s">
        <v>6062</v>
      </c>
      <c r="G1406" s="105">
        <v>4</v>
      </c>
      <c r="H1406" s="106" t="s">
        <v>7</v>
      </c>
      <c r="I1406" s="105" t="s">
        <v>39</v>
      </c>
      <c r="J1406" s="105"/>
      <c r="K1406" s="105"/>
      <c r="L1406" s="105"/>
      <c r="M1406" s="106" t="s">
        <v>6063</v>
      </c>
      <c r="N1406" s="106" t="s">
        <v>40</v>
      </c>
      <c r="O1406" s="107"/>
      <c r="P1406" s="106" t="s">
        <v>6064</v>
      </c>
    </row>
    <row r="1407" spans="1:16" outlineLevel="2" x14ac:dyDescent="0.3">
      <c r="A1407" s="105" t="s">
        <v>6065</v>
      </c>
      <c r="B1407" s="106"/>
      <c r="C1407" s="106"/>
      <c r="D1407" s="106"/>
      <c r="E1407" s="106" t="s">
        <v>6066</v>
      </c>
      <c r="F1407" s="106" t="s">
        <v>6067</v>
      </c>
      <c r="G1407" s="105">
        <v>4</v>
      </c>
      <c r="H1407" s="106" t="s">
        <v>7</v>
      </c>
      <c r="I1407" s="105" t="s">
        <v>39</v>
      </c>
      <c r="J1407" s="105"/>
      <c r="K1407" s="105"/>
      <c r="L1407" s="105"/>
      <c r="M1407" s="106" t="s">
        <v>6068</v>
      </c>
      <c r="N1407" s="106" t="s">
        <v>40</v>
      </c>
      <c r="O1407" s="107"/>
      <c r="P1407" s="106" t="s">
        <v>6069</v>
      </c>
    </row>
    <row r="1408" spans="1:16" outlineLevel="2" x14ac:dyDescent="0.3">
      <c r="A1408" s="105" t="s">
        <v>6070</v>
      </c>
      <c r="B1408" s="106"/>
      <c r="C1408" s="106"/>
      <c r="D1408" s="106"/>
      <c r="E1408" s="106" t="s">
        <v>6071</v>
      </c>
      <c r="F1408" s="106" t="s">
        <v>6072</v>
      </c>
      <c r="G1408" s="105">
        <v>4</v>
      </c>
      <c r="H1408" s="106" t="s">
        <v>7</v>
      </c>
      <c r="I1408" s="105" t="s">
        <v>39</v>
      </c>
      <c r="J1408" s="105"/>
      <c r="K1408" s="105"/>
      <c r="L1408" s="105"/>
      <c r="M1408" s="106" t="s">
        <v>6073</v>
      </c>
      <c r="N1408" s="106" t="s">
        <v>40</v>
      </c>
      <c r="O1408" s="107"/>
      <c r="P1408" s="106" t="s">
        <v>6074</v>
      </c>
    </row>
    <row r="1409" spans="1:16" outlineLevel="2" x14ac:dyDescent="0.3">
      <c r="A1409" s="105" t="s">
        <v>6075</v>
      </c>
      <c r="B1409" s="106"/>
      <c r="C1409" s="106"/>
      <c r="D1409" s="106"/>
      <c r="E1409" s="106" t="s">
        <v>6076</v>
      </c>
      <c r="F1409" s="106" t="s">
        <v>6077</v>
      </c>
      <c r="G1409" s="105">
        <v>4</v>
      </c>
      <c r="H1409" s="106" t="s">
        <v>7</v>
      </c>
      <c r="I1409" s="105" t="s">
        <v>39</v>
      </c>
      <c r="J1409" s="105"/>
      <c r="K1409" s="105"/>
      <c r="L1409" s="105"/>
      <c r="M1409" s="106" t="s">
        <v>6078</v>
      </c>
      <c r="N1409" s="106" t="s">
        <v>40</v>
      </c>
      <c r="O1409" s="107"/>
      <c r="P1409" s="106" t="s">
        <v>6079</v>
      </c>
    </row>
    <row r="1410" spans="1:16" outlineLevel="2" x14ac:dyDescent="0.3">
      <c r="A1410" s="105" t="s">
        <v>6080</v>
      </c>
      <c r="B1410" s="106"/>
      <c r="C1410" s="106"/>
      <c r="D1410" s="106"/>
      <c r="E1410" s="106" t="s">
        <v>6081</v>
      </c>
      <c r="F1410" s="106" t="s">
        <v>6082</v>
      </c>
      <c r="G1410" s="105">
        <v>4</v>
      </c>
      <c r="H1410" s="106" t="s">
        <v>7</v>
      </c>
      <c r="I1410" s="105" t="s">
        <v>39</v>
      </c>
      <c r="J1410" s="105"/>
      <c r="K1410" s="105"/>
      <c r="L1410" s="105"/>
      <c r="M1410" s="106" t="s">
        <v>6083</v>
      </c>
      <c r="N1410" s="106" t="s">
        <v>40</v>
      </c>
      <c r="O1410" s="107"/>
      <c r="P1410" s="106" t="s">
        <v>6084</v>
      </c>
    </row>
    <row r="1411" spans="1:16" outlineLevel="2" x14ac:dyDescent="0.3">
      <c r="A1411" s="105" t="s">
        <v>6085</v>
      </c>
      <c r="B1411" s="106"/>
      <c r="C1411" s="106"/>
      <c r="D1411" s="106"/>
      <c r="E1411" s="106" t="s">
        <v>6086</v>
      </c>
      <c r="F1411" s="106" t="s">
        <v>6087</v>
      </c>
      <c r="G1411" s="105">
        <v>4</v>
      </c>
      <c r="H1411" s="106" t="s">
        <v>7</v>
      </c>
      <c r="I1411" s="105" t="s">
        <v>39</v>
      </c>
      <c r="J1411" s="105"/>
      <c r="K1411" s="105"/>
      <c r="L1411" s="105"/>
      <c r="M1411" s="106" t="s">
        <v>6088</v>
      </c>
      <c r="N1411" s="106" t="s">
        <v>40</v>
      </c>
      <c r="O1411" s="107"/>
      <c r="P1411" s="106" t="s">
        <v>6089</v>
      </c>
    </row>
    <row r="1412" spans="1:16" outlineLevel="2" x14ac:dyDescent="0.3">
      <c r="A1412" s="105" t="s">
        <v>6090</v>
      </c>
      <c r="B1412" s="106"/>
      <c r="C1412" s="106"/>
      <c r="D1412" s="106"/>
      <c r="E1412" s="106" t="s">
        <v>6091</v>
      </c>
      <c r="F1412" s="106" t="s">
        <v>6092</v>
      </c>
      <c r="G1412" s="105">
        <v>4</v>
      </c>
      <c r="H1412" s="106" t="s">
        <v>7</v>
      </c>
      <c r="I1412" s="105" t="s">
        <v>39</v>
      </c>
      <c r="J1412" s="105"/>
      <c r="K1412" s="105"/>
      <c r="L1412" s="105"/>
      <c r="M1412" s="106" t="s">
        <v>6093</v>
      </c>
      <c r="N1412" s="106" t="s">
        <v>40</v>
      </c>
      <c r="O1412" s="107"/>
      <c r="P1412" s="106" t="s">
        <v>6094</v>
      </c>
    </row>
    <row r="1413" spans="1:16" outlineLevel="2" x14ac:dyDescent="0.3">
      <c r="A1413" s="105" t="s">
        <v>6095</v>
      </c>
      <c r="B1413" s="106"/>
      <c r="C1413" s="106"/>
      <c r="D1413" s="106"/>
      <c r="E1413" s="106" t="s">
        <v>6096</v>
      </c>
      <c r="F1413" s="106" t="s">
        <v>6097</v>
      </c>
      <c r="G1413" s="105">
        <v>4</v>
      </c>
      <c r="H1413" s="106" t="s">
        <v>7</v>
      </c>
      <c r="I1413" s="105" t="s">
        <v>39</v>
      </c>
      <c r="J1413" s="105"/>
      <c r="K1413" s="105"/>
      <c r="L1413" s="105"/>
      <c r="M1413" s="106" t="s">
        <v>6098</v>
      </c>
      <c r="N1413" s="106" t="s">
        <v>40</v>
      </c>
      <c r="O1413" s="107"/>
      <c r="P1413" s="106" t="s">
        <v>6099</v>
      </c>
    </row>
    <row r="1414" spans="1:16" outlineLevel="2" x14ac:dyDescent="0.3">
      <c r="A1414" s="105" t="s">
        <v>6100</v>
      </c>
      <c r="B1414" s="106"/>
      <c r="C1414" s="106"/>
      <c r="D1414" s="106"/>
      <c r="E1414" s="106" t="s">
        <v>6101</v>
      </c>
      <c r="F1414" s="106" t="s">
        <v>6102</v>
      </c>
      <c r="G1414" s="105">
        <v>4</v>
      </c>
      <c r="H1414" s="106" t="s">
        <v>7</v>
      </c>
      <c r="I1414" s="105" t="s">
        <v>39</v>
      </c>
      <c r="J1414" s="105"/>
      <c r="K1414" s="105"/>
      <c r="L1414" s="105"/>
      <c r="M1414" s="106" t="s">
        <v>6103</v>
      </c>
      <c r="N1414" s="106" t="s">
        <v>40</v>
      </c>
      <c r="O1414" s="107"/>
      <c r="P1414" s="106" t="s">
        <v>6104</v>
      </c>
    </row>
    <row r="1415" spans="1:16" outlineLevel="2" x14ac:dyDescent="0.3">
      <c r="A1415" s="105" t="s">
        <v>6105</v>
      </c>
      <c r="B1415" s="106"/>
      <c r="C1415" s="106"/>
      <c r="D1415" s="106"/>
      <c r="E1415" s="106" t="s">
        <v>6106</v>
      </c>
      <c r="F1415" s="106" t="s">
        <v>6107</v>
      </c>
      <c r="G1415" s="105">
        <v>4</v>
      </c>
      <c r="H1415" s="106" t="s">
        <v>7</v>
      </c>
      <c r="I1415" s="105" t="s">
        <v>39</v>
      </c>
      <c r="J1415" s="105"/>
      <c r="K1415" s="105"/>
      <c r="L1415" s="105"/>
      <c r="M1415" s="106" t="s">
        <v>6108</v>
      </c>
      <c r="N1415" s="106" t="s">
        <v>40</v>
      </c>
      <c r="O1415" s="107"/>
      <c r="P1415" s="106" t="s">
        <v>6109</v>
      </c>
    </row>
    <row r="1416" spans="1:16" outlineLevel="2" x14ac:dyDescent="0.3">
      <c r="A1416" s="105" t="s">
        <v>6110</v>
      </c>
      <c r="B1416" s="106"/>
      <c r="C1416" s="106"/>
      <c r="D1416" s="106"/>
      <c r="E1416" s="106" t="s">
        <v>6111</v>
      </c>
      <c r="F1416" s="106" t="s">
        <v>3981</v>
      </c>
      <c r="G1416" s="105">
        <v>4</v>
      </c>
      <c r="H1416" s="106" t="s">
        <v>7</v>
      </c>
      <c r="I1416" s="105" t="s">
        <v>39</v>
      </c>
      <c r="J1416" s="105"/>
      <c r="K1416" s="105"/>
      <c r="L1416" s="105"/>
      <c r="M1416" s="106" t="s">
        <v>6112</v>
      </c>
      <c r="N1416" s="106" t="s">
        <v>40</v>
      </c>
      <c r="O1416" s="107" t="s">
        <v>332</v>
      </c>
      <c r="P1416" s="106" t="s">
        <v>6113</v>
      </c>
    </row>
    <row r="1417" spans="1:16" outlineLevel="2" x14ac:dyDescent="0.3">
      <c r="A1417" s="105" t="s">
        <v>6114</v>
      </c>
      <c r="B1417" s="106"/>
      <c r="C1417" s="106"/>
      <c r="D1417" s="106"/>
      <c r="E1417" s="106" t="s">
        <v>6115</v>
      </c>
      <c r="F1417" s="106" t="s">
        <v>6116</v>
      </c>
      <c r="G1417" s="105">
        <v>4</v>
      </c>
      <c r="H1417" s="106" t="s">
        <v>7</v>
      </c>
      <c r="I1417" s="105" t="s">
        <v>39</v>
      </c>
      <c r="J1417" s="105"/>
      <c r="K1417" s="105"/>
      <c r="L1417" s="105"/>
      <c r="M1417" s="106" t="s">
        <v>6117</v>
      </c>
      <c r="N1417" s="106" t="s">
        <v>40</v>
      </c>
      <c r="O1417" s="107"/>
      <c r="P1417" s="106" t="s">
        <v>6118</v>
      </c>
    </row>
    <row r="1418" spans="1:16" outlineLevel="2" x14ac:dyDescent="0.3">
      <c r="A1418" s="105" t="s">
        <v>6119</v>
      </c>
      <c r="B1418" s="106"/>
      <c r="C1418" s="106"/>
      <c r="D1418" s="106"/>
      <c r="E1418" s="106" t="s">
        <v>6120</v>
      </c>
      <c r="F1418" s="106" t="s">
        <v>6121</v>
      </c>
      <c r="G1418" s="105">
        <v>4</v>
      </c>
      <c r="H1418" s="106" t="s">
        <v>7</v>
      </c>
      <c r="I1418" s="105" t="s">
        <v>39</v>
      </c>
      <c r="J1418" s="105"/>
      <c r="K1418" s="105"/>
      <c r="L1418" s="105"/>
      <c r="M1418" s="106" t="s">
        <v>6122</v>
      </c>
      <c r="N1418" s="106" t="s">
        <v>40</v>
      </c>
      <c r="O1418" s="107"/>
      <c r="P1418" s="106" t="s">
        <v>6123</v>
      </c>
    </row>
    <row r="1419" spans="1:16" outlineLevel="2" x14ac:dyDescent="0.3">
      <c r="A1419" s="105" t="s">
        <v>6124</v>
      </c>
      <c r="B1419" s="106"/>
      <c r="C1419" s="106"/>
      <c r="D1419" s="106"/>
      <c r="E1419" s="106" t="s">
        <v>6125</v>
      </c>
      <c r="F1419" s="106" t="s">
        <v>6126</v>
      </c>
      <c r="G1419" s="105">
        <v>4</v>
      </c>
      <c r="H1419" s="106" t="s">
        <v>7</v>
      </c>
      <c r="I1419" s="105" t="s">
        <v>39</v>
      </c>
      <c r="J1419" s="105"/>
      <c r="K1419" s="105"/>
      <c r="L1419" s="105"/>
      <c r="M1419" s="106" t="s">
        <v>6127</v>
      </c>
      <c r="N1419" s="106" t="s">
        <v>40</v>
      </c>
      <c r="O1419" s="107"/>
      <c r="P1419" s="106" t="s">
        <v>6128</v>
      </c>
    </row>
    <row r="1420" spans="1:16" outlineLevel="2" x14ac:dyDescent="0.3">
      <c r="A1420" s="105" t="s">
        <v>6129</v>
      </c>
      <c r="B1420" s="106"/>
      <c r="C1420" s="106"/>
      <c r="D1420" s="106"/>
      <c r="E1420" s="106" t="s">
        <v>6130</v>
      </c>
      <c r="F1420" s="106" t="s">
        <v>6131</v>
      </c>
      <c r="G1420" s="105">
        <v>4</v>
      </c>
      <c r="H1420" s="106" t="s">
        <v>7</v>
      </c>
      <c r="I1420" s="105" t="s">
        <v>39</v>
      </c>
      <c r="J1420" s="105"/>
      <c r="K1420" s="105"/>
      <c r="L1420" s="105"/>
      <c r="M1420" s="106" t="s">
        <v>6132</v>
      </c>
      <c r="N1420" s="106" t="s">
        <v>40</v>
      </c>
      <c r="O1420" s="107"/>
      <c r="P1420" s="106" t="s">
        <v>6133</v>
      </c>
    </row>
    <row r="1421" spans="1:16" outlineLevel="2" x14ac:dyDescent="0.3">
      <c r="A1421" s="105" t="s">
        <v>6134</v>
      </c>
      <c r="B1421" s="106"/>
      <c r="C1421" s="106"/>
      <c r="D1421" s="106"/>
      <c r="E1421" s="106" t="s">
        <v>6135</v>
      </c>
      <c r="F1421" s="106" t="s">
        <v>6136</v>
      </c>
      <c r="G1421" s="105">
        <v>4</v>
      </c>
      <c r="H1421" s="106" t="s">
        <v>7</v>
      </c>
      <c r="I1421" s="105" t="s">
        <v>39</v>
      </c>
      <c r="J1421" s="105"/>
      <c r="K1421" s="105"/>
      <c r="L1421" s="105"/>
      <c r="M1421" s="106" t="s">
        <v>6137</v>
      </c>
      <c r="N1421" s="106" t="s">
        <v>40</v>
      </c>
      <c r="O1421" s="107"/>
      <c r="P1421" s="106" t="s">
        <v>6138</v>
      </c>
    </row>
    <row r="1422" spans="1:16" outlineLevel="2" x14ac:dyDescent="0.3">
      <c r="A1422" s="105" t="s">
        <v>6139</v>
      </c>
      <c r="B1422" s="106"/>
      <c r="C1422" s="106"/>
      <c r="D1422" s="106"/>
      <c r="E1422" s="106" t="s">
        <v>6140</v>
      </c>
      <c r="F1422" s="106" t="s">
        <v>6141</v>
      </c>
      <c r="G1422" s="105">
        <v>4</v>
      </c>
      <c r="H1422" s="106" t="s">
        <v>7</v>
      </c>
      <c r="I1422" s="105" t="s">
        <v>39</v>
      </c>
      <c r="J1422" s="105"/>
      <c r="K1422" s="105"/>
      <c r="L1422" s="105"/>
      <c r="M1422" s="106" t="s">
        <v>6142</v>
      </c>
      <c r="N1422" s="106" t="s">
        <v>40</v>
      </c>
      <c r="O1422" s="107"/>
      <c r="P1422" s="106" t="s">
        <v>6143</v>
      </c>
    </row>
    <row r="1423" spans="1:16" outlineLevel="2" x14ac:dyDescent="0.3">
      <c r="A1423" s="105" t="s">
        <v>6144</v>
      </c>
      <c r="B1423" s="106"/>
      <c r="C1423" s="106"/>
      <c r="D1423" s="106"/>
      <c r="E1423" s="106" t="s">
        <v>6145</v>
      </c>
      <c r="F1423" s="106" t="s">
        <v>6146</v>
      </c>
      <c r="G1423" s="105">
        <v>4</v>
      </c>
      <c r="H1423" s="106" t="s">
        <v>7</v>
      </c>
      <c r="I1423" s="105" t="s">
        <v>39</v>
      </c>
      <c r="J1423" s="105"/>
      <c r="K1423" s="105"/>
      <c r="L1423" s="105"/>
      <c r="M1423" s="106" t="s">
        <v>6147</v>
      </c>
      <c r="N1423" s="106" t="s">
        <v>40</v>
      </c>
      <c r="O1423" s="107"/>
      <c r="P1423" s="106" t="s">
        <v>6148</v>
      </c>
    </row>
    <row r="1424" spans="1:16" outlineLevel="2" x14ac:dyDescent="0.3">
      <c r="A1424" s="105" t="s">
        <v>6149</v>
      </c>
      <c r="B1424" s="106"/>
      <c r="C1424" s="106"/>
      <c r="D1424" s="106"/>
      <c r="E1424" s="106" t="s">
        <v>6150</v>
      </c>
      <c r="F1424" s="106" t="s">
        <v>6151</v>
      </c>
      <c r="G1424" s="105">
        <v>4</v>
      </c>
      <c r="H1424" s="106" t="s">
        <v>7</v>
      </c>
      <c r="I1424" s="105" t="s">
        <v>39</v>
      </c>
      <c r="J1424" s="105"/>
      <c r="K1424" s="105"/>
      <c r="L1424" s="105"/>
      <c r="M1424" s="106" t="s">
        <v>6152</v>
      </c>
      <c r="N1424" s="106" t="s">
        <v>223</v>
      </c>
      <c r="O1424" s="107"/>
      <c r="P1424" s="106" t="s">
        <v>6153</v>
      </c>
    </row>
    <row r="1425" spans="1:16" outlineLevel="2" x14ac:dyDescent="0.3">
      <c r="A1425" s="105" t="s">
        <v>6154</v>
      </c>
      <c r="B1425" s="106"/>
      <c r="C1425" s="106"/>
      <c r="D1425" s="106"/>
      <c r="E1425" s="106" t="s">
        <v>6155</v>
      </c>
      <c r="F1425" s="106" t="s">
        <v>6156</v>
      </c>
      <c r="G1425" s="105">
        <v>4</v>
      </c>
      <c r="H1425" s="106" t="s">
        <v>7</v>
      </c>
      <c r="I1425" s="105" t="s">
        <v>39</v>
      </c>
      <c r="J1425" s="105"/>
      <c r="K1425" s="105"/>
      <c r="L1425" s="105"/>
      <c r="M1425" s="106" t="s">
        <v>6157</v>
      </c>
      <c r="N1425" s="106" t="s">
        <v>40</v>
      </c>
      <c r="O1425" s="107"/>
      <c r="P1425" s="106" t="s">
        <v>6158</v>
      </c>
    </row>
    <row r="1426" spans="1:16" outlineLevel="2" x14ac:dyDescent="0.3">
      <c r="A1426" s="105" t="s">
        <v>6159</v>
      </c>
      <c r="B1426" s="106"/>
      <c r="C1426" s="106"/>
      <c r="D1426" s="106"/>
      <c r="E1426" s="106" t="s">
        <v>6160</v>
      </c>
      <c r="F1426" s="106" t="s">
        <v>6161</v>
      </c>
      <c r="G1426" s="105">
        <v>4</v>
      </c>
      <c r="H1426" s="106" t="s">
        <v>7</v>
      </c>
      <c r="I1426" s="105" t="s">
        <v>39</v>
      </c>
      <c r="J1426" s="105"/>
      <c r="K1426" s="105"/>
      <c r="L1426" s="105"/>
      <c r="M1426" s="106" t="s">
        <v>6162</v>
      </c>
      <c r="N1426" s="106" t="s">
        <v>40</v>
      </c>
      <c r="O1426" s="107"/>
      <c r="P1426" s="106" t="s">
        <v>6163</v>
      </c>
    </row>
    <row r="1427" spans="1:16" outlineLevel="2" x14ac:dyDescent="0.3">
      <c r="A1427" s="105" t="s">
        <v>6164</v>
      </c>
      <c r="B1427" s="106"/>
      <c r="C1427" s="106"/>
      <c r="D1427" s="106"/>
      <c r="E1427" s="106" t="s">
        <v>6165</v>
      </c>
      <c r="F1427" s="106" t="s">
        <v>6166</v>
      </c>
      <c r="G1427" s="105">
        <v>4</v>
      </c>
      <c r="H1427" s="106" t="s">
        <v>7</v>
      </c>
      <c r="I1427" s="105" t="s">
        <v>39</v>
      </c>
      <c r="J1427" s="105"/>
      <c r="K1427" s="105"/>
      <c r="L1427" s="105"/>
      <c r="M1427" s="106" t="s">
        <v>6167</v>
      </c>
      <c r="N1427" s="106" t="s">
        <v>40</v>
      </c>
      <c r="O1427" s="107"/>
      <c r="P1427" s="106" t="s">
        <v>6168</v>
      </c>
    </row>
    <row r="1428" spans="1:16" outlineLevel="2" x14ac:dyDescent="0.3">
      <c r="A1428" s="105" t="s">
        <v>6169</v>
      </c>
      <c r="B1428" s="106"/>
      <c r="C1428" s="106"/>
      <c r="D1428" s="106"/>
      <c r="E1428" s="106" t="s">
        <v>6170</v>
      </c>
      <c r="F1428" s="106" t="s">
        <v>6171</v>
      </c>
      <c r="G1428" s="105">
        <v>4</v>
      </c>
      <c r="H1428" s="106" t="s">
        <v>7</v>
      </c>
      <c r="I1428" s="105" t="s">
        <v>39</v>
      </c>
      <c r="J1428" s="105"/>
      <c r="K1428" s="105"/>
      <c r="L1428" s="105"/>
      <c r="M1428" s="106" t="s">
        <v>6172</v>
      </c>
      <c r="N1428" s="106" t="s">
        <v>40</v>
      </c>
      <c r="O1428" s="107"/>
      <c r="P1428" s="106" t="s">
        <v>6173</v>
      </c>
    </row>
    <row r="1429" spans="1:16" outlineLevel="2" x14ac:dyDescent="0.3">
      <c r="A1429" s="105" t="s">
        <v>6174</v>
      </c>
      <c r="B1429" s="106"/>
      <c r="C1429" s="106"/>
      <c r="D1429" s="106"/>
      <c r="E1429" s="106" t="s">
        <v>6175</v>
      </c>
      <c r="F1429" s="106" t="s">
        <v>6176</v>
      </c>
      <c r="G1429" s="105">
        <v>4</v>
      </c>
      <c r="H1429" s="106" t="s">
        <v>7</v>
      </c>
      <c r="I1429" s="105" t="s">
        <v>39</v>
      </c>
      <c r="J1429" s="105"/>
      <c r="K1429" s="105"/>
      <c r="L1429" s="105"/>
      <c r="M1429" s="106" t="s">
        <v>6177</v>
      </c>
      <c r="N1429" s="106" t="s">
        <v>40</v>
      </c>
      <c r="O1429" s="107"/>
      <c r="P1429" s="106" t="s">
        <v>6178</v>
      </c>
    </row>
    <row r="1430" spans="1:16" outlineLevel="2" x14ac:dyDescent="0.3">
      <c r="A1430" s="105" t="s">
        <v>6179</v>
      </c>
      <c r="B1430" s="106"/>
      <c r="C1430" s="106"/>
      <c r="D1430" s="106"/>
      <c r="E1430" s="106" t="s">
        <v>6180</v>
      </c>
      <c r="F1430" s="106" t="s">
        <v>6181</v>
      </c>
      <c r="G1430" s="105">
        <v>4</v>
      </c>
      <c r="H1430" s="106" t="s">
        <v>7</v>
      </c>
      <c r="I1430" s="105" t="s">
        <v>39</v>
      </c>
      <c r="J1430" s="105"/>
      <c r="K1430" s="105"/>
      <c r="L1430" s="105"/>
      <c r="M1430" s="106" t="s">
        <v>100</v>
      </c>
      <c r="N1430" s="106" t="s">
        <v>40</v>
      </c>
      <c r="O1430" s="107"/>
      <c r="P1430" s="106" t="s">
        <v>6182</v>
      </c>
    </row>
    <row r="1431" spans="1:16" outlineLevel="2" x14ac:dyDescent="0.3">
      <c r="A1431" s="105" t="s">
        <v>6183</v>
      </c>
      <c r="B1431" s="106"/>
      <c r="C1431" s="106"/>
      <c r="D1431" s="106"/>
      <c r="E1431" s="106" t="s">
        <v>6184</v>
      </c>
      <c r="F1431" s="106" t="s">
        <v>6185</v>
      </c>
      <c r="G1431" s="105">
        <v>4</v>
      </c>
      <c r="H1431" s="106" t="s">
        <v>7</v>
      </c>
      <c r="I1431" s="105" t="s">
        <v>39</v>
      </c>
      <c r="J1431" s="105"/>
      <c r="K1431" s="105"/>
      <c r="L1431" s="105"/>
      <c r="M1431" s="106" t="s">
        <v>6186</v>
      </c>
      <c r="N1431" s="106" t="s">
        <v>40</v>
      </c>
      <c r="O1431" s="107"/>
      <c r="P1431" s="106" t="s">
        <v>6187</v>
      </c>
    </row>
    <row r="1432" spans="1:16" outlineLevel="2" x14ac:dyDescent="0.3">
      <c r="A1432" s="105" t="s">
        <v>6188</v>
      </c>
      <c r="B1432" s="106"/>
      <c r="C1432" s="106"/>
      <c r="D1432" s="106"/>
      <c r="E1432" s="106" t="s">
        <v>6189</v>
      </c>
      <c r="F1432" s="106" t="s">
        <v>6190</v>
      </c>
      <c r="G1432" s="105">
        <v>4</v>
      </c>
      <c r="H1432" s="106" t="s">
        <v>7</v>
      </c>
      <c r="I1432" s="105" t="s">
        <v>39</v>
      </c>
      <c r="J1432" s="105"/>
      <c r="K1432" s="105"/>
      <c r="L1432" s="105"/>
      <c r="M1432" s="106" t="s">
        <v>6191</v>
      </c>
      <c r="N1432" s="106" t="s">
        <v>40</v>
      </c>
      <c r="O1432" s="107"/>
      <c r="P1432" s="106" t="s">
        <v>6192</v>
      </c>
    </row>
    <row r="1433" spans="1:16" outlineLevel="2" x14ac:dyDescent="0.3">
      <c r="A1433" s="105" t="s">
        <v>6193</v>
      </c>
      <c r="B1433" s="106"/>
      <c r="C1433" s="106"/>
      <c r="D1433" s="106"/>
      <c r="E1433" s="106" t="s">
        <v>6194</v>
      </c>
      <c r="F1433" s="106" t="s">
        <v>6195</v>
      </c>
      <c r="G1433" s="105">
        <v>4</v>
      </c>
      <c r="H1433" s="106" t="s">
        <v>7</v>
      </c>
      <c r="I1433" s="105" t="s">
        <v>39</v>
      </c>
      <c r="J1433" s="105"/>
      <c r="K1433" s="105"/>
      <c r="L1433" s="105"/>
      <c r="M1433" s="106" t="s">
        <v>6196</v>
      </c>
      <c r="N1433" s="106" t="s">
        <v>40</v>
      </c>
      <c r="O1433" s="107"/>
      <c r="P1433" s="106" t="s">
        <v>6197</v>
      </c>
    </row>
    <row r="1434" spans="1:16" outlineLevel="2" x14ac:dyDescent="0.3">
      <c r="A1434" s="105" t="s">
        <v>6198</v>
      </c>
      <c r="B1434" s="106"/>
      <c r="C1434" s="106"/>
      <c r="D1434" s="106"/>
      <c r="E1434" s="106" t="s">
        <v>6199</v>
      </c>
      <c r="F1434" s="106" t="s">
        <v>6018</v>
      </c>
      <c r="G1434" s="105">
        <v>4</v>
      </c>
      <c r="H1434" s="106" t="s">
        <v>7</v>
      </c>
      <c r="I1434" s="105" t="s">
        <v>39</v>
      </c>
      <c r="J1434" s="105"/>
      <c r="K1434" s="105"/>
      <c r="L1434" s="105"/>
      <c r="M1434" s="106" t="s">
        <v>6200</v>
      </c>
      <c r="N1434" s="106" t="s">
        <v>223</v>
      </c>
      <c r="O1434" s="107"/>
      <c r="P1434" s="106" t="s">
        <v>6201</v>
      </c>
    </row>
    <row r="1435" spans="1:16" outlineLevel="2" x14ac:dyDescent="0.3">
      <c r="A1435" s="105" t="s">
        <v>6202</v>
      </c>
      <c r="B1435" s="106"/>
      <c r="C1435" s="106"/>
      <c r="D1435" s="106"/>
      <c r="E1435" s="106" t="s">
        <v>6203</v>
      </c>
      <c r="F1435" s="106" t="s">
        <v>6204</v>
      </c>
      <c r="G1435" s="105">
        <v>4</v>
      </c>
      <c r="H1435" s="106" t="s">
        <v>7</v>
      </c>
      <c r="I1435" s="105" t="s">
        <v>39</v>
      </c>
      <c r="J1435" s="105"/>
      <c r="K1435" s="105"/>
      <c r="L1435" s="105"/>
      <c r="M1435" s="106" t="s">
        <v>6205</v>
      </c>
      <c r="N1435" s="106" t="s">
        <v>40</v>
      </c>
      <c r="O1435" s="107"/>
      <c r="P1435" s="106" t="s">
        <v>6206</v>
      </c>
    </row>
    <row r="1436" spans="1:16" ht="27.6" outlineLevel="1" x14ac:dyDescent="0.3">
      <c r="A1436" s="271" t="s">
        <v>6207</v>
      </c>
      <c r="B1436" s="272"/>
      <c r="C1436" s="273" t="s">
        <v>6208</v>
      </c>
      <c r="D1436" s="272"/>
      <c r="E1436" s="272"/>
      <c r="F1436" s="272"/>
      <c r="G1436" s="271">
        <v>2</v>
      </c>
      <c r="H1436" s="272" t="s">
        <v>25</v>
      </c>
      <c r="I1436" s="271" t="s">
        <v>39</v>
      </c>
      <c r="J1436" s="271">
        <v>4</v>
      </c>
      <c r="K1436" s="271">
        <v>0</v>
      </c>
      <c r="L1436" s="271">
        <v>4</v>
      </c>
      <c r="M1436" s="274" t="s">
        <v>6209</v>
      </c>
      <c r="N1436" s="274" t="s">
        <v>40</v>
      </c>
      <c r="O1436" s="275"/>
      <c r="P1436" s="274" t="s">
        <v>6210</v>
      </c>
    </row>
    <row r="1437" spans="1:16" outlineLevel="2" x14ac:dyDescent="0.3">
      <c r="A1437" s="105" t="s">
        <v>6211</v>
      </c>
      <c r="B1437" s="106"/>
      <c r="C1437" s="106"/>
      <c r="D1437" s="106"/>
      <c r="E1437" s="106" t="s">
        <v>5997</v>
      </c>
      <c r="F1437" s="106" t="s">
        <v>5998</v>
      </c>
      <c r="G1437" s="105">
        <v>4</v>
      </c>
      <c r="H1437" s="106" t="s">
        <v>7</v>
      </c>
      <c r="I1437" s="105" t="s">
        <v>39</v>
      </c>
      <c r="J1437" s="105"/>
      <c r="K1437" s="105"/>
      <c r="L1437" s="105"/>
      <c r="M1437" s="106" t="s">
        <v>5999</v>
      </c>
      <c r="N1437" s="106" t="s">
        <v>40</v>
      </c>
      <c r="O1437" s="107"/>
      <c r="P1437" s="106" t="s">
        <v>6212</v>
      </c>
    </row>
    <row r="1438" spans="1:16" outlineLevel="2" x14ac:dyDescent="0.3">
      <c r="A1438" s="105" t="s">
        <v>6213</v>
      </c>
      <c r="B1438" s="106"/>
      <c r="C1438" s="106"/>
      <c r="D1438" s="106"/>
      <c r="E1438" s="106" t="s">
        <v>6214</v>
      </c>
      <c r="F1438" s="106" t="s">
        <v>6215</v>
      </c>
      <c r="G1438" s="105">
        <v>4</v>
      </c>
      <c r="H1438" s="106" t="s">
        <v>7</v>
      </c>
      <c r="I1438" s="105" t="s">
        <v>39</v>
      </c>
      <c r="J1438" s="105"/>
      <c r="K1438" s="105"/>
      <c r="L1438" s="105"/>
      <c r="M1438" s="106" t="s">
        <v>6216</v>
      </c>
      <c r="N1438" s="106" t="s">
        <v>40</v>
      </c>
      <c r="O1438" s="107"/>
      <c r="P1438" s="106" t="s">
        <v>6217</v>
      </c>
    </row>
    <row r="1439" spans="1:16" outlineLevel="2" x14ac:dyDescent="0.3">
      <c r="A1439" s="105" t="s">
        <v>6218</v>
      </c>
      <c r="B1439" s="106"/>
      <c r="C1439" s="106"/>
      <c r="D1439" s="106"/>
      <c r="E1439" s="106" t="s">
        <v>6219</v>
      </c>
      <c r="F1439" s="106" t="s">
        <v>6220</v>
      </c>
      <c r="G1439" s="105">
        <v>4</v>
      </c>
      <c r="H1439" s="106" t="s">
        <v>7</v>
      </c>
      <c r="I1439" s="105" t="s">
        <v>39</v>
      </c>
      <c r="J1439" s="105"/>
      <c r="K1439" s="105"/>
      <c r="L1439" s="105"/>
      <c r="M1439" s="106" t="s">
        <v>6221</v>
      </c>
      <c r="N1439" s="106" t="s">
        <v>40</v>
      </c>
      <c r="O1439" s="107" t="s">
        <v>600</v>
      </c>
      <c r="P1439" s="106" t="s">
        <v>6222</v>
      </c>
    </row>
    <row r="1440" spans="1:16" outlineLevel="2" x14ac:dyDescent="0.3">
      <c r="A1440" s="105" t="s">
        <v>6223</v>
      </c>
      <c r="B1440" s="106"/>
      <c r="C1440" s="106"/>
      <c r="D1440" s="106"/>
      <c r="E1440" s="106" t="s">
        <v>6224</v>
      </c>
      <c r="F1440" s="106" t="s">
        <v>6225</v>
      </c>
      <c r="G1440" s="105">
        <v>4</v>
      </c>
      <c r="H1440" s="106" t="s">
        <v>7</v>
      </c>
      <c r="I1440" s="105" t="s">
        <v>39</v>
      </c>
      <c r="J1440" s="105"/>
      <c r="K1440" s="105"/>
      <c r="L1440" s="105"/>
      <c r="M1440" s="106" t="s">
        <v>6226</v>
      </c>
      <c r="N1440" s="106" t="s">
        <v>40</v>
      </c>
      <c r="O1440" s="107"/>
      <c r="P1440" s="106" t="s">
        <v>6227</v>
      </c>
    </row>
    <row r="1441" spans="1:16" ht="27.6" outlineLevel="1" x14ac:dyDescent="0.3">
      <c r="A1441" s="271" t="s">
        <v>6228</v>
      </c>
      <c r="B1441" s="272"/>
      <c r="C1441" s="273" t="s">
        <v>6229</v>
      </c>
      <c r="D1441" s="272"/>
      <c r="E1441" s="272"/>
      <c r="F1441" s="272"/>
      <c r="G1441" s="271">
        <v>2</v>
      </c>
      <c r="H1441" s="272" t="s">
        <v>25</v>
      </c>
      <c r="I1441" s="271" t="s">
        <v>39</v>
      </c>
      <c r="J1441" s="271">
        <v>6</v>
      </c>
      <c r="K1441" s="271">
        <v>0</v>
      </c>
      <c r="L1441" s="271">
        <v>4</v>
      </c>
      <c r="M1441" s="274" t="s">
        <v>6230</v>
      </c>
      <c r="N1441" s="274" t="s">
        <v>223</v>
      </c>
      <c r="O1441" s="275"/>
      <c r="P1441" s="274" t="s">
        <v>6231</v>
      </c>
    </row>
    <row r="1442" spans="1:16" outlineLevel="2" x14ac:dyDescent="0.3">
      <c r="A1442" s="105" t="s">
        <v>6232</v>
      </c>
      <c r="B1442" s="106"/>
      <c r="C1442" s="106"/>
      <c r="D1442" s="106"/>
      <c r="E1442" s="106" t="s">
        <v>3570</v>
      </c>
      <c r="F1442" s="106" t="s">
        <v>3571</v>
      </c>
      <c r="G1442" s="105">
        <v>4</v>
      </c>
      <c r="H1442" s="106" t="s">
        <v>7</v>
      </c>
      <c r="I1442" s="105" t="s">
        <v>26</v>
      </c>
      <c r="J1442" s="105"/>
      <c r="K1442" s="105"/>
      <c r="L1442" s="105"/>
      <c r="M1442" s="106" t="s">
        <v>3539</v>
      </c>
      <c r="N1442" s="106" t="s">
        <v>713</v>
      </c>
      <c r="O1442" s="107"/>
      <c r="P1442" s="106" t="s">
        <v>6233</v>
      </c>
    </row>
    <row r="1443" spans="1:16" outlineLevel="2" x14ac:dyDescent="0.3">
      <c r="A1443" s="105" t="s">
        <v>6234</v>
      </c>
      <c r="B1443" s="106"/>
      <c r="C1443" s="106"/>
      <c r="D1443" s="106"/>
      <c r="E1443" s="106" t="s">
        <v>6235</v>
      </c>
      <c r="F1443" s="106" t="s">
        <v>6236</v>
      </c>
      <c r="G1443" s="105">
        <v>4</v>
      </c>
      <c r="H1443" s="106" t="s">
        <v>7</v>
      </c>
      <c r="I1443" s="105" t="s">
        <v>26</v>
      </c>
      <c r="J1443" s="105"/>
      <c r="K1443" s="105"/>
      <c r="L1443" s="105"/>
      <c r="M1443" s="106"/>
      <c r="N1443" s="106" t="s">
        <v>287</v>
      </c>
      <c r="O1443" s="107"/>
      <c r="P1443" s="106"/>
    </row>
    <row r="1444" spans="1:16" outlineLevel="2" x14ac:dyDescent="0.3">
      <c r="A1444" s="105" t="s">
        <v>6237</v>
      </c>
      <c r="B1444" s="106"/>
      <c r="C1444" s="106"/>
      <c r="D1444" s="106"/>
      <c r="E1444" s="106" t="s">
        <v>3594</v>
      </c>
      <c r="F1444" s="106" t="s">
        <v>3595</v>
      </c>
      <c r="G1444" s="105">
        <v>4</v>
      </c>
      <c r="H1444" s="106" t="s">
        <v>7</v>
      </c>
      <c r="I1444" s="105" t="s">
        <v>39</v>
      </c>
      <c r="J1444" s="105"/>
      <c r="K1444" s="105"/>
      <c r="L1444" s="105"/>
      <c r="M1444" s="106" t="s">
        <v>3539</v>
      </c>
      <c r="N1444" s="106" t="s">
        <v>40</v>
      </c>
      <c r="O1444" s="107"/>
      <c r="P1444" s="106" t="s">
        <v>6238</v>
      </c>
    </row>
    <row r="1445" spans="1:16" outlineLevel="2" x14ac:dyDescent="0.3">
      <c r="A1445" s="105" t="s">
        <v>6239</v>
      </c>
      <c r="B1445" s="106"/>
      <c r="C1445" s="106"/>
      <c r="D1445" s="106"/>
      <c r="E1445" s="106" t="s">
        <v>3598</v>
      </c>
      <c r="F1445" s="106" t="s">
        <v>3599</v>
      </c>
      <c r="G1445" s="105">
        <v>4</v>
      </c>
      <c r="H1445" s="106" t="s">
        <v>7</v>
      </c>
      <c r="I1445" s="105" t="s">
        <v>26</v>
      </c>
      <c r="J1445" s="105"/>
      <c r="K1445" s="105"/>
      <c r="L1445" s="105"/>
      <c r="M1445" s="106" t="s">
        <v>3539</v>
      </c>
      <c r="N1445" s="106" t="s">
        <v>713</v>
      </c>
      <c r="O1445" s="107"/>
      <c r="P1445" s="106" t="s">
        <v>6240</v>
      </c>
    </row>
    <row r="1446" spans="1:16" outlineLevel="2" x14ac:dyDescent="0.3">
      <c r="A1446" s="105" t="s">
        <v>6241</v>
      </c>
      <c r="B1446" s="106"/>
      <c r="C1446" s="106"/>
      <c r="D1446" s="106"/>
      <c r="E1446" s="106" t="s">
        <v>6242</v>
      </c>
      <c r="F1446" s="106" t="s">
        <v>6243</v>
      </c>
      <c r="G1446" s="105">
        <v>4</v>
      </c>
      <c r="H1446" s="106" t="s">
        <v>7</v>
      </c>
      <c r="I1446" s="105" t="s">
        <v>39</v>
      </c>
      <c r="J1446" s="105"/>
      <c r="K1446" s="105"/>
      <c r="L1446" s="105"/>
      <c r="M1446" s="106" t="s">
        <v>6244</v>
      </c>
      <c r="N1446" s="106" t="s">
        <v>40</v>
      </c>
      <c r="O1446" s="107"/>
      <c r="P1446" s="106" t="s">
        <v>6245</v>
      </c>
    </row>
    <row r="1447" spans="1:16" outlineLevel="2" x14ac:dyDescent="0.3">
      <c r="A1447" s="105" t="s">
        <v>6246</v>
      </c>
      <c r="B1447" s="106"/>
      <c r="C1447" s="106"/>
      <c r="D1447" s="106"/>
      <c r="E1447" s="106" t="s">
        <v>6247</v>
      </c>
      <c r="F1447" s="106" t="s">
        <v>6248</v>
      </c>
      <c r="G1447" s="105">
        <v>4</v>
      </c>
      <c r="H1447" s="106" t="s">
        <v>7</v>
      </c>
      <c r="I1447" s="105" t="s">
        <v>39</v>
      </c>
      <c r="J1447" s="105"/>
      <c r="K1447" s="105"/>
      <c r="L1447" s="105"/>
      <c r="M1447" s="106"/>
      <c r="N1447" s="106" t="s">
        <v>287</v>
      </c>
      <c r="O1447" s="107"/>
      <c r="P1447" s="106"/>
    </row>
    <row r="1448" spans="1:16" ht="27.6" outlineLevel="1" x14ac:dyDescent="0.3">
      <c r="A1448" s="271" t="s">
        <v>6249</v>
      </c>
      <c r="B1448" s="272"/>
      <c r="C1448" s="273" t="s">
        <v>6250</v>
      </c>
      <c r="D1448" s="272"/>
      <c r="E1448" s="272"/>
      <c r="F1448" s="272"/>
      <c r="G1448" s="271">
        <v>2</v>
      </c>
      <c r="H1448" s="272" t="s">
        <v>25</v>
      </c>
      <c r="I1448" s="271" t="s">
        <v>39</v>
      </c>
      <c r="J1448" s="271">
        <v>40</v>
      </c>
      <c r="K1448" s="271">
        <v>0</v>
      </c>
      <c r="L1448" s="271">
        <v>40</v>
      </c>
      <c r="M1448" s="274" t="s">
        <v>6251</v>
      </c>
      <c r="N1448" s="274" t="s">
        <v>40</v>
      </c>
      <c r="O1448" s="275"/>
      <c r="P1448" s="274" t="s">
        <v>5897</v>
      </c>
    </row>
    <row r="1449" spans="1:16" outlineLevel="2" x14ac:dyDescent="0.3">
      <c r="A1449" s="105" t="s">
        <v>6252</v>
      </c>
      <c r="B1449" s="106"/>
      <c r="C1449" s="106"/>
      <c r="D1449" s="106"/>
      <c r="E1449" s="106" t="s">
        <v>2683</v>
      </c>
      <c r="F1449" s="106" t="s">
        <v>2684</v>
      </c>
      <c r="G1449" s="105">
        <v>4</v>
      </c>
      <c r="H1449" s="106" t="s">
        <v>7</v>
      </c>
      <c r="I1449" s="105" t="s">
        <v>39</v>
      </c>
      <c r="J1449" s="105"/>
      <c r="K1449" s="105"/>
      <c r="L1449" s="105"/>
      <c r="M1449" s="106" t="s">
        <v>2685</v>
      </c>
      <c r="N1449" s="106" t="s">
        <v>6253</v>
      </c>
      <c r="O1449" s="107"/>
      <c r="P1449" s="106" t="s">
        <v>2686</v>
      </c>
    </row>
    <row r="1450" spans="1:16" outlineLevel="2" x14ac:dyDescent="0.3">
      <c r="A1450" s="105" t="s">
        <v>6254</v>
      </c>
      <c r="B1450" s="106"/>
      <c r="C1450" s="106"/>
      <c r="D1450" s="106"/>
      <c r="E1450" s="106" t="s">
        <v>2806</v>
      </c>
      <c r="F1450" s="106" t="s">
        <v>2807</v>
      </c>
      <c r="G1450" s="105">
        <v>4</v>
      </c>
      <c r="H1450" s="106" t="s">
        <v>7</v>
      </c>
      <c r="I1450" s="105" t="s">
        <v>39</v>
      </c>
      <c r="J1450" s="105"/>
      <c r="K1450" s="105"/>
      <c r="L1450" s="105"/>
      <c r="M1450" s="106" t="s">
        <v>2808</v>
      </c>
      <c r="N1450" s="106" t="s">
        <v>40</v>
      </c>
      <c r="O1450" s="107"/>
      <c r="P1450" s="106" t="s">
        <v>2809</v>
      </c>
    </row>
    <row r="1451" spans="1:16" outlineLevel="2" x14ac:dyDescent="0.3">
      <c r="A1451" s="105" t="s">
        <v>6255</v>
      </c>
      <c r="B1451" s="106"/>
      <c r="C1451" s="106"/>
      <c r="D1451" s="106"/>
      <c r="E1451" s="106" t="s">
        <v>2590</v>
      </c>
      <c r="F1451" s="106" t="s">
        <v>2591</v>
      </c>
      <c r="G1451" s="105">
        <v>4</v>
      </c>
      <c r="H1451" s="106" t="s">
        <v>7</v>
      </c>
      <c r="I1451" s="105" t="s">
        <v>39</v>
      </c>
      <c r="J1451" s="105"/>
      <c r="K1451" s="105"/>
      <c r="L1451" s="105"/>
      <c r="M1451" s="106" t="s">
        <v>2592</v>
      </c>
      <c r="N1451" s="106" t="s">
        <v>6253</v>
      </c>
      <c r="O1451" s="107"/>
      <c r="P1451" s="106" t="s">
        <v>2593</v>
      </c>
    </row>
    <row r="1452" spans="1:16" outlineLevel="2" x14ac:dyDescent="0.3">
      <c r="A1452" s="105" t="s">
        <v>6256</v>
      </c>
      <c r="B1452" s="106"/>
      <c r="C1452" s="106"/>
      <c r="D1452" s="106"/>
      <c r="E1452" s="106" t="s">
        <v>2485</v>
      </c>
      <c r="F1452" s="106" t="s">
        <v>2486</v>
      </c>
      <c r="G1452" s="105">
        <v>4</v>
      </c>
      <c r="H1452" s="106" t="s">
        <v>7</v>
      </c>
      <c r="I1452" s="105" t="s">
        <v>39</v>
      </c>
      <c r="J1452" s="105"/>
      <c r="K1452" s="105"/>
      <c r="L1452" s="105"/>
      <c r="M1452" s="106" t="s">
        <v>2487</v>
      </c>
      <c r="N1452" s="106" t="s">
        <v>40</v>
      </c>
      <c r="O1452" s="107"/>
      <c r="P1452" s="106" t="s">
        <v>2488</v>
      </c>
    </row>
    <row r="1453" spans="1:16" outlineLevel="2" x14ac:dyDescent="0.3">
      <c r="A1453" s="105" t="s">
        <v>6257</v>
      </c>
      <c r="B1453" s="106"/>
      <c r="C1453" s="106"/>
      <c r="D1453" s="106"/>
      <c r="E1453" s="106" t="s">
        <v>2291</v>
      </c>
      <c r="F1453" s="106" t="s">
        <v>2292</v>
      </c>
      <c r="G1453" s="105">
        <v>4</v>
      </c>
      <c r="H1453" s="106" t="s">
        <v>7</v>
      </c>
      <c r="I1453" s="105" t="s">
        <v>39</v>
      </c>
      <c r="J1453" s="105"/>
      <c r="K1453" s="105"/>
      <c r="L1453" s="105"/>
      <c r="M1453" s="106" t="s">
        <v>2293</v>
      </c>
      <c r="N1453" s="106" t="s">
        <v>40</v>
      </c>
      <c r="O1453" s="107"/>
      <c r="P1453" s="106" t="s">
        <v>2294</v>
      </c>
    </row>
    <row r="1454" spans="1:16" outlineLevel="2" x14ac:dyDescent="0.3">
      <c r="A1454" s="105" t="s">
        <v>6258</v>
      </c>
      <c r="B1454" s="106"/>
      <c r="C1454" s="106"/>
      <c r="D1454" s="106"/>
      <c r="E1454" s="106" t="s">
        <v>2300</v>
      </c>
      <c r="F1454" s="106" t="s">
        <v>2301</v>
      </c>
      <c r="G1454" s="105">
        <v>4</v>
      </c>
      <c r="H1454" s="106" t="s">
        <v>7</v>
      </c>
      <c r="I1454" s="105" t="s">
        <v>39</v>
      </c>
      <c r="J1454" s="105"/>
      <c r="K1454" s="105"/>
      <c r="L1454" s="105"/>
      <c r="M1454" s="106" t="s">
        <v>2302</v>
      </c>
      <c r="N1454" s="106" t="s">
        <v>6253</v>
      </c>
      <c r="O1454" s="107"/>
      <c r="P1454" s="106" t="s">
        <v>2303</v>
      </c>
    </row>
    <row r="1455" spans="1:16" outlineLevel="2" x14ac:dyDescent="0.3">
      <c r="A1455" s="105" t="s">
        <v>6259</v>
      </c>
      <c r="B1455" s="106"/>
      <c r="C1455" s="106"/>
      <c r="D1455" s="106"/>
      <c r="E1455" s="106" t="s">
        <v>2996</v>
      </c>
      <c r="F1455" s="106" t="s">
        <v>2997</v>
      </c>
      <c r="G1455" s="105">
        <v>4</v>
      </c>
      <c r="H1455" s="106" t="s">
        <v>7</v>
      </c>
      <c r="I1455" s="105" t="s">
        <v>39</v>
      </c>
      <c r="J1455" s="105"/>
      <c r="K1455" s="105"/>
      <c r="L1455" s="105"/>
      <c r="M1455" s="106" t="s">
        <v>2998</v>
      </c>
      <c r="N1455" s="106" t="s">
        <v>6253</v>
      </c>
      <c r="O1455" s="107"/>
      <c r="P1455" s="106" t="s">
        <v>2999</v>
      </c>
    </row>
    <row r="1456" spans="1:16" outlineLevel="2" x14ac:dyDescent="0.3">
      <c r="A1456" s="105" t="s">
        <v>6260</v>
      </c>
      <c r="B1456" s="106"/>
      <c r="C1456" s="106"/>
      <c r="D1456" s="106"/>
      <c r="E1456" s="106" t="s">
        <v>3006</v>
      </c>
      <c r="F1456" s="106" t="s">
        <v>3007</v>
      </c>
      <c r="G1456" s="105">
        <v>4</v>
      </c>
      <c r="H1456" s="106" t="s">
        <v>7</v>
      </c>
      <c r="I1456" s="105" t="s">
        <v>39</v>
      </c>
      <c r="J1456" s="105"/>
      <c r="K1456" s="105"/>
      <c r="L1456" s="105"/>
      <c r="M1456" s="106" t="s">
        <v>3008</v>
      </c>
      <c r="N1456" s="106" t="s">
        <v>6253</v>
      </c>
      <c r="O1456" s="107"/>
      <c r="P1456" s="106" t="s">
        <v>3009</v>
      </c>
    </row>
    <row r="1457" spans="1:16" outlineLevel="2" x14ac:dyDescent="0.3">
      <c r="A1457" s="105" t="s">
        <v>6261</v>
      </c>
      <c r="B1457" s="106"/>
      <c r="C1457" s="106"/>
      <c r="D1457" s="106"/>
      <c r="E1457" s="106" t="s">
        <v>2693</v>
      </c>
      <c r="F1457" s="106" t="s">
        <v>2694</v>
      </c>
      <c r="G1457" s="105">
        <v>4</v>
      </c>
      <c r="H1457" s="106" t="s">
        <v>7</v>
      </c>
      <c r="I1457" s="105" t="s">
        <v>39</v>
      </c>
      <c r="J1457" s="105"/>
      <c r="K1457" s="105"/>
      <c r="L1457" s="105"/>
      <c r="M1457" s="106" t="s">
        <v>2695</v>
      </c>
      <c r="N1457" s="106" t="s">
        <v>6253</v>
      </c>
      <c r="O1457" s="107"/>
      <c r="P1457" s="106" t="s">
        <v>2696</v>
      </c>
    </row>
    <row r="1458" spans="1:16" outlineLevel="2" x14ac:dyDescent="0.3">
      <c r="A1458" s="105" t="s">
        <v>6262</v>
      </c>
      <c r="B1458" s="106"/>
      <c r="C1458" s="106"/>
      <c r="D1458" s="106"/>
      <c r="E1458" s="106" t="s">
        <v>962</v>
      </c>
      <c r="F1458" s="106" t="s">
        <v>3011</v>
      </c>
      <c r="G1458" s="105">
        <v>4</v>
      </c>
      <c r="H1458" s="106" t="s">
        <v>7</v>
      </c>
      <c r="I1458" s="105" t="s">
        <v>39</v>
      </c>
      <c r="J1458" s="105"/>
      <c r="K1458" s="105"/>
      <c r="L1458" s="105"/>
      <c r="M1458" s="106" t="s">
        <v>3012</v>
      </c>
      <c r="N1458" s="106" t="s">
        <v>40</v>
      </c>
      <c r="O1458" s="107"/>
      <c r="P1458" s="106" t="s">
        <v>3013</v>
      </c>
    </row>
    <row r="1459" spans="1:16" outlineLevel="2" x14ac:dyDescent="0.3">
      <c r="A1459" s="105" t="s">
        <v>6263</v>
      </c>
      <c r="B1459" s="106"/>
      <c r="C1459" s="106"/>
      <c r="D1459" s="106"/>
      <c r="E1459" s="106" t="s">
        <v>3303</v>
      </c>
      <c r="F1459" s="106" t="s">
        <v>3304</v>
      </c>
      <c r="G1459" s="105">
        <v>4</v>
      </c>
      <c r="H1459" s="106" t="s">
        <v>7</v>
      </c>
      <c r="I1459" s="105" t="s">
        <v>39</v>
      </c>
      <c r="J1459" s="105"/>
      <c r="K1459" s="105"/>
      <c r="L1459" s="105"/>
      <c r="M1459" s="106" t="s">
        <v>3305</v>
      </c>
      <c r="N1459" s="106" t="s">
        <v>40</v>
      </c>
      <c r="O1459" s="107"/>
      <c r="P1459" s="106" t="s">
        <v>3306</v>
      </c>
    </row>
    <row r="1460" spans="1:16" outlineLevel="2" x14ac:dyDescent="0.3">
      <c r="A1460" s="105" t="s">
        <v>6264</v>
      </c>
      <c r="B1460" s="106"/>
      <c r="C1460" s="106"/>
      <c r="D1460" s="106"/>
      <c r="E1460" s="106" t="s">
        <v>3315</v>
      </c>
      <c r="F1460" s="106" t="s">
        <v>3316</v>
      </c>
      <c r="G1460" s="105">
        <v>4</v>
      </c>
      <c r="H1460" s="106" t="s">
        <v>7</v>
      </c>
      <c r="I1460" s="105" t="s">
        <v>39</v>
      </c>
      <c r="J1460" s="105"/>
      <c r="K1460" s="105"/>
      <c r="L1460" s="105"/>
      <c r="M1460" s="106" t="s">
        <v>3317</v>
      </c>
      <c r="N1460" s="106" t="s">
        <v>40</v>
      </c>
      <c r="O1460" s="107"/>
      <c r="P1460" s="106" t="s">
        <v>3318</v>
      </c>
    </row>
    <row r="1461" spans="1:16" outlineLevel="2" x14ac:dyDescent="0.3">
      <c r="A1461" s="105" t="s">
        <v>6265</v>
      </c>
      <c r="B1461" s="106"/>
      <c r="C1461" s="106"/>
      <c r="D1461" s="106"/>
      <c r="E1461" s="106" t="s">
        <v>2495</v>
      </c>
      <c r="F1461" s="106" t="s">
        <v>2496</v>
      </c>
      <c r="G1461" s="105">
        <v>4</v>
      </c>
      <c r="H1461" s="106" t="s">
        <v>7</v>
      </c>
      <c r="I1461" s="105" t="s">
        <v>39</v>
      </c>
      <c r="J1461" s="105"/>
      <c r="K1461" s="105"/>
      <c r="L1461" s="105"/>
      <c r="M1461" s="106" t="s">
        <v>2497</v>
      </c>
      <c r="N1461" s="106" t="s">
        <v>6253</v>
      </c>
      <c r="O1461" s="107"/>
      <c r="P1461" s="106" t="s">
        <v>2498</v>
      </c>
    </row>
    <row r="1462" spans="1:16" outlineLevel="2" x14ac:dyDescent="0.3">
      <c r="A1462" s="105" t="s">
        <v>6266</v>
      </c>
      <c r="B1462" s="106"/>
      <c r="C1462" s="106"/>
      <c r="D1462" s="106"/>
      <c r="E1462" s="106" t="s">
        <v>3023</v>
      </c>
      <c r="F1462" s="106" t="s">
        <v>3024</v>
      </c>
      <c r="G1462" s="105">
        <v>4</v>
      </c>
      <c r="H1462" s="106" t="s">
        <v>7</v>
      </c>
      <c r="I1462" s="105" t="s">
        <v>39</v>
      </c>
      <c r="J1462" s="105"/>
      <c r="K1462" s="105"/>
      <c r="L1462" s="105"/>
      <c r="M1462" s="106" t="s">
        <v>3025</v>
      </c>
      <c r="N1462" s="106" t="s">
        <v>40</v>
      </c>
      <c r="O1462" s="107"/>
      <c r="P1462" s="106" t="s">
        <v>3026</v>
      </c>
    </row>
    <row r="1463" spans="1:16" outlineLevel="2" x14ac:dyDescent="0.3">
      <c r="A1463" s="105" t="s">
        <v>6267</v>
      </c>
      <c r="B1463" s="106"/>
      <c r="C1463" s="106"/>
      <c r="D1463" s="106"/>
      <c r="E1463" s="106" t="s">
        <v>48</v>
      </c>
      <c r="F1463" s="106" t="s">
        <v>49</v>
      </c>
      <c r="G1463" s="105">
        <v>4</v>
      </c>
      <c r="H1463" s="106" t="s">
        <v>7</v>
      </c>
      <c r="I1463" s="105" t="s">
        <v>39</v>
      </c>
      <c r="J1463" s="105"/>
      <c r="K1463" s="105"/>
      <c r="L1463" s="105"/>
      <c r="M1463" s="106" t="s">
        <v>50</v>
      </c>
      <c r="N1463" s="106" t="s">
        <v>40</v>
      </c>
      <c r="O1463" s="107"/>
      <c r="P1463" s="106" t="s">
        <v>6268</v>
      </c>
    </row>
    <row r="1464" spans="1:16" outlineLevel="2" x14ac:dyDescent="0.3">
      <c r="A1464" s="105" t="s">
        <v>6269</v>
      </c>
      <c r="B1464" s="106"/>
      <c r="C1464" s="106"/>
      <c r="D1464" s="106"/>
      <c r="E1464" s="106" t="s">
        <v>2713</v>
      </c>
      <c r="F1464" s="106" t="s">
        <v>2714</v>
      </c>
      <c r="G1464" s="105">
        <v>4</v>
      </c>
      <c r="H1464" s="106" t="s">
        <v>7</v>
      </c>
      <c r="I1464" s="105" t="s">
        <v>39</v>
      </c>
      <c r="J1464" s="105"/>
      <c r="K1464" s="105"/>
      <c r="L1464" s="105"/>
      <c r="M1464" s="106" t="s">
        <v>2715</v>
      </c>
      <c r="N1464" s="106" t="s">
        <v>6253</v>
      </c>
      <c r="O1464" s="107"/>
      <c r="P1464" s="106" t="s">
        <v>2716</v>
      </c>
    </row>
    <row r="1465" spans="1:16" outlineLevel="2" x14ac:dyDescent="0.3">
      <c r="A1465" s="105" t="s">
        <v>6270</v>
      </c>
      <c r="B1465" s="106"/>
      <c r="C1465" s="106"/>
      <c r="D1465" s="106"/>
      <c r="E1465" s="106" t="s">
        <v>73</v>
      </c>
      <c r="F1465" s="106" t="s">
        <v>74</v>
      </c>
      <c r="G1465" s="105">
        <v>4</v>
      </c>
      <c r="H1465" s="106" t="s">
        <v>7</v>
      </c>
      <c r="I1465" s="105" t="s">
        <v>39</v>
      </c>
      <c r="J1465" s="105"/>
      <c r="K1465" s="105"/>
      <c r="L1465" s="105"/>
      <c r="M1465" s="106" t="s">
        <v>75</v>
      </c>
      <c r="N1465" s="106" t="s">
        <v>40</v>
      </c>
      <c r="O1465" s="107"/>
      <c r="P1465" s="106" t="s">
        <v>6271</v>
      </c>
    </row>
    <row r="1466" spans="1:16" outlineLevel="2" x14ac:dyDescent="0.3">
      <c r="A1466" s="105" t="s">
        <v>6272</v>
      </c>
      <c r="B1466" s="106"/>
      <c r="C1466" s="106"/>
      <c r="D1466" s="106"/>
      <c r="E1466" s="106" t="s">
        <v>2728</v>
      </c>
      <c r="F1466" s="106" t="s">
        <v>2729</v>
      </c>
      <c r="G1466" s="105">
        <v>4</v>
      </c>
      <c r="H1466" s="106" t="s">
        <v>7</v>
      </c>
      <c r="I1466" s="105" t="s">
        <v>39</v>
      </c>
      <c r="J1466" s="105"/>
      <c r="K1466" s="105"/>
      <c r="L1466" s="105"/>
      <c r="M1466" s="106" t="s">
        <v>2730</v>
      </c>
      <c r="N1466" s="106" t="s">
        <v>6253</v>
      </c>
      <c r="O1466" s="107"/>
      <c r="P1466" s="106" t="s">
        <v>2731</v>
      </c>
    </row>
    <row r="1467" spans="1:16" outlineLevel="2" x14ac:dyDescent="0.3">
      <c r="A1467" s="105" t="s">
        <v>6273</v>
      </c>
      <c r="B1467" s="106"/>
      <c r="C1467" s="106"/>
      <c r="D1467" s="106"/>
      <c r="E1467" s="106" t="s">
        <v>3225</v>
      </c>
      <c r="F1467" s="106" t="s">
        <v>3226</v>
      </c>
      <c r="G1467" s="105">
        <v>4</v>
      </c>
      <c r="H1467" s="106" t="s">
        <v>7</v>
      </c>
      <c r="I1467" s="105" t="s">
        <v>39</v>
      </c>
      <c r="J1467" s="105"/>
      <c r="K1467" s="105"/>
      <c r="L1467" s="105"/>
      <c r="M1467" s="106" t="s">
        <v>3227</v>
      </c>
      <c r="N1467" s="106" t="s">
        <v>223</v>
      </c>
      <c r="O1467" s="107"/>
      <c r="P1467" s="106" t="s">
        <v>3228</v>
      </c>
    </row>
    <row r="1468" spans="1:16" outlineLevel="2" x14ac:dyDescent="0.3">
      <c r="A1468" s="105" t="s">
        <v>6274</v>
      </c>
      <c r="B1468" s="106"/>
      <c r="C1468" s="106"/>
      <c r="D1468" s="106"/>
      <c r="E1468" s="106" t="s">
        <v>1141</v>
      </c>
      <c r="F1468" s="106" t="s">
        <v>1142</v>
      </c>
      <c r="G1468" s="105">
        <v>4</v>
      </c>
      <c r="H1468" s="106" t="s">
        <v>7</v>
      </c>
      <c r="I1468" s="105" t="s">
        <v>39</v>
      </c>
      <c r="J1468" s="105"/>
      <c r="K1468" s="105"/>
      <c r="L1468" s="105"/>
      <c r="M1468" s="106" t="s">
        <v>1143</v>
      </c>
      <c r="N1468" s="106" t="s">
        <v>223</v>
      </c>
      <c r="O1468" s="107"/>
      <c r="P1468" s="106" t="s">
        <v>2339</v>
      </c>
    </row>
    <row r="1469" spans="1:16" outlineLevel="2" x14ac:dyDescent="0.3">
      <c r="A1469" s="105" t="s">
        <v>6275</v>
      </c>
      <c r="B1469" s="106"/>
      <c r="C1469" s="106"/>
      <c r="D1469" s="106"/>
      <c r="E1469" s="106" t="s">
        <v>2196</v>
      </c>
      <c r="F1469" s="106" t="s">
        <v>2197</v>
      </c>
      <c r="G1469" s="105">
        <v>4</v>
      </c>
      <c r="H1469" s="106" t="s">
        <v>7</v>
      </c>
      <c r="I1469" s="105" t="s">
        <v>39</v>
      </c>
      <c r="J1469" s="105"/>
      <c r="K1469" s="105"/>
      <c r="L1469" s="105"/>
      <c r="M1469" s="106" t="s">
        <v>2198</v>
      </c>
      <c r="N1469" s="106" t="s">
        <v>6253</v>
      </c>
      <c r="O1469" s="107"/>
      <c r="P1469" s="106" t="s">
        <v>2199</v>
      </c>
    </row>
    <row r="1470" spans="1:16" outlineLevel="2" x14ac:dyDescent="0.3">
      <c r="A1470" s="105" t="s">
        <v>6276</v>
      </c>
      <c r="B1470" s="106"/>
      <c r="C1470" s="106"/>
      <c r="D1470" s="106"/>
      <c r="E1470" s="106" t="s">
        <v>2201</v>
      </c>
      <c r="F1470" s="106" t="s">
        <v>2202</v>
      </c>
      <c r="G1470" s="105">
        <v>4</v>
      </c>
      <c r="H1470" s="106" t="s">
        <v>7</v>
      </c>
      <c r="I1470" s="105" t="s">
        <v>39</v>
      </c>
      <c r="J1470" s="105"/>
      <c r="K1470" s="105"/>
      <c r="L1470" s="105"/>
      <c r="M1470" s="106" t="s">
        <v>2203</v>
      </c>
      <c r="N1470" s="106" t="s">
        <v>6253</v>
      </c>
      <c r="O1470" s="107"/>
      <c r="P1470" s="106" t="s">
        <v>2204</v>
      </c>
    </row>
    <row r="1471" spans="1:16" outlineLevel="2" x14ac:dyDescent="0.3">
      <c r="A1471" s="105" t="s">
        <v>6277</v>
      </c>
      <c r="B1471" s="106"/>
      <c r="C1471" s="106"/>
      <c r="D1471" s="106"/>
      <c r="E1471" s="106" t="s">
        <v>3320</v>
      </c>
      <c r="F1471" s="106" t="s">
        <v>3321</v>
      </c>
      <c r="G1471" s="105">
        <v>4</v>
      </c>
      <c r="H1471" s="106" t="s">
        <v>7</v>
      </c>
      <c r="I1471" s="105" t="s">
        <v>39</v>
      </c>
      <c r="J1471" s="105"/>
      <c r="K1471" s="105"/>
      <c r="L1471" s="105"/>
      <c r="M1471" s="106" t="s">
        <v>3322</v>
      </c>
      <c r="N1471" s="106" t="s">
        <v>713</v>
      </c>
      <c r="O1471" s="107"/>
      <c r="P1471" s="106" t="s">
        <v>3323</v>
      </c>
    </row>
    <row r="1472" spans="1:16" outlineLevel="2" x14ac:dyDescent="0.3">
      <c r="A1472" s="105" t="s">
        <v>6278</v>
      </c>
      <c r="B1472" s="106"/>
      <c r="C1472" s="106"/>
      <c r="D1472" s="106"/>
      <c r="E1472" s="106" t="s">
        <v>2751</v>
      </c>
      <c r="F1472" s="106" t="s">
        <v>2752</v>
      </c>
      <c r="G1472" s="105">
        <v>4</v>
      </c>
      <c r="H1472" s="106" t="s">
        <v>7</v>
      </c>
      <c r="I1472" s="105" t="s">
        <v>39</v>
      </c>
      <c r="J1472" s="105"/>
      <c r="K1472" s="105"/>
      <c r="L1472" s="105"/>
      <c r="M1472" s="106" t="s">
        <v>2753</v>
      </c>
      <c r="N1472" s="106" t="s">
        <v>6253</v>
      </c>
      <c r="O1472" s="107"/>
      <c r="P1472" s="106" t="s">
        <v>2754</v>
      </c>
    </row>
    <row r="1473" spans="1:16" outlineLevel="2" x14ac:dyDescent="0.3">
      <c r="A1473" s="105" t="s">
        <v>6279</v>
      </c>
      <c r="B1473" s="106"/>
      <c r="C1473" s="106"/>
      <c r="D1473" s="106"/>
      <c r="E1473" s="106" t="s">
        <v>2517</v>
      </c>
      <c r="F1473" s="106" t="s">
        <v>2518</v>
      </c>
      <c r="G1473" s="105">
        <v>4</v>
      </c>
      <c r="H1473" s="106" t="s">
        <v>7</v>
      </c>
      <c r="I1473" s="105" t="s">
        <v>39</v>
      </c>
      <c r="J1473" s="105"/>
      <c r="K1473" s="105"/>
      <c r="L1473" s="105"/>
      <c r="M1473" s="106" t="s">
        <v>2519</v>
      </c>
      <c r="N1473" s="106" t="s">
        <v>6253</v>
      </c>
      <c r="O1473" s="107"/>
      <c r="P1473" s="106" t="s">
        <v>2520</v>
      </c>
    </row>
    <row r="1474" spans="1:16" outlineLevel="2" x14ac:dyDescent="0.3">
      <c r="A1474" s="105" t="s">
        <v>6280</v>
      </c>
      <c r="B1474" s="106"/>
      <c r="C1474" s="106"/>
      <c r="D1474" s="106"/>
      <c r="E1474" s="106" t="s">
        <v>2256</v>
      </c>
      <c r="F1474" s="106" t="s">
        <v>2257</v>
      </c>
      <c r="G1474" s="105">
        <v>4</v>
      </c>
      <c r="H1474" s="106" t="s">
        <v>7</v>
      </c>
      <c r="I1474" s="105" t="s">
        <v>39</v>
      </c>
      <c r="J1474" s="105"/>
      <c r="K1474" s="105"/>
      <c r="L1474" s="105"/>
      <c r="M1474" s="106" t="s">
        <v>2258</v>
      </c>
      <c r="N1474" s="106" t="s">
        <v>6253</v>
      </c>
      <c r="O1474" s="107"/>
      <c r="P1474" s="106" t="s">
        <v>2259</v>
      </c>
    </row>
    <row r="1475" spans="1:16" outlineLevel="2" x14ac:dyDescent="0.3">
      <c r="A1475" s="105" t="s">
        <v>6281</v>
      </c>
      <c r="B1475" s="106"/>
      <c r="C1475" s="106"/>
      <c r="D1475" s="106"/>
      <c r="E1475" s="106" t="s">
        <v>2450</v>
      </c>
      <c r="F1475" s="106" t="s">
        <v>2451</v>
      </c>
      <c r="G1475" s="105">
        <v>4</v>
      </c>
      <c r="H1475" s="106" t="s">
        <v>7</v>
      </c>
      <c r="I1475" s="105" t="s">
        <v>39</v>
      </c>
      <c r="J1475" s="105"/>
      <c r="K1475" s="105"/>
      <c r="L1475" s="105"/>
      <c r="M1475" s="106" t="s">
        <v>2452</v>
      </c>
      <c r="N1475" s="106" t="s">
        <v>6253</v>
      </c>
      <c r="O1475" s="107"/>
      <c r="P1475" s="106" t="s">
        <v>2453</v>
      </c>
    </row>
    <row r="1476" spans="1:16" outlineLevel="2" x14ac:dyDescent="0.3">
      <c r="A1476" s="105" t="s">
        <v>6282</v>
      </c>
      <c r="B1476" s="106"/>
      <c r="C1476" s="106"/>
      <c r="D1476" s="106"/>
      <c r="E1476" s="106" t="s">
        <v>2872</v>
      </c>
      <c r="F1476" s="106" t="s">
        <v>2873</v>
      </c>
      <c r="G1476" s="105">
        <v>4</v>
      </c>
      <c r="H1476" s="106" t="s">
        <v>7</v>
      </c>
      <c r="I1476" s="105" t="s">
        <v>39</v>
      </c>
      <c r="J1476" s="105"/>
      <c r="K1476" s="105"/>
      <c r="L1476" s="105"/>
      <c r="M1476" s="106" t="s">
        <v>2874</v>
      </c>
      <c r="N1476" s="106" t="s">
        <v>6253</v>
      </c>
      <c r="O1476" s="107"/>
      <c r="P1476" s="106" t="s">
        <v>2875</v>
      </c>
    </row>
    <row r="1477" spans="1:16" outlineLevel="2" x14ac:dyDescent="0.3">
      <c r="A1477" s="105" t="s">
        <v>6283</v>
      </c>
      <c r="B1477" s="106"/>
      <c r="C1477" s="106"/>
      <c r="D1477" s="106"/>
      <c r="E1477" s="106" t="s">
        <v>3121</v>
      </c>
      <c r="F1477" s="106" t="s">
        <v>6284</v>
      </c>
      <c r="G1477" s="105">
        <v>4</v>
      </c>
      <c r="H1477" s="106" t="s">
        <v>7</v>
      </c>
      <c r="I1477" s="105" t="s">
        <v>26</v>
      </c>
      <c r="J1477" s="105"/>
      <c r="K1477" s="105"/>
      <c r="L1477" s="105"/>
      <c r="M1477" s="106" t="s">
        <v>6285</v>
      </c>
      <c r="N1477" s="106" t="s">
        <v>223</v>
      </c>
      <c r="O1477" s="107"/>
      <c r="P1477" s="106" t="s">
        <v>6286</v>
      </c>
    </row>
    <row r="1478" spans="1:16" outlineLevel="2" x14ac:dyDescent="0.3">
      <c r="A1478" s="105" t="s">
        <v>6287</v>
      </c>
      <c r="B1478" s="106"/>
      <c r="C1478" s="106"/>
      <c r="D1478" s="106"/>
      <c r="E1478" s="106" t="s">
        <v>2214</v>
      </c>
      <c r="F1478" s="106" t="s">
        <v>2215</v>
      </c>
      <c r="G1478" s="105">
        <v>4</v>
      </c>
      <c r="H1478" s="106" t="s">
        <v>7</v>
      </c>
      <c r="I1478" s="105" t="s">
        <v>39</v>
      </c>
      <c r="J1478" s="105"/>
      <c r="K1478" s="105"/>
      <c r="L1478" s="105"/>
      <c r="M1478" s="106" t="s">
        <v>2216</v>
      </c>
      <c r="N1478" s="106" t="s">
        <v>6253</v>
      </c>
      <c r="O1478" s="107"/>
      <c r="P1478" s="106" t="s">
        <v>2217</v>
      </c>
    </row>
    <row r="1479" spans="1:16" outlineLevel="2" x14ac:dyDescent="0.3">
      <c r="A1479" s="105" t="s">
        <v>6288</v>
      </c>
      <c r="B1479" s="106"/>
      <c r="C1479" s="106"/>
      <c r="D1479" s="106"/>
      <c r="E1479" s="106" t="s">
        <v>3274</v>
      </c>
      <c r="F1479" s="106" t="s">
        <v>3275</v>
      </c>
      <c r="G1479" s="105">
        <v>4</v>
      </c>
      <c r="H1479" s="106" t="s">
        <v>7</v>
      </c>
      <c r="I1479" s="105" t="s">
        <v>39</v>
      </c>
      <c r="J1479" s="105"/>
      <c r="K1479" s="105"/>
      <c r="L1479" s="105"/>
      <c r="M1479" s="106" t="s">
        <v>3276</v>
      </c>
      <c r="N1479" s="106" t="s">
        <v>6253</v>
      </c>
      <c r="O1479" s="107"/>
      <c r="P1479" s="106" t="s">
        <v>3277</v>
      </c>
    </row>
    <row r="1480" spans="1:16" outlineLevel="2" x14ac:dyDescent="0.3">
      <c r="A1480" s="105" t="s">
        <v>6289</v>
      </c>
      <c r="B1480" s="106"/>
      <c r="C1480" s="106"/>
      <c r="D1480" s="106"/>
      <c r="E1480" s="106" t="s">
        <v>2385</v>
      </c>
      <c r="F1480" s="106" t="s">
        <v>2386</v>
      </c>
      <c r="G1480" s="105">
        <v>4</v>
      </c>
      <c r="H1480" s="106" t="s">
        <v>7</v>
      </c>
      <c r="I1480" s="105" t="s">
        <v>39</v>
      </c>
      <c r="J1480" s="105"/>
      <c r="K1480" s="105"/>
      <c r="L1480" s="105"/>
      <c r="M1480" s="106" t="s">
        <v>2387</v>
      </c>
      <c r="N1480" s="106" t="s">
        <v>223</v>
      </c>
      <c r="O1480" s="107"/>
      <c r="P1480" s="106" t="s">
        <v>2388</v>
      </c>
    </row>
    <row r="1481" spans="1:16" outlineLevel="2" x14ac:dyDescent="0.3">
      <c r="A1481" s="105" t="s">
        <v>6290</v>
      </c>
      <c r="B1481" s="106"/>
      <c r="C1481" s="106"/>
      <c r="D1481" s="106"/>
      <c r="E1481" s="106" t="s">
        <v>2390</v>
      </c>
      <c r="F1481" s="106" t="s">
        <v>2391</v>
      </c>
      <c r="G1481" s="105">
        <v>4</v>
      </c>
      <c r="H1481" s="106" t="s">
        <v>7</v>
      </c>
      <c r="I1481" s="105" t="s">
        <v>39</v>
      </c>
      <c r="J1481" s="105"/>
      <c r="K1481" s="105"/>
      <c r="L1481" s="105"/>
      <c r="M1481" s="106" t="s">
        <v>2392</v>
      </c>
      <c r="N1481" s="106" t="s">
        <v>6253</v>
      </c>
      <c r="O1481" s="107"/>
      <c r="P1481" s="106" t="s">
        <v>2393</v>
      </c>
    </row>
    <row r="1482" spans="1:16" outlineLevel="2" x14ac:dyDescent="0.3">
      <c r="A1482" s="105" t="s">
        <v>6291</v>
      </c>
      <c r="B1482" s="106"/>
      <c r="C1482" s="106"/>
      <c r="D1482" s="106"/>
      <c r="E1482" s="106" t="s">
        <v>2894</v>
      </c>
      <c r="F1482" s="106" t="s">
        <v>2895</v>
      </c>
      <c r="G1482" s="105">
        <v>4</v>
      </c>
      <c r="H1482" s="106" t="s">
        <v>7</v>
      </c>
      <c r="I1482" s="105" t="s">
        <v>39</v>
      </c>
      <c r="J1482" s="105"/>
      <c r="K1482" s="105"/>
      <c r="L1482" s="105"/>
      <c r="M1482" s="106" t="s">
        <v>2896</v>
      </c>
      <c r="N1482" s="106" t="s">
        <v>40</v>
      </c>
      <c r="O1482" s="107"/>
      <c r="P1482" s="106" t="s">
        <v>2897</v>
      </c>
    </row>
    <row r="1483" spans="1:16" outlineLevel="2" x14ac:dyDescent="0.3">
      <c r="A1483" s="105" t="s">
        <v>6292</v>
      </c>
      <c r="B1483" s="106"/>
      <c r="C1483" s="106"/>
      <c r="D1483" s="106"/>
      <c r="E1483" s="106" t="s">
        <v>2958</v>
      </c>
      <c r="F1483" s="106" t="s">
        <v>2959</v>
      </c>
      <c r="G1483" s="105">
        <v>4</v>
      </c>
      <c r="H1483" s="106" t="s">
        <v>7</v>
      </c>
      <c r="I1483" s="105" t="s">
        <v>39</v>
      </c>
      <c r="J1483" s="105"/>
      <c r="K1483" s="105"/>
      <c r="L1483" s="105"/>
      <c r="M1483" s="106" t="s">
        <v>2960</v>
      </c>
      <c r="N1483" s="106" t="s">
        <v>40</v>
      </c>
      <c r="O1483" s="107"/>
      <c r="P1483" s="106" t="s">
        <v>2961</v>
      </c>
    </row>
    <row r="1484" spans="1:16" outlineLevel="2" x14ac:dyDescent="0.3">
      <c r="A1484" s="105" t="s">
        <v>6293</v>
      </c>
      <c r="B1484" s="106"/>
      <c r="C1484" s="106"/>
      <c r="D1484" s="106"/>
      <c r="E1484" s="106" t="s">
        <v>157</v>
      </c>
      <c r="F1484" s="106" t="s">
        <v>3157</v>
      </c>
      <c r="G1484" s="105">
        <v>4</v>
      </c>
      <c r="H1484" s="106" t="s">
        <v>7</v>
      </c>
      <c r="I1484" s="105" t="s">
        <v>39</v>
      </c>
      <c r="J1484" s="105"/>
      <c r="K1484" s="105"/>
      <c r="L1484" s="105"/>
      <c r="M1484" s="106" t="s">
        <v>3158</v>
      </c>
      <c r="N1484" s="106" t="s">
        <v>40</v>
      </c>
      <c r="O1484" s="107"/>
      <c r="P1484" s="106" t="s">
        <v>3159</v>
      </c>
    </row>
    <row r="1485" spans="1:16" outlineLevel="2" x14ac:dyDescent="0.3">
      <c r="A1485" s="105" t="s">
        <v>6294</v>
      </c>
      <c r="B1485" s="106"/>
      <c r="C1485" s="106"/>
      <c r="D1485" s="106"/>
      <c r="E1485" s="106" t="s">
        <v>2797</v>
      </c>
      <c r="F1485" s="106" t="s">
        <v>2798</v>
      </c>
      <c r="G1485" s="105">
        <v>4</v>
      </c>
      <c r="H1485" s="106" t="s">
        <v>7</v>
      </c>
      <c r="I1485" s="105" t="s">
        <v>39</v>
      </c>
      <c r="J1485" s="105"/>
      <c r="K1485" s="105"/>
      <c r="L1485" s="105"/>
      <c r="M1485" s="106" t="s">
        <v>2799</v>
      </c>
      <c r="N1485" s="106" t="s">
        <v>6253</v>
      </c>
      <c r="O1485" s="107"/>
      <c r="P1485" s="106" t="s">
        <v>2800</v>
      </c>
    </row>
    <row r="1486" spans="1:16" outlineLevel="2" x14ac:dyDescent="0.3">
      <c r="A1486" s="105" t="s">
        <v>6295</v>
      </c>
      <c r="B1486" s="106"/>
      <c r="C1486" s="106"/>
      <c r="D1486" s="106"/>
      <c r="E1486" s="106" t="s">
        <v>3166</v>
      </c>
      <c r="F1486" s="106" t="s">
        <v>3170</v>
      </c>
      <c r="G1486" s="105">
        <v>4</v>
      </c>
      <c r="H1486" s="106" t="s">
        <v>7</v>
      </c>
      <c r="I1486" s="105" t="s">
        <v>39</v>
      </c>
      <c r="J1486" s="105"/>
      <c r="K1486" s="105"/>
      <c r="L1486" s="105"/>
      <c r="M1486" s="106" t="s">
        <v>3171</v>
      </c>
      <c r="N1486" s="106" t="s">
        <v>40</v>
      </c>
      <c r="O1486" s="107"/>
      <c r="P1486" s="106" t="s">
        <v>3172</v>
      </c>
    </row>
    <row r="1487" spans="1:16" outlineLevel="2" x14ac:dyDescent="0.3">
      <c r="A1487" s="105" t="s">
        <v>6296</v>
      </c>
      <c r="B1487" s="106"/>
      <c r="C1487" s="106"/>
      <c r="D1487" s="106"/>
      <c r="E1487" s="106" t="s">
        <v>3284</v>
      </c>
      <c r="F1487" s="106" t="s">
        <v>3285</v>
      </c>
      <c r="G1487" s="105">
        <v>4</v>
      </c>
      <c r="H1487" s="106" t="s">
        <v>7</v>
      </c>
      <c r="I1487" s="105" t="s">
        <v>39</v>
      </c>
      <c r="J1487" s="105"/>
      <c r="K1487" s="105"/>
      <c r="L1487" s="105"/>
      <c r="M1487" s="106" t="s">
        <v>3286</v>
      </c>
      <c r="N1487" s="106" t="s">
        <v>6253</v>
      </c>
      <c r="O1487" s="107"/>
      <c r="P1487" s="106" t="s">
        <v>3287</v>
      </c>
    </row>
    <row r="1488" spans="1:16" outlineLevel="2" x14ac:dyDescent="0.3">
      <c r="A1488" s="105" t="s">
        <v>6297</v>
      </c>
      <c r="B1488" s="106"/>
      <c r="C1488" s="106"/>
      <c r="D1488" s="106"/>
      <c r="E1488" s="106" t="s">
        <v>3294</v>
      </c>
      <c r="F1488" s="106" t="s">
        <v>3295</v>
      </c>
      <c r="G1488" s="105">
        <v>4</v>
      </c>
      <c r="H1488" s="106" t="s">
        <v>7</v>
      </c>
      <c r="I1488" s="105" t="s">
        <v>39</v>
      </c>
      <c r="J1488" s="105"/>
      <c r="K1488" s="105"/>
      <c r="L1488" s="105"/>
      <c r="M1488" s="106" t="s">
        <v>3296</v>
      </c>
      <c r="N1488" s="106" t="s">
        <v>6253</v>
      </c>
      <c r="O1488" s="107"/>
      <c r="P1488" s="106" t="s">
        <v>3297</v>
      </c>
    </row>
    <row r="1489" spans="1:16" ht="27.6" x14ac:dyDescent="0.3">
      <c r="A1489" s="276" t="s">
        <v>6298</v>
      </c>
      <c r="B1489" s="277" t="s">
        <v>6299</v>
      </c>
      <c r="C1489" s="278" t="str">
        <f>COUNTIFS($G1490:$G1695,2)&amp;" subcapas"</f>
        <v>12 subcapas</v>
      </c>
      <c r="D1489" s="277"/>
      <c r="E1489" s="277"/>
      <c r="F1489" s="277"/>
      <c r="G1489" s="276">
        <v>1</v>
      </c>
      <c r="H1489" s="277" t="s">
        <v>2</v>
      </c>
      <c r="I1489" s="276"/>
      <c r="J1489" s="279">
        <f>SUMIFS(J1490:J1695,$G1490:$G1695,2)</f>
        <v>159</v>
      </c>
      <c r="K1489" s="279">
        <f>SUMIFS(K1490:K1695,$G1490:$G1695,2)</f>
        <v>35</v>
      </c>
      <c r="L1489" s="279">
        <f>SUMIFS(L1490:L1695,$G1490:$G1695,2)</f>
        <v>194</v>
      </c>
      <c r="M1489" s="280" t="s">
        <v>6300</v>
      </c>
      <c r="N1489" s="277"/>
      <c r="O1489" s="277"/>
      <c r="P1489" s="277" t="s">
        <v>6301</v>
      </c>
    </row>
    <row r="1490" spans="1:16" ht="41.4" outlineLevel="1" x14ac:dyDescent="0.3">
      <c r="A1490" s="281" t="s">
        <v>6302</v>
      </c>
      <c r="B1490" s="282"/>
      <c r="C1490" s="283" t="s">
        <v>6303</v>
      </c>
      <c r="D1490" s="282"/>
      <c r="E1490" s="282"/>
      <c r="F1490" s="282"/>
      <c r="G1490" s="281">
        <v>2</v>
      </c>
      <c r="H1490" s="282" t="s">
        <v>25</v>
      </c>
      <c r="I1490" s="281" t="s">
        <v>39</v>
      </c>
      <c r="J1490" s="281">
        <v>4</v>
      </c>
      <c r="K1490" s="281">
        <v>0</v>
      </c>
      <c r="L1490" s="281">
        <v>4</v>
      </c>
      <c r="M1490" s="284" t="s">
        <v>6304</v>
      </c>
      <c r="N1490" s="284" t="s">
        <v>417</v>
      </c>
      <c r="O1490" s="285"/>
      <c r="P1490" s="284" t="s">
        <v>6305</v>
      </c>
    </row>
    <row r="1491" spans="1:16" outlineLevel="2" x14ac:dyDescent="0.3">
      <c r="A1491" s="105" t="s">
        <v>6306</v>
      </c>
      <c r="B1491" s="106"/>
      <c r="C1491" s="106"/>
      <c r="D1491" s="106"/>
      <c r="E1491" s="106" t="s">
        <v>6307</v>
      </c>
      <c r="F1491" s="106" t="s">
        <v>6308</v>
      </c>
      <c r="G1491" s="105">
        <v>4</v>
      </c>
      <c r="H1491" s="106" t="s">
        <v>7</v>
      </c>
      <c r="I1491" s="105" t="s">
        <v>39</v>
      </c>
      <c r="J1491" s="105"/>
      <c r="K1491" s="105"/>
      <c r="L1491" s="105"/>
      <c r="M1491" s="106" t="s">
        <v>6309</v>
      </c>
      <c r="N1491" s="106" t="s">
        <v>223</v>
      </c>
      <c r="O1491" s="107"/>
      <c r="P1491" s="106" t="s">
        <v>6310</v>
      </c>
    </row>
    <row r="1492" spans="1:16" outlineLevel="2" x14ac:dyDescent="0.3">
      <c r="A1492" s="105" t="s">
        <v>6311</v>
      </c>
      <c r="B1492" s="106"/>
      <c r="C1492" s="106"/>
      <c r="D1492" s="106"/>
      <c r="E1492" s="106" t="s">
        <v>6312</v>
      </c>
      <c r="F1492" s="106" t="s">
        <v>6313</v>
      </c>
      <c r="G1492" s="105">
        <v>4</v>
      </c>
      <c r="H1492" s="106" t="s">
        <v>7</v>
      </c>
      <c r="I1492" s="105" t="s">
        <v>39</v>
      </c>
      <c r="J1492" s="105"/>
      <c r="K1492" s="105"/>
      <c r="L1492" s="105"/>
      <c r="M1492" s="106" t="s">
        <v>6314</v>
      </c>
      <c r="N1492" s="106" t="s">
        <v>40</v>
      </c>
      <c r="O1492" s="107"/>
      <c r="P1492" s="106" t="s">
        <v>6315</v>
      </c>
    </row>
    <row r="1493" spans="1:16" outlineLevel="2" x14ac:dyDescent="0.3">
      <c r="A1493" s="105" t="s">
        <v>6316</v>
      </c>
      <c r="B1493" s="106"/>
      <c r="C1493" s="106"/>
      <c r="D1493" s="106"/>
      <c r="E1493" s="106" t="s">
        <v>6317</v>
      </c>
      <c r="F1493" s="106" t="s">
        <v>6318</v>
      </c>
      <c r="G1493" s="105">
        <v>4</v>
      </c>
      <c r="H1493" s="106" t="s">
        <v>7</v>
      </c>
      <c r="I1493" s="105" t="s">
        <v>39</v>
      </c>
      <c r="J1493" s="105"/>
      <c r="K1493" s="105"/>
      <c r="L1493" s="105"/>
      <c r="M1493" s="106" t="s">
        <v>6319</v>
      </c>
      <c r="N1493" s="106" t="s">
        <v>40</v>
      </c>
      <c r="O1493" s="107"/>
      <c r="P1493" s="106" t="s">
        <v>6320</v>
      </c>
    </row>
    <row r="1494" spans="1:16" outlineLevel="2" x14ac:dyDescent="0.3">
      <c r="A1494" s="105" t="s">
        <v>6321</v>
      </c>
      <c r="B1494" s="106"/>
      <c r="C1494" s="106"/>
      <c r="D1494" s="106"/>
      <c r="E1494" s="106" t="s">
        <v>6322</v>
      </c>
      <c r="F1494" s="106" t="s">
        <v>6323</v>
      </c>
      <c r="G1494" s="105">
        <v>4</v>
      </c>
      <c r="H1494" s="106" t="s">
        <v>7</v>
      </c>
      <c r="I1494" s="105" t="s">
        <v>39</v>
      </c>
      <c r="J1494" s="105"/>
      <c r="K1494" s="105"/>
      <c r="L1494" s="105"/>
      <c r="M1494" s="106" t="s">
        <v>6324</v>
      </c>
      <c r="N1494" s="106" t="s">
        <v>223</v>
      </c>
      <c r="O1494" s="107"/>
      <c r="P1494" s="106" t="s">
        <v>6325</v>
      </c>
    </row>
    <row r="1495" spans="1:16" ht="27.6" outlineLevel="1" x14ac:dyDescent="0.3">
      <c r="A1495" s="281" t="s">
        <v>6326</v>
      </c>
      <c r="B1495" s="282"/>
      <c r="C1495" s="283" t="s">
        <v>6327</v>
      </c>
      <c r="D1495" s="282"/>
      <c r="E1495" s="282"/>
      <c r="F1495" s="282"/>
      <c r="G1495" s="281">
        <v>2</v>
      </c>
      <c r="H1495" s="282" t="s">
        <v>25</v>
      </c>
      <c r="I1495" s="281" t="s">
        <v>39</v>
      </c>
      <c r="J1495" s="281">
        <v>29</v>
      </c>
      <c r="K1495" s="281">
        <v>1</v>
      </c>
      <c r="L1495" s="281">
        <v>30</v>
      </c>
      <c r="M1495" s="284" t="s">
        <v>6328</v>
      </c>
      <c r="N1495" s="284" t="s">
        <v>40</v>
      </c>
      <c r="O1495" s="285"/>
      <c r="P1495" s="284" t="s">
        <v>6329</v>
      </c>
    </row>
    <row r="1496" spans="1:16" outlineLevel="2" x14ac:dyDescent="0.3">
      <c r="A1496" s="105" t="s">
        <v>6330</v>
      </c>
      <c r="B1496" s="106"/>
      <c r="C1496" s="106"/>
      <c r="D1496" s="106"/>
      <c r="E1496" s="106" t="s">
        <v>6331</v>
      </c>
      <c r="F1496" s="106" t="s">
        <v>6332</v>
      </c>
      <c r="G1496" s="105">
        <v>4</v>
      </c>
      <c r="H1496" s="106" t="s">
        <v>7</v>
      </c>
      <c r="I1496" s="105" t="s">
        <v>39</v>
      </c>
      <c r="J1496" s="105"/>
      <c r="K1496" s="105"/>
      <c r="L1496" s="105"/>
      <c r="M1496" s="106" t="s">
        <v>6333</v>
      </c>
      <c r="N1496" s="106" t="s">
        <v>40</v>
      </c>
      <c r="O1496" s="107"/>
      <c r="P1496" s="106" t="s">
        <v>6334</v>
      </c>
    </row>
    <row r="1497" spans="1:16" outlineLevel="2" x14ac:dyDescent="0.3">
      <c r="A1497" s="105" t="s">
        <v>6335</v>
      </c>
      <c r="B1497" s="106"/>
      <c r="C1497" s="106"/>
      <c r="D1497" s="106"/>
      <c r="E1497" s="106" t="s">
        <v>6336</v>
      </c>
      <c r="F1497" s="106" t="s">
        <v>6337</v>
      </c>
      <c r="G1497" s="105">
        <v>4</v>
      </c>
      <c r="H1497" s="106" t="s">
        <v>7</v>
      </c>
      <c r="I1497" s="105" t="s">
        <v>39</v>
      </c>
      <c r="J1497" s="105"/>
      <c r="K1497" s="105"/>
      <c r="L1497" s="105"/>
      <c r="M1497" s="106" t="s">
        <v>6338</v>
      </c>
      <c r="N1497" s="106" t="s">
        <v>40</v>
      </c>
      <c r="O1497" s="107"/>
      <c r="P1497" s="106" t="s">
        <v>6339</v>
      </c>
    </row>
    <row r="1498" spans="1:16" outlineLevel="2" x14ac:dyDescent="0.3">
      <c r="A1498" s="105" t="s">
        <v>6340</v>
      </c>
      <c r="B1498" s="106"/>
      <c r="C1498" s="106"/>
      <c r="D1498" s="106"/>
      <c r="E1498" s="106" t="s">
        <v>6341</v>
      </c>
      <c r="F1498" s="106" t="s">
        <v>6342</v>
      </c>
      <c r="G1498" s="105">
        <v>4</v>
      </c>
      <c r="H1498" s="106" t="s">
        <v>7</v>
      </c>
      <c r="I1498" s="105" t="s">
        <v>39</v>
      </c>
      <c r="J1498" s="105"/>
      <c r="K1498" s="105"/>
      <c r="L1498" s="105"/>
      <c r="M1498" s="106" t="s">
        <v>6343</v>
      </c>
      <c r="N1498" s="106" t="s">
        <v>40</v>
      </c>
      <c r="O1498" s="107"/>
      <c r="P1498" s="106" t="s">
        <v>6344</v>
      </c>
    </row>
    <row r="1499" spans="1:16" outlineLevel="2" x14ac:dyDescent="0.3">
      <c r="A1499" s="105" t="s">
        <v>6345</v>
      </c>
      <c r="B1499" s="106"/>
      <c r="C1499" s="106"/>
      <c r="D1499" s="106"/>
      <c r="E1499" s="106" t="s">
        <v>6346</v>
      </c>
      <c r="F1499" s="106" t="s">
        <v>6347</v>
      </c>
      <c r="G1499" s="105">
        <v>4</v>
      </c>
      <c r="H1499" s="106" t="s">
        <v>7</v>
      </c>
      <c r="I1499" s="105" t="s">
        <v>39</v>
      </c>
      <c r="J1499" s="105"/>
      <c r="K1499" s="105"/>
      <c r="L1499" s="105"/>
      <c r="M1499" s="106" t="s">
        <v>6348</v>
      </c>
      <c r="N1499" s="106" t="s">
        <v>40</v>
      </c>
      <c r="O1499" s="107"/>
      <c r="P1499" s="106" t="s">
        <v>6349</v>
      </c>
    </row>
    <row r="1500" spans="1:16" outlineLevel="2" x14ac:dyDescent="0.3">
      <c r="A1500" s="105" t="s">
        <v>6350</v>
      </c>
      <c r="B1500" s="106"/>
      <c r="C1500" s="106"/>
      <c r="D1500" s="106"/>
      <c r="E1500" s="106" t="s">
        <v>6351</v>
      </c>
      <c r="F1500" s="106" t="s">
        <v>6352</v>
      </c>
      <c r="G1500" s="105">
        <v>4</v>
      </c>
      <c r="H1500" s="106" t="s">
        <v>7</v>
      </c>
      <c r="I1500" s="105" t="s">
        <v>39</v>
      </c>
      <c r="J1500" s="105"/>
      <c r="K1500" s="105"/>
      <c r="L1500" s="105"/>
      <c r="M1500" s="106" t="s">
        <v>6353</v>
      </c>
      <c r="N1500" s="106" t="s">
        <v>40</v>
      </c>
      <c r="O1500" s="107"/>
      <c r="P1500" s="106" t="s">
        <v>6354</v>
      </c>
    </row>
    <row r="1501" spans="1:16" outlineLevel="2" x14ac:dyDescent="0.3">
      <c r="A1501" s="105" t="s">
        <v>6355</v>
      </c>
      <c r="B1501" s="106"/>
      <c r="C1501" s="106"/>
      <c r="D1501" s="106"/>
      <c r="E1501" s="106" t="s">
        <v>6356</v>
      </c>
      <c r="F1501" s="106" t="s">
        <v>6357</v>
      </c>
      <c r="G1501" s="105">
        <v>4</v>
      </c>
      <c r="H1501" s="106" t="s">
        <v>7</v>
      </c>
      <c r="I1501" s="105" t="s">
        <v>39</v>
      </c>
      <c r="J1501" s="105"/>
      <c r="K1501" s="105"/>
      <c r="L1501" s="105"/>
      <c r="M1501" s="106" t="s">
        <v>6358</v>
      </c>
      <c r="N1501" s="106" t="s">
        <v>40</v>
      </c>
      <c r="O1501" s="107"/>
      <c r="P1501" s="106" t="s">
        <v>6359</v>
      </c>
    </row>
    <row r="1502" spans="1:16" outlineLevel="2" x14ac:dyDescent="0.3">
      <c r="A1502" s="105" t="s">
        <v>6360</v>
      </c>
      <c r="B1502" s="106"/>
      <c r="C1502" s="106"/>
      <c r="D1502" s="106"/>
      <c r="E1502" s="106" t="s">
        <v>6361</v>
      </c>
      <c r="F1502" s="106" t="s">
        <v>6362</v>
      </c>
      <c r="G1502" s="105">
        <v>4</v>
      </c>
      <c r="H1502" s="106" t="s">
        <v>7</v>
      </c>
      <c r="I1502" s="105" t="s">
        <v>39</v>
      </c>
      <c r="J1502" s="105"/>
      <c r="K1502" s="105"/>
      <c r="L1502" s="105"/>
      <c r="M1502" s="106" t="s">
        <v>6363</v>
      </c>
      <c r="N1502" s="106" t="s">
        <v>40</v>
      </c>
      <c r="O1502" s="107"/>
      <c r="P1502" s="106" t="s">
        <v>6364</v>
      </c>
    </row>
    <row r="1503" spans="1:16" outlineLevel="2" x14ac:dyDescent="0.3">
      <c r="A1503" s="105" t="s">
        <v>6365</v>
      </c>
      <c r="B1503" s="106"/>
      <c r="C1503" s="106"/>
      <c r="D1503" s="106"/>
      <c r="E1503" s="106" t="s">
        <v>6366</v>
      </c>
      <c r="F1503" s="106" t="s">
        <v>6367</v>
      </c>
      <c r="G1503" s="105">
        <v>4</v>
      </c>
      <c r="H1503" s="106" t="s">
        <v>7</v>
      </c>
      <c r="I1503" s="105" t="s">
        <v>39</v>
      </c>
      <c r="J1503" s="105"/>
      <c r="K1503" s="105"/>
      <c r="L1503" s="105"/>
      <c r="M1503" s="106" t="s">
        <v>6368</v>
      </c>
      <c r="N1503" s="106" t="s">
        <v>40</v>
      </c>
      <c r="O1503" s="107" t="s">
        <v>332</v>
      </c>
      <c r="P1503" s="106" t="s">
        <v>6369</v>
      </c>
    </row>
    <row r="1504" spans="1:16" outlineLevel="2" x14ac:dyDescent="0.3">
      <c r="A1504" s="105" t="s">
        <v>6370</v>
      </c>
      <c r="B1504" s="106"/>
      <c r="C1504" s="106"/>
      <c r="D1504" s="106"/>
      <c r="E1504" s="106" t="s">
        <v>6371</v>
      </c>
      <c r="F1504" s="106" t="s">
        <v>6372</v>
      </c>
      <c r="G1504" s="105">
        <v>4</v>
      </c>
      <c r="H1504" s="106" t="s">
        <v>7</v>
      </c>
      <c r="I1504" s="105" t="s">
        <v>39</v>
      </c>
      <c r="J1504" s="105"/>
      <c r="K1504" s="105"/>
      <c r="L1504" s="105"/>
      <c r="M1504" s="106" t="s">
        <v>6373</v>
      </c>
      <c r="N1504" s="106" t="s">
        <v>40</v>
      </c>
      <c r="O1504" s="107"/>
      <c r="P1504" s="106" t="s">
        <v>6374</v>
      </c>
    </row>
    <row r="1505" spans="1:16" outlineLevel="2" x14ac:dyDescent="0.3">
      <c r="A1505" s="105" t="s">
        <v>6375</v>
      </c>
      <c r="B1505" s="106"/>
      <c r="C1505" s="106"/>
      <c r="D1505" s="106"/>
      <c r="E1505" s="106" t="s">
        <v>6376</v>
      </c>
      <c r="F1505" s="106" t="s">
        <v>6377</v>
      </c>
      <c r="G1505" s="105">
        <v>4</v>
      </c>
      <c r="H1505" s="106" t="s">
        <v>7</v>
      </c>
      <c r="I1505" s="105" t="s">
        <v>39</v>
      </c>
      <c r="J1505" s="105"/>
      <c r="K1505" s="105"/>
      <c r="L1505" s="105"/>
      <c r="M1505" s="106" t="s">
        <v>6378</v>
      </c>
      <c r="N1505" s="106" t="s">
        <v>40</v>
      </c>
      <c r="O1505" s="107"/>
      <c r="P1505" s="106" t="s">
        <v>6379</v>
      </c>
    </row>
    <row r="1506" spans="1:16" outlineLevel="2" x14ac:dyDescent="0.3">
      <c r="A1506" s="105" t="s">
        <v>6380</v>
      </c>
      <c r="B1506" s="106"/>
      <c r="C1506" s="106"/>
      <c r="D1506" s="106"/>
      <c r="E1506" s="106" t="s">
        <v>6381</v>
      </c>
      <c r="F1506" s="106" t="s">
        <v>6382</v>
      </c>
      <c r="G1506" s="105">
        <v>4</v>
      </c>
      <c r="H1506" s="106" t="s">
        <v>7</v>
      </c>
      <c r="I1506" s="105" t="s">
        <v>39</v>
      </c>
      <c r="J1506" s="105"/>
      <c r="K1506" s="105"/>
      <c r="L1506" s="105"/>
      <c r="M1506" s="106" t="s">
        <v>6383</v>
      </c>
      <c r="N1506" s="106" t="s">
        <v>40</v>
      </c>
      <c r="O1506" s="107"/>
      <c r="P1506" s="106" t="s">
        <v>6384</v>
      </c>
    </row>
    <row r="1507" spans="1:16" outlineLevel="2" x14ac:dyDescent="0.3">
      <c r="A1507" s="105" t="s">
        <v>6385</v>
      </c>
      <c r="B1507" s="106"/>
      <c r="C1507" s="106"/>
      <c r="D1507" s="106"/>
      <c r="E1507" s="106" t="s">
        <v>6386</v>
      </c>
      <c r="F1507" s="106" t="s">
        <v>6387</v>
      </c>
      <c r="G1507" s="105">
        <v>4</v>
      </c>
      <c r="H1507" s="106" t="s">
        <v>7</v>
      </c>
      <c r="I1507" s="105" t="s">
        <v>39</v>
      </c>
      <c r="J1507" s="105"/>
      <c r="K1507" s="105"/>
      <c r="L1507" s="105"/>
      <c r="M1507" s="106" t="s">
        <v>6388</v>
      </c>
      <c r="N1507" s="106" t="s">
        <v>40</v>
      </c>
      <c r="O1507" s="107"/>
      <c r="P1507" s="106" t="s">
        <v>6389</v>
      </c>
    </row>
    <row r="1508" spans="1:16" outlineLevel="2" x14ac:dyDescent="0.3">
      <c r="A1508" s="105" t="s">
        <v>6390</v>
      </c>
      <c r="B1508" s="106"/>
      <c r="C1508" s="106"/>
      <c r="D1508" s="106"/>
      <c r="E1508" s="106" t="s">
        <v>6391</v>
      </c>
      <c r="F1508" s="106" t="s">
        <v>6392</v>
      </c>
      <c r="G1508" s="105">
        <v>4</v>
      </c>
      <c r="H1508" s="106" t="s">
        <v>7</v>
      </c>
      <c r="I1508" s="105" t="s">
        <v>39</v>
      </c>
      <c r="J1508" s="105"/>
      <c r="K1508" s="105"/>
      <c r="L1508" s="105"/>
      <c r="M1508" s="106" t="s">
        <v>6393</v>
      </c>
      <c r="N1508" s="106" t="s">
        <v>40</v>
      </c>
      <c r="O1508" s="107"/>
      <c r="P1508" s="106" t="s">
        <v>6394</v>
      </c>
    </row>
    <row r="1509" spans="1:16" outlineLevel="2" x14ac:dyDescent="0.3">
      <c r="A1509" s="105" t="s">
        <v>6395</v>
      </c>
      <c r="B1509" s="106"/>
      <c r="C1509" s="106"/>
      <c r="D1509" s="106"/>
      <c r="E1509" s="106" t="s">
        <v>6396</v>
      </c>
      <c r="F1509" s="106" t="s">
        <v>6397</v>
      </c>
      <c r="G1509" s="105">
        <v>4</v>
      </c>
      <c r="H1509" s="106" t="s">
        <v>7</v>
      </c>
      <c r="I1509" s="105" t="s">
        <v>39</v>
      </c>
      <c r="J1509" s="105"/>
      <c r="K1509" s="105"/>
      <c r="L1509" s="105"/>
      <c r="M1509" s="106" t="s">
        <v>6398</v>
      </c>
      <c r="N1509" s="106" t="s">
        <v>40</v>
      </c>
      <c r="O1509" s="107"/>
      <c r="P1509" s="106" t="s">
        <v>6399</v>
      </c>
    </row>
    <row r="1510" spans="1:16" outlineLevel="2" x14ac:dyDescent="0.3">
      <c r="A1510" s="105" t="s">
        <v>6400</v>
      </c>
      <c r="B1510" s="106"/>
      <c r="C1510" s="106"/>
      <c r="D1510" s="106"/>
      <c r="E1510" s="106" t="s">
        <v>6401</v>
      </c>
      <c r="F1510" s="106" t="s">
        <v>6402</v>
      </c>
      <c r="G1510" s="105">
        <v>4</v>
      </c>
      <c r="H1510" s="106" t="s">
        <v>7</v>
      </c>
      <c r="I1510" s="105" t="s">
        <v>39</v>
      </c>
      <c r="J1510" s="105"/>
      <c r="K1510" s="105"/>
      <c r="L1510" s="105"/>
      <c r="M1510" s="106" t="s">
        <v>6403</v>
      </c>
      <c r="N1510" s="106" t="s">
        <v>40</v>
      </c>
      <c r="O1510" s="107"/>
      <c r="P1510" s="106" t="s">
        <v>6404</v>
      </c>
    </row>
    <row r="1511" spans="1:16" outlineLevel="2" x14ac:dyDescent="0.3">
      <c r="A1511" s="105" t="s">
        <v>6405</v>
      </c>
      <c r="B1511" s="106"/>
      <c r="C1511" s="106"/>
      <c r="D1511" s="106"/>
      <c r="E1511" s="106" t="s">
        <v>6406</v>
      </c>
      <c r="F1511" s="106" t="s">
        <v>13</v>
      </c>
      <c r="G1511" s="105">
        <v>4</v>
      </c>
      <c r="H1511" s="106" t="s">
        <v>7</v>
      </c>
      <c r="I1511" s="105"/>
      <c r="J1511" s="105"/>
      <c r="K1511" s="105"/>
      <c r="L1511" s="105"/>
      <c r="M1511" s="106" t="s">
        <v>6407</v>
      </c>
      <c r="N1511" s="106" t="s">
        <v>40</v>
      </c>
      <c r="O1511" s="107" t="s">
        <v>447</v>
      </c>
      <c r="P1511" s="106" t="s">
        <v>6408</v>
      </c>
    </row>
    <row r="1512" spans="1:16" outlineLevel="2" x14ac:dyDescent="0.3">
      <c r="A1512" s="105" t="s">
        <v>6409</v>
      </c>
      <c r="B1512" s="106"/>
      <c r="C1512" s="106"/>
      <c r="D1512" s="106"/>
      <c r="E1512" s="106" t="s">
        <v>6410</v>
      </c>
      <c r="F1512" s="106" t="s">
        <v>6411</v>
      </c>
      <c r="G1512" s="105">
        <v>4</v>
      </c>
      <c r="H1512" s="106" t="s">
        <v>7</v>
      </c>
      <c r="I1512" s="105" t="s">
        <v>39</v>
      </c>
      <c r="J1512" s="105"/>
      <c r="K1512" s="105"/>
      <c r="L1512" s="105"/>
      <c r="M1512" s="106" t="s">
        <v>6412</v>
      </c>
      <c r="N1512" s="106" t="s">
        <v>40</v>
      </c>
      <c r="O1512" s="107"/>
      <c r="P1512" s="106" t="s">
        <v>6413</v>
      </c>
    </row>
    <row r="1513" spans="1:16" outlineLevel="2" x14ac:dyDescent="0.3">
      <c r="A1513" s="105" t="s">
        <v>6414</v>
      </c>
      <c r="B1513" s="106"/>
      <c r="C1513" s="106"/>
      <c r="D1513" s="106"/>
      <c r="E1513" s="106" t="s">
        <v>6415</v>
      </c>
      <c r="F1513" s="106" t="s">
        <v>6416</v>
      </c>
      <c r="G1513" s="105">
        <v>4</v>
      </c>
      <c r="H1513" s="106" t="s">
        <v>7</v>
      </c>
      <c r="I1513" s="105" t="s">
        <v>39</v>
      </c>
      <c r="J1513" s="105"/>
      <c r="K1513" s="105"/>
      <c r="L1513" s="105"/>
      <c r="M1513" s="106" t="s">
        <v>6417</v>
      </c>
      <c r="N1513" s="106" t="s">
        <v>40</v>
      </c>
      <c r="O1513" s="107"/>
      <c r="P1513" s="106" t="s">
        <v>6418</v>
      </c>
    </row>
    <row r="1514" spans="1:16" outlineLevel="2" x14ac:dyDescent="0.3">
      <c r="A1514" s="105" t="s">
        <v>6419</v>
      </c>
      <c r="B1514" s="106"/>
      <c r="C1514" s="106"/>
      <c r="D1514" s="106"/>
      <c r="E1514" s="106" t="s">
        <v>6420</v>
      </c>
      <c r="F1514" s="106" t="s">
        <v>6421</v>
      </c>
      <c r="G1514" s="105">
        <v>4</v>
      </c>
      <c r="H1514" s="106" t="s">
        <v>7</v>
      </c>
      <c r="I1514" s="105" t="s">
        <v>39</v>
      </c>
      <c r="J1514" s="105"/>
      <c r="K1514" s="105"/>
      <c r="L1514" s="105"/>
      <c r="M1514" s="106" t="s">
        <v>6422</v>
      </c>
      <c r="N1514" s="106" t="s">
        <v>40</v>
      </c>
      <c r="O1514" s="107"/>
      <c r="P1514" s="106" t="s">
        <v>6423</v>
      </c>
    </row>
    <row r="1515" spans="1:16" outlineLevel="2" x14ac:dyDescent="0.3">
      <c r="A1515" s="105" t="s">
        <v>6424</v>
      </c>
      <c r="B1515" s="106"/>
      <c r="C1515" s="106"/>
      <c r="D1515" s="106"/>
      <c r="E1515" s="106" t="s">
        <v>6425</v>
      </c>
      <c r="F1515" s="106" t="s">
        <v>6426</v>
      </c>
      <c r="G1515" s="105">
        <v>4</v>
      </c>
      <c r="H1515" s="106" t="s">
        <v>7</v>
      </c>
      <c r="I1515" s="105" t="s">
        <v>39</v>
      </c>
      <c r="J1515" s="105"/>
      <c r="K1515" s="105"/>
      <c r="L1515" s="105"/>
      <c r="M1515" s="106" t="s">
        <v>6427</v>
      </c>
      <c r="N1515" s="106" t="s">
        <v>40</v>
      </c>
      <c r="O1515" s="107"/>
      <c r="P1515" s="106" t="s">
        <v>6428</v>
      </c>
    </row>
    <row r="1516" spans="1:16" outlineLevel="2" x14ac:dyDescent="0.3">
      <c r="A1516" s="105" t="s">
        <v>6429</v>
      </c>
      <c r="B1516" s="106"/>
      <c r="C1516" s="106"/>
      <c r="D1516" s="106"/>
      <c r="E1516" s="106" t="s">
        <v>6430</v>
      </c>
      <c r="F1516" s="106" t="s">
        <v>6431</v>
      </c>
      <c r="G1516" s="105">
        <v>4</v>
      </c>
      <c r="H1516" s="106" t="s">
        <v>7</v>
      </c>
      <c r="I1516" s="105" t="s">
        <v>39</v>
      </c>
      <c r="J1516" s="105"/>
      <c r="K1516" s="105"/>
      <c r="L1516" s="105"/>
      <c r="M1516" s="106" t="s">
        <v>6432</v>
      </c>
      <c r="N1516" s="106" t="s">
        <v>40</v>
      </c>
      <c r="O1516" s="107"/>
      <c r="P1516" s="106" t="s">
        <v>6433</v>
      </c>
    </row>
    <row r="1517" spans="1:16" outlineLevel="2" x14ac:dyDescent="0.3">
      <c r="A1517" s="105" t="s">
        <v>6434</v>
      </c>
      <c r="B1517" s="106"/>
      <c r="C1517" s="106"/>
      <c r="D1517" s="106"/>
      <c r="E1517" s="106" t="s">
        <v>6435</v>
      </c>
      <c r="F1517" s="106" t="s">
        <v>6436</v>
      </c>
      <c r="G1517" s="105">
        <v>4</v>
      </c>
      <c r="H1517" s="106" t="s">
        <v>7</v>
      </c>
      <c r="I1517" s="105" t="s">
        <v>39</v>
      </c>
      <c r="J1517" s="105"/>
      <c r="K1517" s="105"/>
      <c r="L1517" s="105"/>
      <c r="M1517" s="106" t="s">
        <v>6437</v>
      </c>
      <c r="N1517" s="106" t="s">
        <v>40</v>
      </c>
      <c r="O1517" s="107"/>
      <c r="P1517" s="106" t="s">
        <v>6438</v>
      </c>
    </row>
    <row r="1518" spans="1:16" outlineLevel="2" x14ac:dyDescent="0.3">
      <c r="A1518" s="105" t="s">
        <v>6439</v>
      </c>
      <c r="B1518" s="106"/>
      <c r="C1518" s="106"/>
      <c r="D1518" s="106"/>
      <c r="E1518" s="106" t="s">
        <v>6440</v>
      </c>
      <c r="F1518" s="106" t="s">
        <v>6441</v>
      </c>
      <c r="G1518" s="105">
        <v>4</v>
      </c>
      <c r="H1518" s="106" t="s">
        <v>7</v>
      </c>
      <c r="I1518" s="105" t="s">
        <v>39</v>
      </c>
      <c r="J1518" s="105"/>
      <c r="K1518" s="105"/>
      <c r="L1518" s="105"/>
      <c r="M1518" s="106" t="s">
        <v>6442</v>
      </c>
      <c r="N1518" s="106" t="s">
        <v>40</v>
      </c>
      <c r="O1518" s="107"/>
      <c r="P1518" s="106" t="s">
        <v>6443</v>
      </c>
    </row>
    <row r="1519" spans="1:16" outlineLevel="2" x14ac:dyDescent="0.3">
      <c r="A1519" s="105" t="s">
        <v>6444</v>
      </c>
      <c r="B1519" s="106"/>
      <c r="C1519" s="106"/>
      <c r="D1519" s="106"/>
      <c r="E1519" s="106" t="s">
        <v>6445</v>
      </c>
      <c r="F1519" s="106" t="s">
        <v>6446</v>
      </c>
      <c r="G1519" s="105">
        <v>4</v>
      </c>
      <c r="H1519" s="106" t="s">
        <v>7</v>
      </c>
      <c r="I1519" s="105" t="s">
        <v>39</v>
      </c>
      <c r="J1519" s="105"/>
      <c r="K1519" s="105"/>
      <c r="L1519" s="105"/>
      <c r="M1519" s="106" t="s">
        <v>6447</v>
      </c>
      <c r="N1519" s="106" t="s">
        <v>40</v>
      </c>
      <c r="O1519" s="107"/>
      <c r="P1519" s="106" t="s">
        <v>6448</v>
      </c>
    </row>
    <row r="1520" spans="1:16" outlineLevel="2" x14ac:dyDescent="0.3">
      <c r="A1520" s="105" t="s">
        <v>6449</v>
      </c>
      <c r="B1520" s="106"/>
      <c r="C1520" s="106"/>
      <c r="D1520" s="106"/>
      <c r="E1520" s="106" t="s">
        <v>6450</v>
      </c>
      <c r="F1520" s="106" t="s">
        <v>6451</v>
      </c>
      <c r="G1520" s="105">
        <v>4</v>
      </c>
      <c r="H1520" s="106" t="s">
        <v>7</v>
      </c>
      <c r="I1520" s="105" t="s">
        <v>39</v>
      </c>
      <c r="J1520" s="105"/>
      <c r="K1520" s="105"/>
      <c r="L1520" s="105"/>
      <c r="M1520" s="106" t="s">
        <v>6452</v>
      </c>
      <c r="N1520" s="106" t="s">
        <v>223</v>
      </c>
      <c r="O1520" s="107"/>
      <c r="P1520" s="106" t="s">
        <v>6453</v>
      </c>
    </row>
    <row r="1521" spans="1:16" outlineLevel="2" x14ac:dyDescent="0.3">
      <c r="A1521" s="105" t="s">
        <v>6454</v>
      </c>
      <c r="B1521" s="106"/>
      <c r="C1521" s="106"/>
      <c r="D1521" s="106"/>
      <c r="E1521" s="106" t="s">
        <v>6455</v>
      </c>
      <c r="F1521" s="106" t="s">
        <v>6456</v>
      </c>
      <c r="G1521" s="105">
        <v>4</v>
      </c>
      <c r="H1521" s="106" t="s">
        <v>7</v>
      </c>
      <c r="I1521" s="105" t="s">
        <v>39</v>
      </c>
      <c r="J1521" s="105"/>
      <c r="K1521" s="105"/>
      <c r="L1521" s="105"/>
      <c r="M1521" s="106" t="s">
        <v>6457</v>
      </c>
      <c r="N1521" s="106" t="s">
        <v>40</v>
      </c>
      <c r="O1521" s="107"/>
      <c r="P1521" s="106" t="s">
        <v>6458</v>
      </c>
    </row>
    <row r="1522" spans="1:16" outlineLevel="2" x14ac:dyDescent="0.3">
      <c r="A1522" s="105" t="s">
        <v>6459</v>
      </c>
      <c r="B1522" s="106"/>
      <c r="C1522" s="106"/>
      <c r="D1522" s="106"/>
      <c r="E1522" s="106" t="s">
        <v>6460</v>
      </c>
      <c r="F1522" s="106" t="s">
        <v>6461</v>
      </c>
      <c r="G1522" s="105">
        <v>4</v>
      </c>
      <c r="H1522" s="106" t="s">
        <v>7</v>
      </c>
      <c r="I1522" s="105" t="s">
        <v>39</v>
      </c>
      <c r="J1522" s="105"/>
      <c r="K1522" s="105"/>
      <c r="L1522" s="105"/>
      <c r="M1522" s="106" t="s">
        <v>6462</v>
      </c>
      <c r="N1522" s="106" t="s">
        <v>40</v>
      </c>
      <c r="O1522" s="107"/>
      <c r="P1522" s="106" t="s">
        <v>6463</v>
      </c>
    </row>
    <row r="1523" spans="1:16" outlineLevel="2" x14ac:dyDescent="0.3">
      <c r="A1523" s="105" t="s">
        <v>6464</v>
      </c>
      <c r="B1523" s="106"/>
      <c r="C1523" s="106"/>
      <c r="D1523" s="106"/>
      <c r="E1523" s="106" t="s">
        <v>6465</v>
      </c>
      <c r="F1523" s="106" t="s">
        <v>6466</v>
      </c>
      <c r="G1523" s="105">
        <v>4</v>
      </c>
      <c r="H1523" s="106" t="s">
        <v>7</v>
      </c>
      <c r="I1523" s="105" t="s">
        <v>39</v>
      </c>
      <c r="J1523" s="105"/>
      <c r="K1523" s="105"/>
      <c r="L1523" s="105"/>
      <c r="M1523" s="106" t="s">
        <v>6467</v>
      </c>
      <c r="N1523" s="106" t="s">
        <v>40</v>
      </c>
      <c r="O1523" s="107"/>
      <c r="P1523" s="106" t="s">
        <v>6468</v>
      </c>
    </row>
    <row r="1524" spans="1:16" outlineLevel="2" x14ac:dyDescent="0.3">
      <c r="A1524" s="105" t="s">
        <v>6469</v>
      </c>
      <c r="B1524" s="106"/>
      <c r="C1524" s="106"/>
      <c r="D1524" s="106"/>
      <c r="E1524" s="106" t="s">
        <v>6470</v>
      </c>
      <c r="F1524" s="106" t="s">
        <v>6471</v>
      </c>
      <c r="G1524" s="105">
        <v>4</v>
      </c>
      <c r="H1524" s="106" t="s">
        <v>7</v>
      </c>
      <c r="I1524" s="105" t="s">
        <v>39</v>
      </c>
      <c r="J1524" s="105"/>
      <c r="K1524" s="105"/>
      <c r="L1524" s="105"/>
      <c r="M1524" s="106" t="s">
        <v>6472</v>
      </c>
      <c r="N1524" s="106" t="s">
        <v>40</v>
      </c>
      <c r="O1524" s="107"/>
      <c r="P1524" s="106" t="s">
        <v>6473</v>
      </c>
    </row>
    <row r="1525" spans="1:16" outlineLevel="2" x14ac:dyDescent="0.3">
      <c r="A1525" s="105" t="s">
        <v>6474</v>
      </c>
      <c r="B1525" s="106"/>
      <c r="C1525" s="106"/>
      <c r="D1525" s="106"/>
      <c r="E1525" s="106" t="s">
        <v>6475</v>
      </c>
      <c r="F1525" s="106" t="s">
        <v>6476</v>
      </c>
      <c r="G1525" s="105">
        <v>4</v>
      </c>
      <c r="H1525" s="106" t="s">
        <v>7</v>
      </c>
      <c r="I1525" s="105" t="s">
        <v>39</v>
      </c>
      <c r="J1525" s="105"/>
      <c r="K1525" s="105"/>
      <c r="L1525" s="105"/>
      <c r="M1525" s="106" t="s">
        <v>6477</v>
      </c>
      <c r="N1525" s="106" t="s">
        <v>40</v>
      </c>
      <c r="O1525" s="107"/>
      <c r="P1525" s="106" t="s">
        <v>6478</v>
      </c>
    </row>
    <row r="1526" spans="1:16" ht="27.6" outlineLevel="1" x14ac:dyDescent="0.3">
      <c r="A1526" s="281" t="s">
        <v>6479</v>
      </c>
      <c r="B1526" s="282"/>
      <c r="C1526" s="283" t="s">
        <v>6480</v>
      </c>
      <c r="D1526" s="282"/>
      <c r="E1526" s="282"/>
      <c r="F1526" s="282"/>
      <c r="G1526" s="281">
        <v>2</v>
      </c>
      <c r="H1526" s="282" t="s">
        <v>25</v>
      </c>
      <c r="I1526" s="281" t="s">
        <v>39</v>
      </c>
      <c r="J1526" s="281">
        <v>39</v>
      </c>
      <c r="K1526" s="281">
        <v>0</v>
      </c>
      <c r="L1526" s="281">
        <v>39</v>
      </c>
      <c r="M1526" s="284" t="s">
        <v>6481</v>
      </c>
      <c r="N1526" s="284" t="s">
        <v>40</v>
      </c>
      <c r="O1526" s="285"/>
      <c r="P1526" s="284" t="s">
        <v>6482</v>
      </c>
    </row>
    <row r="1527" spans="1:16" outlineLevel="2" x14ac:dyDescent="0.3">
      <c r="A1527" s="105" t="s">
        <v>6483</v>
      </c>
      <c r="B1527" s="106"/>
      <c r="C1527" s="106"/>
      <c r="D1527" s="106"/>
      <c r="E1527" s="106" t="s">
        <v>6484</v>
      </c>
      <c r="F1527" s="106" t="s">
        <v>6485</v>
      </c>
      <c r="G1527" s="105">
        <v>4</v>
      </c>
      <c r="H1527" s="106" t="s">
        <v>7</v>
      </c>
      <c r="I1527" s="105" t="s">
        <v>39</v>
      </c>
      <c r="J1527" s="105"/>
      <c r="K1527" s="105"/>
      <c r="L1527" s="105"/>
      <c r="M1527" s="106" t="s">
        <v>6486</v>
      </c>
      <c r="N1527" s="106" t="s">
        <v>40</v>
      </c>
      <c r="O1527" s="107"/>
      <c r="P1527" s="106" t="s">
        <v>6487</v>
      </c>
    </row>
    <row r="1528" spans="1:16" outlineLevel="2" x14ac:dyDescent="0.3">
      <c r="A1528" s="105" t="s">
        <v>6488</v>
      </c>
      <c r="B1528" s="106"/>
      <c r="C1528" s="106"/>
      <c r="D1528" s="106"/>
      <c r="E1528" s="106" t="s">
        <v>6489</v>
      </c>
      <c r="F1528" s="106" t="s">
        <v>6490</v>
      </c>
      <c r="G1528" s="105">
        <v>4</v>
      </c>
      <c r="H1528" s="106" t="s">
        <v>7</v>
      </c>
      <c r="I1528" s="105" t="s">
        <v>39</v>
      </c>
      <c r="J1528" s="105"/>
      <c r="K1528" s="105"/>
      <c r="L1528" s="105"/>
      <c r="M1528" s="106" t="s">
        <v>6491</v>
      </c>
      <c r="N1528" s="106" t="s">
        <v>40</v>
      </c>
      <c r="O1528" s="107"/>
      <c r="P1528" s="106" t="s">
        <v>6492</v>
      </c>
    </row>
    <row r="1529" spans="1:16" outlineLevel="2" x14ac:dyDescent="0.3">
      <c r="A1529" s="105" t="s">
        <v>6493</v>
      </c>
      <c r="B1529" s="106"/>
      <c r="C1529" s="106"/>
      <c r="D1529" s="106"/>
      <c r="E1529" s="106" t="s">
        <v>6494</v>
      </c>
      <c r="F1529" s="106" t="s">
        <v>6495</v>
      </c>
      <c r="G1529" s="105">
        <v>4</v>
      </c>
      <c r="H1529" s="106" t="s">
        <v>7</v>
      </c>
      <c r="I1529" s="105" t="s">
        <v>39</v>
      </c>
      <c r="J1529" s="105"/>
      <c r="K1529" s="105"/>
      <c r="L1529" s="105"/>
      <c r="M1529" s="106" t="s">
        <v>6496</v>
      </c>
      <c r="N1529" s="106" t="s">
        <v>40</v>
      </c>
      <c r="O1529" s="107"/>
      <c r="P1529" s="106" t="s">
        <v>6497</v>
      </c>
    </row>
    <row r="1530" spans="1:16" outlineLevel="2" x14ac:dyDescent="0.3">
      <c r="A1530" s="105" t="s">
        <v>6498</v>
      </c>
      <c r="B1530" s="106"/>
      <c r="C1530" s="106"/>
      <c r="D1530" s="106"/>
      <c r="E1530" s="106" t="s">
        <v>6499</v>
      </c>
      <c r="F1530" s="106" t="s">
        <v>6500</v>
      </c>
      <c r="G1530" s="105">
        <v>4</v>
      </c>
      <c r="H1530" s="106" t="s">
        <v>7</v>
      </c>
      <c r="I1530" s="105" t="s">
        <v>39</v>
      </c>
      <c r="J1530" s="105"/>
      <c r="K1530" s="105"/>
      <c r="L1530" s="105"/>
      <c r="M1530" s="106" t="s">
        <v>6501</v>
      </c>
      <c r="N1530" s="106" t="s">
        <v>40</v>
      </c>
      <c r="O1530" s="107"/>
      <c r="P1530" s="106" t="s">
        <v>6502</v>
      </c>
    </row>
    <row r="1531" spans="1:16" outlineLevel="2" x14ac:dyDescent="0.3">
      <c r="A1531" s="105" t="s">
        <v>6503</v>
      </c>
      <c r="B1531" s="106"/>
      <c r="C1531" s="106"/>
      <c r="D1531" s="106"/>
      <c r="E1531" s="106" t="s">
        <v>6504</v>
      </c>
      <c r="F1531" s="106" t="s">
        <v>6505</v>
      </c>
      <c r="G1531" s="105">
        <v>4</v>
      </c>
      <c r="H1531" s="106" t="s">
        <v>7</v>
      </c>
      <c r="I1531" s="105" t="s">
        <v>39</v>
      </c>
      <c r="J1531" s="105"/>
      <c r="K1531" s="105"/>
      <c r="L1531" s="105"/>
      <c r="M1531" s="106" t="s">
        <v>6506</v>
      </c>
      <c r="N1531" s="106" t="s">
        <v>40</v>
      </c>
      <c r="O1531" s="107"/>
      <c r="P1531" s="106" t="s">
        <v>6507</v>
      </c>
    </row>
    <row r="1532" spans="1:16" outlineLevel="2" x14ac:dyDescent="0.3">
      <c r="A1532" s="105" t="s">
        <v>6508</v>
      </c>
      <c r="B1532" s="106"/>
      <c r="C1532" s="106"/>
      <c r="D1532" s="106"/>
      <c r="E1532" s="106" t="s">
        <v>6509</v>
      </c>
      <c r="F1532" s="106" t="s">
        <v>6510</v>
      </c>
      <c r="G1532" s="105">
        <v>4</v>
      </c>
      <c r="H1532" s="106" t="s">
        <v>7</v>
      </c>
      <c r="I1532" s="105" t="s">
        <v>39</v>
      </c>
      <c r="J1532" s="105"/>
      <c r="K1532" s="105"/>
      <c r="L1532" s="105"/>
      <c r="M1532" s="106" t="s">
        <v>6511</v>
      </c>
      <c r="N1532" s="106" t="s">
        <v>40</v>
      </c>
      <c r="O1532" s="107"/>
      <c r="P1532" s="106" t="s">
        <v>6512</v>
      </c>
    </row>
    <row r="1533" spans="1:16" outlineLevel="2" x14ac:dyDescent="0.3">
      <c r="A1533" s="105" t="s">
        <v>6513</v>
      </c>
      <c r="B1533" s="106"/>
      <c r="C1533" s="106"/>
      <c r="D1533" s="106"/>
      <c r="E1533" s="106" t="s">
        <v>6514</v>
      </c>
      <c r="F1533" s="106" t="s">
        <v>6515</v>
      </c>
      <c r="G1533" s="105">
        <v>4</v>
      </c>
      <c r="H1533" s="106" t="s">
        <v>7</v>
      </c>
      <c r="I1533" s="105" t="s">
        <v>39</v>
      </c>
      <c r="J1533" s="105"/>
      <c r="K1533" s="105"/>
      <c r="L1533" s="105"/>
      <c r="M1533" s="106" t="s">
        <v>6516</v>
      </c>
      <c r="N1533" s="106" t="s">
        <v>40</v>
      </c>
      <c r="O1533" s="107"/>
      <c r="P1533" s="106" t="s">
        <v>6517</v>
      </c>
    </row>
    <row r="1534" spans="1:16" outlineLevel="2" x14ac:dyDescent="0.3">
      <c r="A1534" s="105" t="s">
        <v>6518</v>
      </c>
      <c r="B1534" s="106"/>
      <c r="C1534" s="106"/>
      <c r="D1534" s="106"/>
      <c r="E1534" s="106" t="s">
        <v>6519</v>
      </c>
      <c r="F1534" s="106" t="s">
        <v>6520</v>
      </c>
      <c r="G1534" s="105">
        <v>4</v>
      </c>
      <c r="H1534" s="106" t="s">
        <v>7</v>
      </c>
      <c r="I1534" s="105" t="s">
        <v>39</v>
      </c>
      <c r="J1534" s="105"/>
      <c r="K1534" s="105"/>
      <c r="L1534" s="105"/>
      <c r="M1534" s="106" t="s">
        <v>6521</v>
      </c>
      <c r="N1534" s="106" t="s">
        <v>40</v>
      </c>
      <c r="O1534" s="107"/>
      <c r="P1534" s="106" t="s">
        <v>6522</v>
      </c>
    </row>
    <row r="1535" spans="1:16" outlineLevel="2" x14ac:dyDescent="0.3">
      <c r="A1535" s="105" t="s">
        <v>6523</v>
      </c>
      <c r="B1535" s="106"/>
      <c r="C1535" s="106"/>
      <c r="D1535" s="106"/>
      <c r="E1535" s="106" t="s">
        <v>6524</v>
      </c>
      <c r="F1535" s="106" t="s">
        <v>6525</v>
      </c>
      <c r="G1535" s="105">
        <v>4</v>
      </c>
      <c r="H1535" s="106" t="s">
        <v>7</v>
      </c>
      <c r="I1535" s="105" t="s">
        <v>39</v>
      </c>
      <c r="J1535" s="105"/>
      <c r="K1535" s="105"/>
      <c r="L1535" s="105"/>
      <c r="M1535" s="106" t="s">
        <v>6526</v>
      </c>
      <c r="N1535" s="106" t="s">
        <v>40</v>
      </c>
      <c r="O1535" s="107"/>
      <c r="P1535" s="106" t="s">
        <v>6527</v>
      </c>
    </row>
    <row r="1536" spans="1:16" outlineLevel="2" x14ac:dyDescent="0.3">
      <c r="A1536" s="105" t="s">
        <v>6528</v>
      </c>
      <c r="B1536" s="106"/>
      <c r="C1536" s="106"/>
      <c r="D1536" s="106"/>
      <c r="E1536" s="106" t="s">
        <v>6529</v>
      </c>
      <c r="F1536" s="106" t="s">
        <v>6530</v>
      </c>
      <c r="G1536" s="105">
        <v>4</v>
      </c>
      <c r="H1536" s="106" t="s">
        <v>7</v>
      </c>
      <c r="I1536" s="105" t="s">
        <v>39</v>
      </c>
      <c r="J1536" s="105"/>
      <c r="K1536" s="105"/>
      <c r="L1536" s="105"/>
      <c r="M1536" s="106" t="s">
        <v>6531</v>
      </c>
      <c r="N1536" s="106" t="s">
        <v>40</v>
      </c>
      <c r="O1536" s="107"/>
      <c r="P1536" s="106" t="s">
        <v>6532</v>
      </c>
    </row>
    <row r="1537" spans="1:16" outlineLevel="2" x14ac:dyDescent="0.3">
      <c r="A1537" s="105" t="s">
        <v>6533</v>
      </c>
      <c r="B1537" s="106"/>
      <c r="C1537" s="106"/>
      <c r="D1537" s="106"/>
      <c r="E1537" s="106" t="s">
        <v>6534</v>
      </c>
      <c r="F1537" s="106" t="s">
        <v>6535</v>
      </c>
      <c r="G1537" s="105">
        <v>4</v>
      </c>
      <c r="H1537" s="106" t="s">
        <v>7</v>
      </c>
      <c r="I1537" s="105" t="s">
        <v>39</v>
      </c>
      <c r="J1537" s="105"/>
      <c r="K1537" s="105"/>
      <c r="L1537" s="105"/>
      <c r="M1537" s="106" t="s">
        <v>6536</v>
      </c>
      <c r="N1537" s="106" t="s">
        <v>40</v>
      </c>
      <c r="O1537" s="107"/>
      <c r="P1537" s="106" t="s">
        <v>6537</v>
      </c>
    </row>
    <row r="1538" spans="1:16" outlineLevel="2" x14ac:dyDescent="0.3">
      <c r="A1538" s="105" t="s">
        <v>6538</v>
      </c>
      <c r="B1538" s="106"/>
      <c r="C1538" s="106"/>
      <c r="D1538" s="106"/>
      <c r="E1538" s="106" t="s">
        <v>6539</v>
      </c>
      <c r="F1538" s="106" t="s">
        <v>6540</v>
      </c>
      <c r="G1538" s="105">
        <v>4</v>
      </c>
      <c r="H1538" s="106" t="s">
        <v>7</v>
      </c>
      <c r="I1538" s="105" t="s">
        <v>39</v>
      </c>
      <c r="J1538" s="105"/>
      <c r="K1538" s="105"/>
      <c r="L1538" s="105"/>
      <c r="M1538" s="106" t="s">
        <v>6541</v>
      </c>
      <c r="N1538" s="106" t="s">
        <v>40</v>
      </c>
      <c r="O1538" s="107"/>
      <c r="P1538" s="106" t="s">
        <v>6542</v>
      </c>
    </row>
    <row r="1539" spans="1:16" outlineLevel="2" x14ac:dyDescent="0.3">
      <c r="A1539" s="105" t="s">
        <v>6543</v>
      </c>
      <c r="B1539" s="106"/>
      <c r="C1539" s="106"/>
      <c r="D1539" s="106"/>
      <c r="E1539" s="106" t="s">
        <v>6544</v>
      </c>
      <c r="F1539" s="106" t="s">
        <v>6545</v>
      </c>
      <c r="G1539" s="105">
        <v>4</v>
      </c>
      <c r="H1539" s="106" t="s">
        <v>7</v>
      </c>
      <c r="I1539" s="105" t="s">
        <v>39</v>
      </c>
      <c r="J1539" s="105"/>
      <c r="K1539" s="105"/>
      <c r="L1539" s="105"/>
      <c r="M1539" s="106" t="s">
        <v>6546</v>
      </c>
      <c r="N1539" s="106" t="s">
        <v>40</v>
      </c>
      <c r="O1539" s="107"/>
      <c r="P1539" s="106" t="s">
        <v>6547</v>
      </c>
    </row>
    <row r="1540" spans="1:16" outlineLevel="2" x14ac:dyDescent="0.3">
      <c r="A1540" s="105" t="s">
        <v>6548</v>
      </c>
      <c r="B1540" s="106"/>
      <c r="C1540" s="106"/>
      <c r="D1540" s="106"/>
      <c r="E1540" s="106" t="s">
        <v>6549</v>
      </c>
      <c r="F1540" s="106" t="s">
        <v>6550</v>
      </c>
      <c r="G1540" s="105">
        <v>4</v>
      </c>
      <c r="H1540" s="106" t="s">
        <v>7</v>
      </c>
      <c r="I1540" s="105" t="s">
        <v>39</v>
      </c>
      <c r="J1540" s="105"/>
      <c r="K1540" s="105"/>
      <c r="L1540" s="105"/>
      <c r="M1540" s="106" t="s">
        <v>6551</v>
      </c>
      <c r="N1540" s="106" t="s">
        <v>40</v>
      </c>
      <c r="O1540" s="107"/>
      <c r="P1540" s="106" t="s">
        <v>6552</v>
      </c>
    </row>
    <row r="1541" spans="1:16" outlineLevel="2" x14ac:dyDescent="0.3">
      <c r="A1541" s="105" t="s">
        <v>6553</v>
      </c>
      <c r="B1541" s="106"/>
      <c r="C1541" s="106"/>
      <c r="D1541" s="106"/>
      <c r="E1541" s="106" t="s">
        <v>6554</v>
      </c>
      <c r="F1541" s="106" t="s">
        <v>6555</v>
      </c>
      <c r="G1541" s="105">
        <v>4</v>
      </c>
      <c r="H1541" s="106" t="s">
        <v>7</v>
      </c>
      <c r="I1541" s="105" t="s">
        <v>39</v>
      </c>
      <c r="J1541" s="105"/>
      <c r="K1541" s="105"/>
      <c r="L1541" s="105"/>
      <c r="M1541" s="106" t="s">
        <v>6556</v>
      </c>
      <c r="N1541" s="106" t="s">
        <v>40</v>
      </c>
      <c r="O1541" s="107"/>
      <c r="P1541" s="106" t="s">
        <v>6557</v>
      </c>
    </row>
    <row r="1542" spans="1:16" outlineLevel="2" x14ac:dyDescent="0.3">
      <c r="A1542" s="105" t="s">
        <v>6558</v>
      </c>
      <c r="B1542" s="106"/>
      <c r="C1542" s="106"/>
      <c r="D1542" s="106"/>
      <c r="E1542" s="106" t="s">
        <v>6559</v>
      </c>
      <c r="F1542" s="106" t="s">
        <v>6560</v>
      </c>
      <c r="G1542" s="105">
        <v>4</v>
      </c>
      <c r="H1542" s="106" t="s">
        <v>7</v>
      </c>
      <c r="I1542" s="105" t="s">
        <v>39</v>
      </c>
      <c r="J1542" s="105"/>
      <c r="K1542" s="105"/>
      <c r="L1542" s="105"/>
      <c r="M1542" s="106" t="s">
        <v>6561</v>
      </c>
      <c r="N1542" s="106" t="s">
        <v>40</v>
      </c>
      <c r="O1542" s="107"/>
      <c r="P1542" s="106" t="s">
        <v>6562</v>
      </c>
    </row>
    <row r="1543" spans="1:16" outlineLevel="2" x14ac:dyDescent="0.3">
      <c r="A1543" s="105" t="s">
        <v>6563</v>
      </c>
      <c r="B1543" s="106"/>
      <c r="C1543" s="106"/>
      <c r="D1543" s="106"/>
      <c r="E1543" s="106" t="s">
        <v>6564</v>
      </c>
      <c r="F1543" s="106" t="s">
        <v>6565</v>
      </c>
      <c r="G1543" s="105">
        <v>4</v>
      </c>
      <c r="H1543" s="106" t="s">
        <v>7</v>
      </c>
      <c r="I1543" s="105" t="s">
        <v>39</v>
      </c>
      <c r="J1543" s="105"/>
      <c r="K1543" s="105"/>
      <c r="L1543" s="105"/>
      <c r="M1543" s="106" t="s">
        <v>6566</v>
      </c>
      <c r="N1543" s="106" t="s">
        <v>40</v>
      </c>
      <c r="O1543" s="107"/>
      <c r="P1543" s="106" t="s">
        <v>6567</v>
      </c>
    </row>
    <row r="1544" spans="1:16" outlineLevel="2" x14ac:dyDescent="0.3">
      <c r="A1544" s="105" t="s">
        <v>6568</v>
      </c>
      <c r="B1544" s="106"/>
      <c r="C1544" s="106"/>
      <c r="D1544" s="106"/>
      <c r="E1544" s="106" t="s">
        <v>6569</v>
      </c>
      <c r="F1544" s="106" t="s">
        <v>6570</v>
      </c>
      <c r="G1544" s="105">
        <v>4</v>
      </c>
      <c r="H1544" s="106" t="s">
        <v>7</v>
      </c>
      <c r="I1544" s="105" t="s">
        <v>39</v>
      </c>
      <c r="J1544" s="105"/>
      <c r="K1544" s="105"/>
      <c r="L1544" s="105"/>
      <c r="M1544" s="106" t="s">
        <v>6571</v>
      </c>
      <c r="N1544" s="106" t="s">
        <v>40</v>
      </c>
      <c r="O1544" s="107"/>
      <c r="P1544" s="106" t="s">
        <v>6572</v>
      </c>
    </row>
    <row r="1545" spans="1:16" outlineLevel="2" x14ac:dyDescent="0.3">
      <c r="A1545" s="105" t="s">
        <v>6573</v>
      </c>
      <c r="B1545" s="106"/>
      <c r="C1545" s="106"/>
      <c r="D1545" s="106"/>
      <c r="E1545" s="106" t="s">
        <v>6574</v>
      </c>
      <c r="F1545" s="106" t="s">
        <v>6575</v>
      </c>
      <c r="G1545" s="105">
        <v>4</v>
      </c>
      <c r="H1545" s="106" t="s">
        <v>7</v>
      </c>
      <c r="I1545" s="105" t="s">
        <v>39</v>
      </c>
      <c r="J1545" s="105"/>
      <c r="K1545" s="105"/>
      <c r="L1545" s="105"/>
      <c r="M1545" s="106" t="s">
        <v>6576</v>
      </c>
      <c r="N1545" s="106" t="s">
        <v>40</v>
      </c>
      <c r="O1545" s="107"/>
      <c r="P1545" s="106" t="s">
        <v>6577</v>
      </c>
    </row>
    <row r="1546" spans="1:16" outlineLevel="2" x14ac:dyDescent="0.3">
      <c r="A1546" s="105" t="s">
        <v>6578</v>
      </c>
      <c r="B1546" s="106"/>
      <c r="C1546" s="106"/>
      <c r="D1546" s="106"/>
      <c r="E1546" s="106" t="s">
        <v>6579</v>
      </c>
      <c r="F1546" s="106" t="s">
        <v>6580</v>
      </c>
      <c r="G1546" s="105">
        <v>4</v>
      </c>
      <c r="H1546" s="106" t="s">
        <v>7</v>
      </c>
      <c r="I1546" s="105" t="s">
        <v>39</v>
      </c>
      <c r="J1546" s="105"/>
      <c r="K1546" s="105"/>
      <c r="L1546" s="105"/>
      <c r="M1546" s="106" t="s">
        <v>6581</v>
      </c>
      <c r="N1546" s="106" t="s">
        <v>40</v>
      </c>
      <c r="O1546" s="107"/>
      <c r="P1546" s="106" t="s">
        <v>6582</v>
      </c>
    </row>
    <row r="1547" spans="1:16" outlineLevel="2" x14ac:dyDescent="0.3">
      <c r="A1547" s="105" t="s">
        <v>6583</v>
      </c>
      <c r="B1547" s="106"/>
      <c r="C1547" s="106"/>
      <c r="D1547" s="106"/>
      <c r="E1547" s="106" t="s">
        <v>6584</v>
      </c>
      <c r="F1547" s="106" t="s">
        <v>6585</v>
      </c>
      <c r="G1547" s="105">
        <v>4</v>
      </c>
      <c r="H1547" s="106" t="s">
        <v>7</v>
      </c>
      <c r="I1547" s="105" t="s">
        <v>39</v>
      </c>
      <c r="J1547" s="105"/>
      <c r="K1547" s="105"/>
      <c r="L1547" s="105"/>
      <c r="M1547" s="106" t="s">
        <v>6586</v>
      </c>
      <c r="N1547" s="106" t="s">
        <v>40</v>
      </c>
      <c r="O1547" s="107"/>
      <c r="P1547" s="106" t="s">
        <v>6587</v>
      </c>
    </row>
    <row r="1548" spans="1:16" outlineLevel="2" x14ac:dyDescent="0.3">
      <c r="A1548" s="105" t="s">
        <v>6588</v>
      </c>
      <c r="B1548" s="106"/>
      <c r="C1548" s="106"/>
      <c r="D1548" s="106"/>
      <c r="E1548" s="106" t="s">
        <v>6589</v>
      </c>
      <c r="F1548" s="106" t="s">
        <v>6590</v>
      </c>
      <c r="G1548" s="105">
        <v>4</v>
      </c>
      <c r="H1548" s="106" t="s">
        <v>7</v>
      </c>
      <c r="I1548" s="105" t="s">
        <v>39</v>
      </c>
      <c r="J1548" s="105"/>
      <c r="K1548" s="105"/>
      <c r="L1548" s="105"/>
      <c r="M1548" s="106" t="s">
        <v>6591</v>
      </c>
      <c r="N1548" s="106" t="s">
        <v>40</v>
      </c>
      <c r="O1548" s="107"/>
      <c r="P1548" s="106" t="s">
        <v>6592</v>
      </c>
    </row>
    <row r="1549" spans="1:16" outlineLevel="2" x14ac:dyDescent="0.3">
      <c r="A1549" s="105" t="s">
        <v>6593</v>
      </c>
      <c r="B1549" s="106"/>
      <c r="C1549" s="106"/>
      <c r="D1549" s="106"/>
      <c r="E1549" s="106" t="s">
        <v>6594</v>
      </c>
      <c r="F1549" s="106" t="s">
        <v>6595</v>
      </c>
      <c r="G1549" s="105">
        <v>4</v>
      </c>
      <c r="H1549" s="106" t="s">
        <v>7</v>
      </c>
      <c r="I1549" s="105" t="s">
        <v>39</v>
      </c>
      <c r="J1549" s="105"/>
      <c r="K1549" s="105"/>
      <c r="L1549" s="105"/>
      <c r="M1549" s="106" t="s">
        <v>6596</v>
      </c>
      <c r="N1549" s="106" t="s">
        <v>40</v>
      </c>
      <c r="O1549" s="107"/>
      <c r="P1549" s="106" t="s">
        <v>6597</v>
      </c>
    </row>
    <row r="1550" spans="1:16" outlineLevel="2" x14ac:dyDescent="0.3">
      <c r="A1550" s="105" t="s">
        <v>6598</v>
      </c>
      <c r="B1550" s="106"/>
      <c r="C1550" s="106"/>
      <c r="D1550" s="106"/>
      <c r="E1550" s="106" t="s">
        <v>6599</v>
      </c>
      <c r="F1550" s="106" t="s">
        <v>6600</v>
      </c>
      <c r="G1550" s="105">
        <v>4</v>
      </c>
      <c r="H1550" s="106" t="s">
        <v>7</v>
      </c>
      <c r="I1550" s="105" t="s">
        <v>39</v>
      </c>
      <c r="J1550" s="105"/>
      <c r="K1550" s="105"/>
      <c r="L1550" s="105"/>
      <c r="M1550" s="106" t="s">
        <v>6601</v>
      </c>
      <c r="N1550" s="106" t="s">
        <v>40</v>
      </c>
      <c r="O1550" s="107"/>
      <c r="P1550" s="106" t="s">
        <v>6602</v>
      </c>
    </row>
    <row r="1551" spans="1:16" outlineLevel="2" x14ac:dyDescent="0.3">
      <c r="A1551" s="105" t="s">
        <v>6603</v>
      </c>
      <c r="B1551" s="106"/>
      <c r="C1551" s="106"/>
      <c r="D1551" s="106"/>
      <c r="E1551" s="106" t="s">
        <v>6604</v>
      </c>
      <c r="F1551" s="106" t="s">
        <v>6605</v>
      </c>
      <c r="G1551" s="105">
        <v>4</v>
      </c>
      <c r="H1551" s="106" t="s">
        <v>7</v>
      </c>
      <c r="I1551" s="105" t="s">
        <v>39</v>
      </c>
      <c r="J1551" s="105"/>
      <c r="K1551" s="105"/>
      <c r="L1551" s="105"/>
      <c r="M1551" s="106" t="s">
        <v>6606</v>
      </c>
      <c r="N1551" s="106" t="s">
        <v>40</v>
      </c>
      <c r="O1551" s="107"/>
      <c r="P1551" s="106" t="s">
        <v>6607</v>
      </c>
    </row>
    <row r="1552" spans="1:16" outlineLevel="2" x14ac:dyDescent="0.3">
      <c r="A1552" s="105" t="s">
        <v>6608</v>
      </c>
      <c r="B1552" s="106"/>
      <c r="C1552" s="106"/>
      <c r="D1552" s="106"/>
      <c r="E1552" s="106" t="s">
        <v>6609</v>
      </c>
      <c r="F1552" s="106" t="s">
        <v>6610</v>
      </c>
      <c r="G1552" s="105">
        <v>4</v>
      </c>
      <c r="H1552" s="106" t="s">
        <v>7</v>
      </c>
      <c r="I1552" s="105" t="s">
        <v>39</v>
      </c>
      <c r="J1552" s="105"/>
      <c r="K1552" s="105"/>
      <c r="L1552" s="105"/>
      <c r="M1552" s="106" t="s">
        <v>6611</v>
      </c>
      <c r="N1552" s="106" t="s">
        <v>223</v>
      </c>
      <c r="O1552" s="107"/>
      <c r="P1552" s="106" t="s">
        <v>6612</v>
      </c>
    </row>
    <row r="1553" spans="1:16" outlineLevel="2" x14ac:dyDescent="0.3">
      <c r="A1553" s="105" t="s">
        <v>6613</v>
      </c>
      <c r="B1553" s="106"/>
      <c r="C1553" s="106"/>
      <c r="D1553" s="106"/>
      <c r="E1553" s="106" t="s">
        <v>6614</v>
      </c>
      <c r="F1553" s="106" t="s">
        <v>6615</v>
      </c>
      <c r="G1553" s="105">
        <v>4</v>
      </c>
      <c r="H1553" s="106" t="s">
        <v>7</v>
      </c>
      <c r="I1553" s="105" t="s">
        <v>39</v>
      </c>
      <c r="J1553" s="105"/>
      <c r="K1553" s="105"/>
      <c r="L1553" s="105"/>
      <c r="M1553" s="106" t="s">
        <v>6616</v>
      </c>
      <c r="N1553" s="106" t="s">
        <v>40</v>
      </c>
      <c r="O1553" s="107"/>
      <c r="P1553" s="106" t="s">
        <v>6617</v>
      </c>
    </row>
    <row r="1554" spans="1:16" outlineLevel="2" x14ac:dyDescent="0.3">
      <c r="A1554" s="105" t="s">
        <v>6618</v>
      </c>
      <c r="B1554" s="106"/>
      <c r="C1554" s="106"/>
      <c r="D1554" s="106"/>
      <c r="E1554" s="106" t="s">
        <v>6619</v>
      </c>
      <c r="F1554" s="106" t="s">
        <v>6620</v>
      </c>
      <c r="G1554" s="105">
        <v>4</v>
      </c>
      <c r="H1554" s="106" t="s">
        <v>7</v>
      </c>
      <c r="I1554" s="105" t="s">
        <v>39</v>
      </c>
      <c r="J1554" s="105"/>
      <c r="K1554" s="105"/>
      <c r="L1554" s="105"/>
      <c r="M1554" s="106" t="s">
        <v>6621</v>
      </c>
      <c r="N1554" s="106" t="s">
        <v>40</v>
      </c>
      <c r="O1554" s="107"/>
      <c r="P1554" s="106" t="s">
        <v>6622</v>
      </c>
    </row>
    <row r="1555" spans="1:16" outlineLevel="2" x14ac:dyDescent="0.3">
      <c r="A1555" s="105" t="s">
        <v>6623</v>
      </c>
      <c r="B1555" s="106"/>
      <c r="C1555" s="106"/>
      <c r="D1555" s="106"/>
      <c r="E1555" s="106" t="s">
        <v>6624</v>
      </c>
      <c r="F1555" s="106" t="s">
        <v>6625</v>
      </c>
      <c r="G1555" s="105">
        <v>4</v>
      </c>
      <c r="H1555" s="106" t="s">
        <v>7</v>
      </c>
      <c r="I1555" s="105" t="s">
        <v>39</v>
      </c>
      <c r="J1555" s="105"/>
      <c r="K1555" s="105"/>
      <c r="L1555" s="105"/>
      <c r="M1555" s="106" t="s">
        <v>6626</v>
      </c>
      <c r="N1555" s="106" t="s">
        <v>40</v>
      </c>
      <c r="O1555" s="107"/>
      <c r="P1555" s="106" t="s">
        <v>6627</v>
      </c>
    </row>
    <row r="1556" spans="1:16" outlineLevel="2" x14ac:dyDescent="0.3">
      <c r="A1556" s="105" t="s">
        <v>6628</v>
      </c>
      <c r="B1556" s="106"/>
      <c r="C1556" s="106"/>
      <c r="D1556" s="106"/>
      <c r="E1556" s="106" t="s">
        <v>6629</v>
      </c>
      <c r="F1556" s="106" t="s">
        <v>6630</v>
      </c>
      <c r="G1556" s="105">
        <v>4</v>
      </c>
      <c r="H1556" s="106" t="s">
        <v>7</v>
      </c>
      <c r="I1556" s="105" t="s">
        <v>39</v>
      </c>
      <c r="J1556" s="105"/>
      <c r="K1556" s="105"/>
      <c r="L1556" s="105"/>
      <c r="M1556" s="106" t="s">
        <v>6631</v>
      </c>
      <c r="N1556" s="106" t="s">
        <v>40</v>
      </c>
      <c r="O1556" s="107"/>
      <c r="P1556" s="106" t="s">
        <v>6632</v>
      </c>
    </row>
    <row r="1557" spans="1:16" outlineLevel="2" x14ac:dyDescent="0.3">
      <c r="A1557" s="105" t="s">
        <v>6633</v>
      </c>
      <c r="B1557" s="106"/>
      <c r="C1557" s="106"/>
      <c r="D1557" s="106"/>
      <c r="E1557" s="106" t="s">
        <v>6634</v>
      </c>
      <c r="F1557" s="106" t="s">
        <v>6635</v>
      </c>
      <c r="G1557" s="105">
        <v>4</v>
      </c>
      <c r="H1557" s="106" t="s">
        <v>7</v>
      </c>
      <c r="I1557" s="105" t="s">
        <v>39</v>
      </c>
      <c r="J1557" s="105"/>
      <c r="K1557" s="105"/>
      <c r="L1557" s="105"/>
      <c r="M1557" s="106" t="s">
        <v>6636</v>
      </c>
      <c r="N1557" s="106" t="s">
        <v>40</v>
      </c>
      <c r="O1557" s="107"/>
      <c r="P1557" s="106" t="s">
        <v>6637</v>
      </c>
    </row>
    <row r="1558" spans="1:16" outlineLevel="2" x14ac:dyDescent="0.3">
      <c r="A1558" s="105" t="s">
        <v>6638</v>
      </c>
      <c r="B1558" s="106"/>
      <c r="C1558" s="106"/>
      <c r="D1558" s="106"/>
      <c r="E1558" s="106" t="s">
        <v>6639</v>
      </c>
      <c r="F1558" s="106" t="s">
        <v>6640</v>
      </c>
      <c r="G1558" s="105">
        <v>4</v>
      </c>
      <c r="H1558" s="106" t="s">
        <v>7</v>
      </c>
      <c r="I1558" s="105" t="s">
        <v>39</v>
      </c>
      <c r="J1558" s="105"/>
      <c r="K1558" s="105"/>
      <c r="L1558" s="105"/>
      <c r="M1558" s="106" t="s">
        <v>6641</v>
      </c>
      <c r="N1558" s="106" t="s">
        <v>40</v>
      </c>
      <c r="O1558" s="107"/>
      <c r="P1558" s="106" t="s">
        <v>6642</v>
      </c>
    </row>
    <row r="1559" spans="1:16" outlineLevel="2" x14ac:dyDescent="0.3">
      <c r="A1559" s="105" t="s">
        <v>6643</v>
      </c>
      <c r="B1559" s="106"/>
      <c r="C1559" s="106"/>
      <c r="D1559" s="106"/>
      <c r="E1559" s="106" t="s">
        <v>6644</v>
      </c>
      <c r="F1559" s="106" t="s">
        <v>6645</v>
      </c>
      <c r="G1559" s="105">
        <v>4</v>
      </c>
      <c r="H1559" s="106" t="s">
        <v>7</v>
      </c>
      <c r="I1559" s="105" t="s">
        <v>39</v>
      </c>
      <c r="J1559" s="105"/>
      <c r="K1559" s="105"/>
      <c r="L1559" s="105"/>
      <c r="M1559" s="106" t="s">
        <v>6646</v>
      </c>
      <c r="N1559" s="106" t="s">
        <v>40</v>
      </c>
      <c r="O1559" s="107"/>
      <c r="P1559" s="106" t="s">
        <v>6647</v>
      </c>
    </row>
    <row r="1560" spans="1:16" outlineLevel="2" x14ac:dyDescent="0.3">
      <c r="A1560" s="105" t="s">
        <v>6648</v>
      </c>
      <c r="B1560" s="106"/>
      <c r="C1560" s="106"/>
      <c r="D1560" s="106"/>
      <c r="E1560" s="106" t="s">
        <v>6649</v>
      </c>
      <c r="F1560" s="106" t="s">
        <v>6650</v>
      </c>
      <c r="G1560" s="105">
        <v>4</v>
      </c>
      <c r="H1560" s="106" t="s">
        <v>7</v>
      </c>
      <c r="I1560" s="105" t="s">
        <v>39</v>
      </c>
      <c r="J1560" s="105"/>
      <c r="K1560" s="105"/>
      <c r="L1560" s="105"/>
      <c r="M1560" s="106" t="s">
        <v>6651</v>
      </c>
      <c r="N1560" s="106" t="s">
        <v>40</v>
      </c>
      <c r="O1560" s="107"/>
      <c r="P1560" s="106" t="s">
        <v>6652</v>
      </c>
    </row>
    <row r="1561" spans="1:16" outlineLevel="2" x14ac:dyDescent="0.3">
      <c r="A1561" s="105" t="s">
        <v>6653</v>
      </c>
      <c r="B1561" s="106"/>
      <c r="C1561" s="106"/>
      <c r="D1561" s="106"/>
      <c r="E1561" s="106" t="s">
        <v>6654</v>
      </c>
      <c r="F1561" s="106" t="s">
        <v>6655</v>
      </c>
      <c r="G1561" s="105">
        <v>4</v>
      </c>
      <c r="H1561" s="106" t="s">
        <v>7</v>
      </c>
      <c r="I1561" s="105" t="s">
        <v>39</v>
      </c>
      <c r="J1561" s="105"/>
      <c r="K1561" s="105"/>
      <c r="L1561" s="105"/>
      <c r="M1561" s="106" t="s">
        <v>6656</v>
      </c>
      <c r="N1561" s="106" t="s">
        <v>40</v>
      </c>
      <c r="O1561" s="107"/>
      <c r="P1561" s="106" t="s">
        <v>6657</v>
      </c>
    </row>
    <row r="1562" spans="1:16" outlineLevel="2" x14ac:dyDescent="0.3">
      <c r="A1562" s="105" t="s">
        <v>6658</v>
      </c>
      <c r="B1562" s="106"/>
      <c r="C1562" s="106"/>
      <c r="D1562" s="106"/>
      <c r="E1562" s="106" t="s">
        <v>6659</v>
      </c>
      <c r="F1562" s="106" t="s">
        <v>6660</v>
      </c>
      <c r="G1562" s="105">
        <v>4</v>
      </c>
      <c r="H1562" s="106" t="s">
        <v>7</v>
      </c>
      <c r="I1562" s="105" t="s">
        <v>39</v>
      </c>
      <c r="J1562" s="105"/>
      <c r="K1562" s="105"/>
      <c r="L1562" s="105"/>
      <c r="M1562" s="106" t="s">
        <v>6661</v>
      </c>
      <c r="N1562" s="106" t="s">
        <v>40</v>
      </c>
      <c r="O1562" s="107"/>
      <c r="P1562" s="106" t="s">
        <v>6662</v>
      </c>
    </row>
    <row r="1563" spans="1:16" outlineLevel="2" x14ac:dyDescent="0.3">
      <c r="A1563" s="105" t="s">
        <v>6663</v>
      </c>
      <c r="B1563" s="106"/>
      <c r="C1563" s="106"/>
      <c r="D1563" s="106"/>
      <c r="E1563" s="106" t="s">
        <v>6664</v>
      </c>
      <c r="F1563" s="106" t="s">
        <v>6665</v>
      </c>
      <c r="G1563" s="105">
        <v>4</v>
      </c>
      <c r="H1563" s="106" t="s">
        <v>7</v>
      </c>
      <c r="I1563" s="105" t="s">
        <v>39</v>
      </c>
      <c r="J1563" s="105"/>
      <c r="K1563" s="105"/>
      <c r="L1563" s="105"/>
      <c r="M1563" s="106" t="s">
        <v>6666</v>
      </c>
      <c r="N1563" s="106" t="s">
        <v>40</v>
      </c>
      <c r="O1563" s="107"/>
      <c r="P1563" s="106" t="s">
        <v>6667</v>
      </c>
    </row>
    <row r="1564" spans="1:16" outlineLevel="2" x14ac:dyDescent="0.3">
      <c r="A1564" s="105" t="s">
        <v>6668</v>
      </c>
      <c r="B1564" s="106"/>
      <c r="C1564" s="106"/>
      <c r="D1564" s="106"/>
      <c r="E1564" s="106" t="s">
        <v>6669</v>
      </c>
      <c r="F1564" s="106" t="s">
        <v>6670</v>
      </c>
      <c r="G1564" s="105">
        <v>4</v>
      </c>
      <c r="H1564" s="106" t="s">
        <v>7</v>
      </c>
      <c r="I1564" s="105" t="s">
        <v>39</v>
      </c>
      <c r="J1564" s="105"/>
      <c r="K1564" s="105"/>
      <c r="L1564" s="105"/>
      <c r="M1564" s="106" t="s">
        <v>6671</v>
      </c>
      <c r="N1564" s="106" t="s">
        <v>40</v>
      </c>
      <c r="O1564" s="107"/>
      <c r="P1564" s="106" t="s">
        <v>6672</v>
      </c>
    </row>
    <row r="1565" spans="1:16" outlineLevel="2" x14ac:dyDescent="0.3">
      <c r="A1565" s="105" t="s">
        <v>6673</v>
      </c>
      <c r="B1565" s="106"/>
      <c r="C1565" s="106"/>
      <c r="D1565" s="106"/>
      <c r="E1565" s="106" t="s">
        <v>6674</v>
      </c>
      <c r="F1565" s="106" t="s">
        <v>6675</v>
      </c>
      <c r="G1565" s="105">
        <v>4</v>
      </c>
      <c r="H1565" s="106" t="s">
        <v>7</v>
      </c>
      <c r="I1565" s="105" t="s">
        <v>39</v>
      </c>
      <c r="J1565" s="105"/>
      <c r="K1565" s="105"/>
      <c r="L1565" s="105"/>
      <c r="M1565" s="106" t="s">
        <v>6676</v>
      </c>
      <c r="N1565" s="106" t="s">
        <v>40</v>
      </c>
      <c r="O1565" s="107"/>
      <c r="P1565" s="106" t="s">
        <v>6677</v>
      </c>
    </row>
    <row r="1566" spans="1:16" ht="27.6" outlineLevel="1" x14ac:dyDescent="0.3">
      <c r="A1566" s="281" t="s">
        <v>6678</v>
      </c>
      <c r="B1566" s="282"/>
      <c r="C1566" s="283" t="s">
        <v>6679</v>
      </c>
      <c r="D1566" s="282"/>
      <c r="E1566" s="282"/>
      <c r="F1566" s="282"/>
      <c r="G1566" s="281">
        <v>2</v>
      </c>
      <c r="H1566" s="282" t="s">
        <v>25</v>
      </c>
      <c r="I1566" s="281" t="s">
        <v>39</v>
      </c>
      <c r="J1566" s="281">
        <v>5</v>
      </c>
      <c r="K1566" s="281">
        <v>19</v>
      </c>
      <c r="L1566" s="281">
        <v>24</v>
      </c>
      <c r="M1566" s="284" t="s">
        <v>6680</v>
      </c>
      <c r="N1566" s="284" t="s">
        <v>40</v>
      </c>
      <c r="O1566" s="285"/>
      <c r="P1566" s="284" t="s">
        <v>6681</v>
      </c>
    </row>
    <row r="1567" spans="1:16" outlineLevel="2" x14ac:dyDescent="0.3">
      <c r="A1567" s="105" t="s">
        <v>6682</v>
      </c>
      <c r="B1567" s="106"/>
      <c r="C1567" s="106"/>
      <c r="D1567" s="106"/>
      <c r="E1567" s="106" t="s">
        <v>6683</v>
      </c>
      <c r="F1567" s="106" t="s">
        <v>6684</v>
      </c>
      <c r="G1567" s="105">
        <v>4</v>
      </c>
      <c r="H1567" s="106" t="s">
        <v>7</v>
      </c>
      <c r="I1567" s="105" t="s">
        <v>39</v>
      </c>
      <c r="J1567" s="105"/>
      <c r="K1567" s="105"/>
      <c r="L1567" s="105"/>
      <c r="M1567" s="106" t="s">
        <v>6685</v>
      </c>
      <c r="N1567" s="106" t="s">
        <v>40</v>
      </c>
      <c r="O1567" s="107" t="s">
        <v>332</v>
      </c>
      <c r="P1567" s="106" t="s">
        <v>6686</v>
      </c>
    </row>
    <row r="1568" spans="1:16" outlineLevel="2" x14ac:dyDescent="0.3">
      <c r="A1568" s="105" t="s">
        <v>6687</v>
      </c>
      <c r="B1568" s="106"/>
      <c r="C1568" s="106"/>
      <c r="D1568" s="106"/>
      <c r="E1568" s="106" t="s">
        <v>6688</v>
      </c>
      <c r="F1568" s="106" t="s">
        <v>13</v>
      </c>
      <c r="G1568" s="105">
        <v>4</v>
      </c>
      <c r="H1568" s="106" t="s">
        <v>7</v>
      </c>
      <c r="I1568" s="105"/>
      <c r="J1568" s="105"/>
      <c r="K1568" s="105"/>
      <c r="L1568" s="105"/>
      <c r="M1568" s="106"/>
      <c r="N1568" s="106" t="s">
        <v>40</v>
      </c>
      <c r="O1568" s="107" t="s">
        <v>447</v>
      </c>
      <c r="P1568" s="106" t="s">
        <v>6689</v>
      </c>
    </row>
    <row r="1569" spans="1:16" outlineLevel="2" x14ac:dyDescent="0.3">
      <c r="A1569" s="105" t="s">
        <v>6690</v>
      </c>
      <c r="B1569" s="106"/>
      <c r="C1569" s="106"/>
      <c r="D1569" s="106"/>
      <c r="E1569" s="106" t="s">
        <v>6691</v>
      </c>
      <c r="F1569" s="106" t="s">
        <v>13</v>
      </c>
      <c r="G1569" s="105">
        <v>4</v>
      </c>
      <c r="H1569" s="106" t="s">
        <v>7</v>
      </c>
      <c r="I1569" s="105"/>
      <c r="J1569" s="105"/>
      <c r="K1569" s="105"/>
      <c r="L1569" s="105"/>
      <c r="M1569" s="106"/>
      <c r="N1569" s="106" t="s">
        <v>40</v>
      </c>
      <c r="O1569" s="107" t="s">
        <v>447</v>
      </c>
      <c r="P1569" s="106" t="s">
        <v>6692</v>
      </c>
    </row>
    <row r="1570" spans="1:16" outlineLevel="2" x14ac:dyDescent="0.3">
      <c r="A1570" s="105" t="s">
        <v>6693</v>
      </c>
      <c r="B1570" s="106"/>
      <c r="C1570" s="106"/>
      <c r="D1570" s="106"/>
      <c r="E1570" s="106" t="s">
        <v>6694</v>
      </c>
      <c r="F1570" s="106" t="s">
        <v>6695</v>
      </c>
      <c r="G1570" s="105">
        <v>4</v>
      </c>
      <c r="H1570" s="106" t="s">
        <v>7</v>
      </c>
      <c r="I1570" s="105" t="s">
        <v>39</v>
      </c>
      <c r="J1570" s="105"/>
      <c r="K1570" s="105"/>
      <c r="L1570" s="105"/>
      <c r="M1570" s="106" t="s">
        <v>6696</v>
      </c>
      <c r="N1570" s="106" t="s">
        <v>40</v>
      </c>
      <c r="O1570" s="107" t="s">
        <v>332</v>
      </c>
      <c r="P1570" s="106" t="s">
        <v>6697</v>
      </c>
    </row>
    <row r="1571" spans="1:16" outlineLevel="2" x14ac:dyDescent="0.3">
      <c r="A1571" s="105" t="s">
        <v>6698</v>
      </c>
      <c r="B1571" s="106"/>
      <c r="C1571" s="106"/>
      <c r="D1571" s="106"/>
      <c r="E1571" s="106" t="s">
        <v>6699</v>
      </c>
      <c r="F1571" s="106" t="s">
        <v>13</v>
      </c>
      <c r="G1571" s="105">
        <v>4</v>
      </c>
      <c r="H1571" s="106" t="s">
        <v>7</v>
      </c>
      <c r="I1571" s="105"/>
      <c r="J1571" s="105"/>
      <c r="K1571" s="105"/>
      <c r="L1571" s="105"/>
      <c r="M1571" s="106"/>
      <c r="N1571" s="106" t="s">
        <v>40</v>
      </c>
      <c r="O1571" s="107" t="s">
        <v>447</v>
      </c>
      <c r="P1571" s="106" t="s">
        <v>6700</v>
      </c>
    </row>
    <row r="1572" spans="1:16" outlineLevel="2" x14ac:dyDescent="0.3">
      <c r="A1572" s="105" t="s">
        <v>6701</v>
      </c>
      <c r="B1572" s="106"/>
      <c r="C1572" s="106"/>
      <c r="D1572" s="106"/>
      <c r="E1572" s="106" t="s">
        <v>6702</v>
      </c>
      <c r="F1572" s="106" t="s">
        <v>6695</v>
      </c>
      <c r="G1572" s="105">
        <v>4</v>
      </c>
      <c r="H1572" s="106" t="s">
        <v>7</v>
      </c>
      <c r="I1572" s="105" t="s">
        <v>39</v>
      </c>
      <c r="J1572" s="105"/>
      <c r="K1572" s="105"/>
      <c r="L1572" s="105"/>
      <c r="M1572" s="106" t="s">
        <v>6703</v>
      </c>
      <c r="N1572" s="106" t="s">
        <v>40</v>
      </c>
      <c r="O1572" s="107" t="s">
        <v>332</v>
      </c>
      <c r="P1572" s="106" t="s">
        <v>6704</v>
      </c>
    </row>
    <row r="1573" spans="1:16" outlineLevel="2" x14ac:dyDescent="0.3">
      <c r="A1573" s="105" t="s">
        <v>6705</v>
      </c>
      <c r="B1573" s="106"/>
      <c r="C1573" s="106"/>
      <c r="D1573" s="106"/>
      <c r="E1573" s="106" t="s">
        <v>6706</v>
      </c>
      <c r="F1573" s="106" t="s">
        <v>13</v>
      </c>
      <c r="G1573" s="105">
        <v>4</v>
      </c>
      <c r="H1573" s="106" t="s">
        <v>7</v>
      </c>
      <c r="I1573" s="105"/>
      <c r="J1573" s="105"/>
      <c r="K1573" s="105"/>
      <c r="L1573" s="105"/>
      <c r="M1573" s="106"/>
      <c r="N1573" s="106" t="s">
        <v>40</v>
      </c>
      <c r="O1573" s="107" t="s">
        <v>447</v>
      </c>
      <c r="P1573" s="106" t="s">
        <v>6707</v>
      </c>
    </row>
    <row r="1574" spans="1:16" outlineLevel="2" x14ac:dyDescent="0.3">
      <c r="A1574" s="105" t="s">
        <v>6708</v>
      </c>
      <c r="B1574" s="106"/>
      <c r="C1574" s="106"/>
      <c r="D1574" s="106"/>
      <c r="E1574" s="106" t="s">
        <v>6709</v>
      </c>
      <c r="F1574" s="106" t="s">
        <v>13</v>
      </c>
      <c r="G1574" s="105">
        <v>4</v>
      </c>
      <c r="H1574" s="106" t="s">
        <v>7</v>
      </c>
      <c r="I1574" s="105"/>
      <c r="J1574" s="105"/>
      <c r="K1574" s="105"/>
      <c r="L1574" s="105"/>
      <c r="M1574" s="106"/>
      <c r="N1574" s="106" t="s">
        <v>40</v>
      </c>
      <c r="O1574" s="107" t="s">
        <v>447</v>
      </c>
      <c r="P1574" s="106" t="s">
        <v>6710</v>
      </c>
    </row>
    <row r="1575" spans="1:16" outlineLevel="2" x14ac:dyDescent="0.3">
      <c r="A1575" s="105" t="s">
        <v>6711</v>
      </c>
      <c r="B1575" s="106"/>
      <c r="C1575" s="106"/>
      <c r="D1575" s="106"/>
      <c r="E1575" s="106" t="s">
        <v>6712</v>
      </c>
      <c r="F1575" s="106" t="s">
        <v>13</v>
      </c>
      <c r="G1575" s="105">
        <v>4</v>
      </c>
      <c r="H1575" s="106" t="s">
        <v>7</v>
      </c>
      <c r="I1575" s="105"/>
      <c r="J1575" s="105"/>
      <c r="K1575" s="105"/>
      <c r="L1575" s="105"/>
      <c r="M1575" s="106"/>
      <c r="N1575" s="106" t="s">
        <v>40</v>
      </c>
      <c r="O1575" s="107" t="s">
        <v>447</v>
      </c>
      <c r="P1575" s="106" t="s">
        <v>6713</v>
      </c>
    </row>
    <row r="1576" spans="1:16" outlineLevel="2" x14ac:dyDescent="0.3">
      <c r="A1576" s="105" t="s">
        <v>6714</v>
      </c>
      <c r="B1576" s="106"/>
      <c r="C1576" s="106"/>
      <c r="D1576" s="106"/>
      <c r="E1576" s="106" t="s">
        <v>6715</v>
      </c>
      <c r="F1576" s="106" t="s">
        <v>13</v>
      </c>
      <c r="G1576" s="105">
        <v>4</v>
      </c>
      <c r="H1576" s="106" t="s">
        <v>7</v>
      </c>
      <c r="I1576" s="105"/>
      <c r="J1576" s="105"/>
      <c r="K1576" s="105"/>
      <c r="L1576" s="105"/>
      <c r="M1576" s="106"/>
      <c r="N1576" s="106" t="s">
        <v>40</v>
      </c>
      <c r="O1576" s="107" t="s">
        <v>447</v>
      </c>
      <c r="P1576" s="106" t="s">
        <v>6716</v>
      </c>
    </row>
    <row r="1577" spans="1:16" outlineLevel="2" x14ac:dyDescent="0.3">
      <c r="A1577" s="105" t="s">
        <v>6717</v>
      </c>
      <c r="B1577" s="106"/>
      <c r="C1577" s="106"/>
      <c r="D1577" s="106"/>
      <c r="E1577" s="106" t="s">
        <v>6718</v>
      </c>
      <c r="F1577" s="106" t="s">
        <v>13</v>
      </c>
      <c r="G1577" s="105">
        <v>4</v>
      </c>
      <c r="H1577" s="106" t="s">
        <v>7</v>
      </c>
      <c r="I1577" s="105"/>
      <c r="J1577" s="105"/>
      <c r="K1577" s="105"/>
      <c r="L1577" s="105"/>
      <c r="M1577" s="106"/>
      <c r="N1577" s="106" t="s">
        <v>40</v>
      </c>
      <c r="O1577" s="107" t="s">
        <v>447</v>
      </c>
      <c r="P1577" s="106" t="s">
        <v>6719</v>
      </c>
    </row>
    <row r="1578" spans="1:16" outlineLevel="2" x14ac:dyDescent="0.3">
      <c r="A1578" s="105" t="s">
        <v>6720</v>
      </c>
      <c r="B1578" s="106"/>
      <c r="C1578" s="106"/>
      <c r="D1578" s="106"/>
      <c r="E1578" s="106" t="s">
        <v>6721</v>
      </c>
      <c r="F1578" s="106" t="s">
        <v>13</v>
      </c>
      <c r="G1578" s="105">
        <v>4</v>
      </c>
      <c r="H1578" s="106" t="s">
        <v>7</v>
      </c>
      <c r="I1578" s="105"/>
      <c r="J1578" s="105"/>
      <c r="K1578" s="105"/>
      <c r="L1578" s="105"/>
      <c r="M1578" s="106" t="s">
        <v>6722</v>
      </c>
      <c r="N1578" s="106" t="s">
        <v>40</v>
      </c>
      <c r="O1578" s="107" t="s">
        <v>447</v>
      </c>
      <c r="P1578" s="106" t="s">
        <v>6723</v>
      </c>
    </row>
    <row r="1579" spans="1:16" outlineLevel="2" x14ac:dyDescent="0.3">
      <c r="A1579" s="105" t="s">
        <v>6724</v>
      </c>
      <c r="B1579" s="106"/>
      <c r="C1579" s="106"/>
      <c r="D1579" s="106"/>
      <c r="E1579" s="106" t="s">
        <v>6725</v>
      </c>
      <c r="F1579" s="106" t="s">
        <v>13</v>
      </c>
      <c r="G1579" s="105">
        <v>4</v>
      </c>
      <c r="H1579" s="106" t="s">
        <v>7</v>
      </c>
      <c r="I1579" s="105"/>
      <c r="J1579" s="105"/>
      <c r="K1579" s="105"/>
      <c r="L1579" s="105"/>
      <c r="M1579" s="106"/>
      <c r="N1579" s="106" t="s">
        <v>40</v>
      </c>
      <c r="O1579" s="107" t="s">
        <v>447</v>
      </c>
      <c r="P1579" s="106" t="s">
        <v>6726</v>
      </c>
    </row>
    <row r="1580" spans="1:16" outlineLevel="2" x14ac:dyDescent="0.3">
      <c r="A1580" s="105" t="s">
        <v>6727</v>
      </c>
      <c r="B1580" s="106"/>
      <c r="C1580" s="106"/>
      <c r="D1580" s="106"/>
      <c r="E1580" s="106" t="s">
        <v>6728</v>
      </c>
      <c r="F1580" s="106" t="s">
        <v>13</v>
      </c>
      <c r="G1580" s="105">
        <v>4</v>
      </c>
      <c r="H1580" s="106" t="s">
        <v>7</v>
      </c>
      <c r="I1580" s="105"/>
      <c r="J1580" s="105"/>
      <c r="K1580" s="105"/>
      <c r="L1580" s="105"/>
      <c r="M1580" s="106"/>
      <c r="N1580" s="106" t="s">
        <v>40</v>
      </c>
      <c r="O1580" s="107" t="s">
        <v>447</v>
      </c>
      <c r="P1580" s="106" t="s">
        <v>6729</v>
      </c>
    </row>
    <row r="1581" spans="1:16" outlineLevel="2" x14ac:dyDescent="0.3">
      <c r="A1581" s="105" t="s">
        <v>6730</v>
      </c>
      <c r="B1581" s="106"/>
      <c r="C1581" s="106"/>
      <c r="D1581" s="106"/>
      <c r="E1581" s="106" t="s">
        <v>6731</v>
      </c>
      <c r="F1581" s="106" t="s">
        <v>13</v>
      </c>
      <c r="G1581" s="105">
        <v>4</v>
      </c>
      <c r="H1581" s="106" t="s">
        <v>7</v>
      </c>
      <c r="I1581" s="105"/>
      <c r="J1581" s="105"/>
      <c r="K1581" s="105"/>
      <c r="L1581" s="105"/>
      <c r="M1581" s="106"/>
      <c r="N1581" s="106" t="s">
        <v>40</v>
      </c>
      <c r="O1581" s="107" t="s">
        <v>447</v>
      </c>
      <c r="P1581" s="106" t="s">
        <v>6732</v>
      </c>
    </row>
    <row r="1582" spans="1:16" outlineLevel="2" x14ac:dyDescent="0.3">
      <c r="A1582" s="105" t="s">
        <v>6733</v>
      </c>
      <c r="B1582" s="106"/>
      <c r="C1582" s="106"/>
      <c r="D1582" s="106"/>
      <c r="E1582" s="106" t="s">
        <v>6734</v>
      </c>
      <c r="F1582" s="106" t="s">
        <v>13</v>
      </c>
      <c r="G1582" s="105">
        <v>4</v>
      </c>
      <c r="H1582" s="106" t="s">
        <v>7</v>
      </c>
      <c r="I1582" s="105"/>
      <c r="J1582" s="105"/>
      <c r="K1582" s="105"/>
      <c r="L1582" s="105"/>
      <c r="M1582" s="106"/>
      <c r="N1582" s="106" t="s">
        <v>40</v>
      </c>
      <c r="O1582" s="107" t="s">
        <v>447</v>
      </c>
      <c r="P1582" s="106" t="s">
        <v>6735</v>
      </c>
    </row>
    <row r="1583" spans="1:16" outlineLevel="2" x14ac:dyDescent="0.3">
      <c r="A1583" s="105" t="s">
        <v>6736</v>
      </c>
      <c r="B1583" s="106"/>
      <c r="C1583" s="106"/>
      <c r="D1583" s="106"/>
      <c r="E1583" s="106" t="s">
        <v>6737</v>
      </c>
      <c r="F1583" s="106" t="s">
        <v>3538</v>
      </c>
      <c r="G1583" s="105">
        <v>4</v>
      </c>
      <c r="H1583" s="106" t="s">
        <v>7</v>
      </c>
      <c r="I1583" s="105" t="s">
        <v>39</v>
      </c>
      <c r="J1583" s="105"/>
      <c r="K1583" s="105"/>
      <c r="L1583" s="105"/>
      <c r="M1583" s="106" t="s">
        <v>6738</v>
      </c>
      <c r="N1583" s="106" t="s">
        <v>40</v>
      </c>
      <c r="O1583" s="107" t="s">
        <v>332</v>
      </c>
      <c r="P1583" s="106" t="s">
        <v>6739</v>
      </c>
    </row>
    <row r="1584" spans="1:16" outlineLevel="2" x14ac:dyDescent="0.3">
      <c r="A1584" s="105" t="s">
        <v>6740</v>
      </c>
      <c r="B1584" s="106"/>
      <c r="C1584" s="106"/>
      <c r="D1584" s="106"/>
      <c r="E1584" s="106" t="s">
        <v>6741</v>
      </c>
      <c r="F1584" s="106" t="s">
        <v>13</v>
      </c>
      <c r="G1584" s="105">
        <v>4</v>
      </c>
      <c r="H1584" s="106" t="s">
        <v>7</v>
      </c>
      <c r="I1584" s="105"/>
      <c r="J1584" s="105"/>
      <c r="K1584" s="105"/>
      <c r="L1584" s="105"/>
      <c r="M1584" s="106"/>
      <c r="N1584" s="106" t="s">
        <v>40</v>
      </c>
      <c r="O1584" s="107" t="s">
        <v>447</v>
      </c>
      <c r="P1584" s="106" t="s">
        <v>6742</v>
      </c>
    </row>
    <row r="1585" spans="1:16" outlineLevel="2" x14ac:dyDescent="0.3">
      <c r="A1585" s="105" t="s">
        <v>6743</v>
      </c>
      <c r="B1585" s="106"/>
      <c r="C1585" s="106"/>
      <c r="D1585" s="106"/>
      <c r="E1585" s="106" t="s">
        <v>6744</v>
      </c>
      <c r="F1585" s="106" t="s">
        <v>13</v>
      </c>
      <c r="G1585" s="105">
        <v>4</v>
      </c>
      <c r="H1585" s="106" t="s">
        <v>7</v>
      </c>
      <c r="I1585" s="105"/>
      <c r="J1585" s="105"/>
      <c r="K1585" s="105"/>
      <c r="L1585" s="105"/>
      <c r="M1585" s="106"/>
      <c r="N1585" s="106" t="s">
        <v>40</v>
      </c>
      <c r="O1585" s="107" t="s">
        <v>447</v>
      </c>
      <c r="P1585" s="106" t="s">
        <v>6745</v>
      </c>
    </row>
    <row r="1586" spans="1:16" outlineLevel="2" x14ac:dyDescent="0.3">
      <c r="A1586" s="105" t="s">
        <v>6746</v>
      </c>
      <c r="B1586" s="106"/>
      <c r="C1586" s="106"/>
      <c r="D1586" s="106"/>
      <c r="E1586" s="106" t="s">
        <v>6747</v>
      </c>
      <c r="F1586" s="106" t="s">
        <v>13</v>
      </c>
      <c r="G1586" s="105">
        <v>4</v>
      </c>
      <c r="H1586" s="106" t="s">
        <v>7</v>
      </c>
      <c r="I1586" s="105"/>
      <c r="J1586" s="105"/>
      <c r="K1586" s="105"/>
      <c r="L1586" s="105"/>
      <c r="M1586" s="106"/>
      <c r="N1586" s="106" t="s">
        <v>40</v>
      </c>
      <c r="O1586" s="107" t="s">
        <v>447</v>
      </c>
      <c r="P1586" s="106" t="s">
        <v>6748</v>
      </c>
    </row>
    <row r="1587" spans="1:16" outlineLevel="2" x14ac:dyDescent="0.3">
      <c r="A1587" s="105" t="s">
        <v>6749</v>
      </c>
      <c r="B1587" s="106"/>
      <c r="C1587" s="106"/>
      <c r="D1587" s="106"/>
      <c r="E1587" s="106" t="s">
        <v>6750</v>
      </c>
      <c r="F1587" s="106" t="s">
        <v>13</v>
      </c>
      <c r="G1587" s="105">
        <v>4</v>
      </c>
      <c r="H1587" s="106" t="s">
        <v>7</v>
      </c>
      <c r="I1587" s="105"/>
      <c r="J1587" s="105"/>
      <c r="K1587" s="105"/>
      <c r="L1587" s="105"/>
      <c r="M1587" s="106"/>
      <c r="N1587" s="106" t="s">
        <v>40</v>
      </c>
      <c r="O1587" s="107" t="s">
        <v>447</v>
      </c>
      <c r="P1587" s="106" t="s">
        <v>6751</v>
      </c>
    </row>
    <row r="1588" spans="1:16" outlineLevel="2" x14ac:dyDescent="0.3">
      <c r="A1588" s="105" t="s">
        <v>6752</v>
      </c>
      <c r="B1588" s="106"/>
      <c r="C1588" s="106"/>
      <c r="D1588" s="106"/>
      <c r="E1588" s="106" t="s">
        <v>6753</v>
      </c>
      <c r="F1588" s="106" t="s">
        <v>13</v>
      </c>
      <c r="G1588" s="105">
        <v>4</v>
      </c>
      <c r="H1588" s="106" t="s">
        <v>7</v>
      </c>
      <c r="I1588" s="105"/>
      <c r="J1588" s="105"/>
      <c r="K1588" s="105"/>
      <c r="L1588" s="105"/>
      <c r="M1588" s="106"/>
      <c r="N1588" s="106" t="s">
        <v>40</v>
      </c>
      <c r="O1588" s="107" t="s">
        <v>447</v>
      </c>
      <c r="P1588" s="106" t="s">
        <v>6754</v>
      </c>
    </row>
    <row r="1589" spans="1:16" outlineLevel="2" x14ac:dyDescent="0.3">
      <c r="A1589" s="105" t="s">
        <v>6755</v>
      </c>
      <c r="B1589" s="106"/>
      <c r="C1589" s="106"/>
      <c r="D1589" s="106"/>
      <c r="E1589" s="106" t="s">
        <v>6756</v>
      </c>
      <c r="F1589" s="106" t="s">
        <v>13</v>
      </c>
      <c r="G1589" s="105">
        <v>4</v>
      </c>
      <c r="H1589" s="106" t="s">
        <v>7</v>
      </c>
      <c r="I1589" s="105"/>
      <c r="J1589" s="105"/>
      <c r="K1589" s="105"/>
      <c r="L1589" s="105"/>
      <c r="M1589" s="106"/>
      <c r="N1589" s="106" t="s">
        <v>40</v>
      </c>
      <c r="O1589" s="107" t="s">
        <v>447</v>
      </c>
      <c r="P1589" s="106" t="s">
        <v>6757</v>
      </c>
    </row>
    <row r="1590" spans="1:16" outlineLevel="2" x14ac:dyDescent="0.3">
      <c r="A1590" s="105" t="s">
        <v>6758</v>
      </c>
      <c r="B1590" s="106"/>
      <c r="C1590" s="106"/>
      <c r="D1590" s="106"/>
      <c r="E1590" s="106" t="s">
        <v>6759</v>
      </c>
      <c r="F1590" s="106" t="s">
        <v>6760</v>
      </c>
      <c r="G1590" s="105">
        <v>4</v>
      </c>
      <c r="H1590" s="106" t="s">
        <v>7</v>
      </c>
      <c r="I1590" s="105" t="s">
        <v>39</v>
      </c>
      <c r="J1590" s="105"/>
      <c r="K1590" s="105"/>
      <c r="L1590" s="105"/>
      <c r="M1590" s="106" t="s">
        <v>6761</v>
      </c>
      <c r="N1590" s="106" t="s">
        <v>40</v>
      </c>
      <c r="O1590" s="107" t="s">
        <v>332</v>
      </c>
      <c r="P1590" s="106" t="s">
        <v>6762</v>
      </c>
    </row>
    <row r="1591" spans="1:16" ht="27.6" outlineLevel="1" x14ac:dyDescent="0.3">
      <c r="A1591" s="281" t="s">
        <v>6763</v>
      </c>
      <c r="B1591" s="282"/>
      <c r="C1591" s="283" t="s">
        <v>6764</v>
      </c>
      <c r="D1591" s="282"/>
      <c r="E1591" s="282"/>
      <c r="F1591" s="282"/>
      <c r="G1591" s="281">
        <v>2</v>
      </c>
      <c r="H1591" s="282" t="s">
        <v>25</v>
      </c>
      <c r="I1591" s="281" t="s">
        <v>39</v>
      </c>
      <c r="J1591" s="281">
        <v>2</v>
      </c>
      <c r="K1591" s="281">
        <v>0</v>
      </c>
      <c r="L1591" s="281">
        <v>2</v>
      </c>
      <c r="M1591" s="284" t="s">
        <v>6765</v>
      </c>
      <c r="N1591" s="284" t="s">
        <v>40</v>
      </c>
      <c r="O1591" s="285"/>
      <c r="P1591" s="284" t="s">
        <v>6766</v>
      </c>
    </row>
    <row r="1592" spans="1:16" outlineLevel="2" x14ac:dyDescent="0.3">
      <c r="A1592" s="105" t="s">
        <v>6767</v>
      </c>
      <c r="B1592" s="106"/>
      <c r="C1592" s="106"/>
      <c r="D1592" s="106"/>
      <c r="E1592" s="106" t="s">
        <v>6768</v>
      </c>
      <c r="F1592" s="106" t="s">
        <v>6769</v>
      </c>
      <c r="G1592" s="105">
        <v>4</v>
      </c>
      <c r="H1592" s="106" t="s">
        <v>7</v>
      </c>
      <c r="I1592" s="105" t="s">
        <v>39</v>
      </c>
      <c r="J1592" s="105"/>
      <c r="K1592" s="105"/>
      <c r="L1592" s="105"/>
      <c r="M1592" s="106" t="s">
        <v>6770</v>
      </c>
      <c r="N1592" s="106" t="s">
        <v>40</v>
      </c>
      <c r="O1592" s="107"/>
      <c r="P1592" s="106" t="s">
        <v>6771</v>
      </c>
    </row>
    <row r="1593" spans="1:16" outlineLevel="2" x14ac:dyDescent="0.3">
      <c r="A1593" s="105" t="s">
        <v>6772</v>
      </c>
      <c r="B1593" s="106"/>
      <c r="C1593" s="106"/>
      <c r="D1593" s="106"/>
      <c r="E1593" s="106" t="s">
        <v>6773</v>
      </c>
      <c r="F1593" s="106" t="s">
        <v>6774</v>
      </c>
      <c r="G1593" s="105">
        <v>4</v>
      </c>
      <c r="H1593" s="106" t="s">
        <v>7</v>
      </c>
      <c r="I1593" s="105" t="s">
        <v>39</v>
      </c>
      <c r="J1593" s="105"/>
      <c r="K1593" s="105"/>
      <c r="L1593" s="105"/>
      <c r="M1593" s="106" t="s">
        <v>6775</v>
      </c>
      <c r="N1593" s="106" t="s">
        <v>40</v>
      </c>
      <c r="O1593" s="107"/>
      <c r="P1593" s="106" t="s">
        <v>6776</v>
      </c>
    </row>
    <row r="1594" spans="1:16" ht="27.6" outlineLevel="1" x14ac:dyDescent="0.3">
      <c r="A1594" s="281" t="s">
        <v>6777</v>
      </c>
      <c r="B1594" s="282"/>
      <c r="C1594" s="283" t="s">
        <v>6778</v>
      </c>
      <c r="D1594" s="282"/>
      <c r="E1594" s="282"/>
      <c r="F1594" s="282"/>
      <c r="G1594" s="281">
        <v>2</v>
      </c>
      <c r="H1594" s="282" t="s">
        <v>25</v>
      </c>
      <c r="I1594" s="281" t="s">
        <v>39</v>
      </c>
      <c r="J1594" s="281">
        <v>38</v>
      </c>
      <c r="K1594" s="281">
        <v>0</v>
      </c>
      <c r="L1594" s="281">
        <v>38</v>
      </c>
      <c r="M1594" s="284" t="s">
        <v>6779</v>
      </c>
      <c r="N1594" s="284" t="s">
        <v>40</v>
      </c>
      <c r="O1594" s="285"/>
      <c r="P1594" s="284" t="s">
        <v>6780</v>
      </c>
    </row>
    <row r="1595" spans="1:16" outlineLevel="2" x14ac:dyDescent="0.3">
      <c r="A1595" s="105" t="s">
        <v>6781</v>
      </c>
      <c r="B1595" s="106"/>
      <c r="C1595" s="106"/>
      <c r="D1595" s="106"/>
      <c r="E1595" s="106" t="s">
        <v>6782</v>
      </c>
      <c r="F1595" s="106" t="s">
        <v>6783</v>
      </c>
      <c r="G1595" s="105">
        <v>4</v>
      </c>
      <c r="H1595" s="106" t="s">
        <v>7</v>
      </c>
      <c r="I1595" s="105" t="s">
        <v>39</v>
      </c>
      <c r="J1595" s="105"/>
      <c r="K1595" s="105"/>
      <c r="L1595" s="105"/>
      <c r="M1595" s="106" t="s">
        <v>6784</v>
      </c>
      <c r="N1595" s="106" t="s">
        <v>40</v>
      </c>
      <c r="O1595" s="107"/>
      <c r="P1595" s="106" t="s">
        <v>6785</v>
      </c>
    </row>
    <row r="1596" spans="1:16" outlineLevel="2" x14ac:dyDescent="0.3">
      <c r="A1596" s="105" t="s">
        <v>6786</v>
      </c>
      <c r="B1596" s="106"/>
      <c r="C1596" s="106"/>
      <c r="D1596" s="106"/>
      <c r="E1596" s="106" t="s">
        <v>6787</v>
      </c>
      <c r="F1596" s="106" t="s">
        <v>6788</v>
      </c>
      <c r="G1596" s="105">
        <v>4</v>
      </c>
      <c r="H1596" s="106" t="s">
        <v>7</v>
      </c>
      <c r="I1596" s="105" t="s">
        <v>39</v>
      </c>
      <c r="J1596" s="105"/>
      <c r="K1596" s="105"/>
      <c r="L1596" s="105"/>
      <c r="M1596" s="106" t="s">
        <v>6789</v>
      </c>
      <c r="N1596" s="106" t="s">
        <v>40</v>
      </c>
      <c r="O1596" s="107"/>
      <c r="P1596" s="106" t="s">
        <v>6790</v>
      </c>
    </row>
    <row r="1597" spans="1:16" outlineLevel="2" x14ac:dyDescent="0.3">
      <c r="A1597" s="105" t="s">
        <v>6791</v>
      </c>
      <c r="B1597" s="106"/>
      <c r="C1597" s="106"/>
      <c r="D1597" s="106"/>
      <c r="E1597" s="106" t="s">
        <v>6792</v>
      </c>
      <c r="F1597" s="106" t="s">
        <v>456</v>
      </c>
      <c r="G1597" s="105">
        <v>4</v>
      </c>
      <c r="H1597" s="106" t="s">
        <v>7</v>
      </c>
      <c r="I1597" s="105" t="s">
        <v>39</v>
      </c>
      <c r="J1597" s="105"/>
      <c r="K1597" s="105"/>
      <c r="L1597" s="105"/>
      <c r="M1597" s="106" t="s">
        <v>6793</v>
      </c>
      <c r="N1597" s="106" t="s">
        <v>40</v>
      </c>
      <c r="O1597" s="107" t="s">
        <v>332</v>
      </c>
      <c r="P1597" s="106" t="s">
        <v>6794</v>
      </c>
    </row>
    <row r="1598" spans="1:16" outlineLevel="2" x14ac:dyDescent="0.3">
      <c r="A1598" s="105" t="s">
        <v>6795</v>
      </c>
      <c r="B1598" s="106"/>
      <c r="C1598" s="106"/>
      <c r="D1598" s="106"/>
      <c r="E1598" s="106" t="s">
        <v>6796</v>
      </c>
      <c r="F1598" s="106" t="s">
        <v>6797</v>
      </c>
      <c r="G1598" s="105">
        <v>4</v>
      </c>
      <c r="H1598" s="106" t="s">
        <v>7</v>
      </c>
      <c r="I1598" s="105" t="s">
        <v>39</v>
      </c>
      <c r="J1598" s="105"/>
      <c r="K1598" s="105"/>
      <c r="L1598" s="105"/>
      <c r="M1598" s="106" t="s">
        <v>6798</v>
      </c>
      <c r="N1598" s="106" t="s">
        <v>40</v>
      </c>
      <c r="O1598" s="107"/>
      <c r="P1598" s="106" t="s">
        <v>6799</v>
      </c>
    </row>
    <row r="1599" spans="1:16" outlineLevel="2" x14ac:dyDescent="0.3">
      <c r="A1599" s="105" t="s">
        <v>6800</v>
      </c>
      <c r="B1599" s="106"/>
      <c r="C1599" s="106"/>
      <c r="D1599" s="106"/>
      <c r="E1599" s="106" t="s">
        <v>420</v>
      </c>
      <c r="F1599" s="106" t="s">
        <v>6801</v>
      </c>
      <c r="G1599" s="105">
        <v>4</v>
      </c>
      <c r="H1599" s="106" t="s">
        <v>7</v>
      </c>
      <c r="I1599" s="105" t="s">
        <v>39</v>
      </c>
      <c r="J1599" s="105"/>
      <c r="K1599" s="105"/>
      <c r="L1599" s="105"/>
      <c r="M1599" s="106" t="s">
        <v>6802</v>
      </c>
      <c r="N1599" s="106" t="s">
        <v>40</v>
      </c>
      <c r="O1599" s="107"/>
      <c r="P1599" s="106" t="s">
        <v>6803</v>
      </c>
    </row>
    <row r="1600" spans="1:16" outlineLevel="2" x14ac:dyDescent="0.3">
      <c r="A1600" s="105" t="s">
        <v>6804</v>
      </c>
      <c r="B1600" s="106"/>
      <c r="C1600" s="106"/>
      <c r="D1600" s="106"/>
      <c r="E1600" s="106" t="s">
        <v>6805</v>
      </c>
      <c r="F1600" s="106" t="s">
        <v>6806</v>
      </c>
      <c r="G1600" s="105">
        <v>4</v>
      </c>
      <c r="H1600" s="106" t="s">
        <v>7</v>
      </c>
      <c r="I1600" s="105" t="s">
        <v>39</v>
      </c>
      <c r="J1600" s="105"/>
      <c r="K1600" s="105"/>
      <c r="L1600" s="105"/>
      <c r="M1600" s="106" t="s">
        <v>6807</v>
      </c>
      <c r="N1600" s="106" t="s">
        <v>40</v>
      </c>
      <c r="O1600" s="107"/>
      <c r="P1600" s="106" t="s">
        <v>6808</v>
      </c>
    </row>
    <row r="1601" spans="1:16" outlineLevel="2" x14ac:dyDescent="0.3">
      <c r="A1601" s="105" t="s">
        <v>6809</v>
      </c>
      <c r="B1601" s="106"/>
      <c r="C1601" s="106"/>
      <c r="D1601" s="106"/>
      <c r="E1601" s="106" t="s">
        <v>6810</v>
      </c>
      <c r="F1601" s="106" t="s">
        <v>6811</v>
      </c>
      <c r="G1601" s="105">
        <v>4</v>
      </c>
      <c r="H1601" s="106" t="s">
        <v>7</v>
      </c>
      <c r="I1601" s="105" t="s">
        <v>39</v>
      </c>
      <c r="J1601" s="105"/>
      <c r="K1601" s="105"/>
      <c r="L1601" s="105"/>
      <c r="M1601" s="106" t="s">
        <v>6812</v>
      </c>
      <c r="N1601" s="106" t="s">
        <v>40</v>
      </c>
      <c r="O1601" s="107"/>
      <c r="P1601" s="106" t="s">
        <v>6813</v>
      </c>
    </row>
    <row r="1602" spans="1:16" outlineLevel="2" x14ac:dyDescent="0.3">
      <c r="A1602" s="105" t="s">
        <v>6814</v>
      </c>
      <c r="B1602" s="106"/>
      <c r="C1602" s="106"/>
      <c r="D1602" s="106"/>
      <c r="E1602" s="106" t="s">
        <v>6815</v>
      </c>
      <c r="F1602" s="106" t="s">
        <v>6816</v>
      </c>
      <c r="G1602" s="105">
        <v>4</v>
      </c>
      <c r="H1602" s="106" t="s">
        <v>7</v>
      </c>
      <c r="I1602" s="105" t="s">
        <v>39</v>
      </c>
      <c r="J1602" s="105"/>
      <c r="K1602" s="105"/>
      <c r="L1602" s="105"/>
      <c r="M1602" s="106" t="s">
        <v>6817</v>
      </c>
      <c r="N1602" s="106" t="s">
        <v>40</v>
      </c>
      <c r="O1602" s="107"/>
      <c r="P1602" s="106" t="s">
        <v>6818</v>
      </c>
    </row>
    <row r="1603" spans="1:16" outlineLevel="2" x14ac:dyDescent="0.3">
      <c r="A1603" s="105" t="s">
        <v>6819</v>
      </c>
      <c r="B1603" s="106"/>
      <c r="C1603" s="106"/>
      <c r="D1603" s="106"/>
      <c r="E1603" s="106" t="s">
        <v>6820</v>
      </c>
      <c r="F1603" s="106" t="s">
        <v>6821</v>
      </c>
      <c r="G1603" s="105">
        <v>4</v>
      </c>
      <c r="H1603" s="106" t="s">
        <v>7</v>
      </c>
      <c r="I1603" s="105" t="s">
        <v>39</v>
      </c>
      <c r="J1603" s="105"/>
      <c r="K1603" s="105"/>
      <c r="L1603" s="105"/>
      <c r="M1603" s="106" t="s">
        <v>6822</v>
      </c>
      <c r="N1603" s="106" t="s">
        <v>40</v>
      </c>
      <c r="O1603" s="107"/>
      <c r="P1603" s="106" t="s">
        <v>6823</v>
      </c>
    </row>
    <row r="1604" spans="1:16" outlineLevel="2" x14ac:dyDescent="0.3">
      <c r="A1604" s="105" t="s">
        <v>6824</v>
      </c>
      <c r="B1604" s="106"/>
      <c r="C1604" s="106"/>
      <c r="D1604" s="106"/>
      <c r="E1604" s="106" t="s">
        <v>6825</v>
      </c>
      <c r="F1604" s="106" t="s">
        <v>6826</v>
      </c>
      <c r="G1604" s="105">
        <v>4</v>
      </c>
      <c r="H1604" s="106" t="s">
        <v>7</v>
      </c>
      <c r="I1604" s="105" t="s">
        <v>39</v>
      </c>
      <c r="J1604" s="105"/>
      <c r="K1604" s="105"/>
      <c r="L1604" s="105"/>
      <c r="M1604" s="106" t="s">
        <v>226</v>
      </c>
      <c r="N1604" s="106" t="s">
        <v>40</v>
      </c>
      <c r="O1604" s="107"/>
      <c r="P1604" s="106" t="s">
        <v>6827</v>
      </c>
    </row>
    <row r="1605" spans="1:16" outlineLevel="2" x14ac:dyDescent="0.3">
      <c r="A1605" s="105" t="s">
        <v>6828</v>
      </c>
      <c r="B1605" s="106"/>
      <c r="C1605" s="106"/>
      <c r="D1605" s="106"/>
      <c r="E1605" s="106" t="s">
        <v>3727</v>
      </c>
      <c r="F1605" s="106" t="s">
        <v>3728</v>
      </c>
      <c r="G1605" s="105">
        <v>4</v>
      </c>
      <c r="H1605" s="106" t="s">
        <v>7</v>
      </c>
      <c r="I1605" s="105" t="s">
        <v>39</v>
      </c>
      <c r="J1605" s="105"/>
      <c r="K1605" s="105"/>
      <c r="L1605" s="105"/>
      <c r="M1605" s="106" t="s">
        <v>6829</v>
      </c>
      <c r="N1605" s="106" t="s">
        <v>40</v>
      </c>
      <c r="O1605" s="107"/>
      <c r="P1605" s="106" t="s">
        <v>6830</v>
      </c>
    </row>
    <row r="1606" spans="1:16" outlineLevel="2" x14ac:dyDescent="0.3">
      <c r="A1606" s="105" t="s">
        <v>6831</v>
      </c>
      <c r="B1606" s="106"/>
      <c r="C1606" s="106"/>
      <c r="D1606" s="106"/>
      <c r="E1606" s="106" t="s">
        <v>6832</v>
      </c>
      <c r="F1606" s="106" t="s">
        <v>6833</v>
      </c>
      <c r="G1606" s="105">
        <v>4</v>
      </c>
      <c r="H1606" s="106" t="s">
        <v>7</v>
      </c>
      <c r="I1606" s="105" t="s">
        <v>39</v>
      </c>
      <c r="J1606" s="105"/>
      <c r="K1606" s="105"/>
      <c r="L1606" s="105"/>
      <c r="M1606" s="106" t="s">
        <v>6834</v>
      </c>
      <c r="N1606" s="106" t="s">
        <v>40</v>
      </c>
      <c r="O1606" s="107"/>
      <c r="P1606" s="106" t="s">
        <v>6835</v>
      </c>
    </row>
    <row r="1607" spans="1:16" outlineLevel="2" x14ac:dyDescent="0.3">
      <c r="A1607" s="105" t="s">
        <v>6836</v>
      </c>
      <c r="B1607" s="106"/>
      <c r="C1607" s="106"/>
      <c r="D1607" s="106"/>
      <c r="E1607" s="106" t="s">
        <v>6837</v>
      </c>
      <c r="F1607" s="106" t="s">
        <v>6838</v>
      </c>
      <c r="G1607" s="105">
        <v>4</v>
      </c>
      <c r="H1607" s="106" t="s">
        <v>7</v>
      </c>
      <c r="I1607" s="105" t="s">
        <v>39</v>
      </c>
      <c r="J1607" s="105"/>
      <c r="K1607" s="105"/>
      <c r="L1607" s="105"/>
      <c r="M1607" s="106" t="s">
        <v>6839</v>
      </c>
      <c r="N1607" s="106" t="s">
        <v>40</v>
      </c>
      <c r="O1607" s="107"/>
      <c r="P1607" s="106" t="s">
        <v>6840</v>
      </c>
    </row>
    <row r="1608" spans="1:16" outlineLevel="2" x14ac:dyDescent="0.3">
      <c r="A1608" s="105" t="s">
        <v>6841</v>
      </c>
      <c r="B1608" s="106"/>
      <c r="C1608" s="106"/>
      <c r="D1608" s="106"/>
      <c r="E1608" s="106" t="s">
        <v>6842</v>
      </c>
      <c r="F1608" s="106" t="s">
        <v>6843</v>
      </c>
      <c r="G1608" s="105">
        <v>4</v>
      </c>
      <c r="H1608" s="106" t="s">
        <v>7</v>
      </c>
      <c r="I1608" s="105" t="s">
        <v>39</v>
      </c>
      <c r="J1608" s="105"/>
      <c r="K1608" s="105"/>
      <c r="L1608" s="105"/>
      <c r="M1608" s="106" t="s">
        <v>6844</v>
      </c>
      <c r="N1608" s="106" t="s">
        <v>40</v>
      </c>
      <c r="O1608" s="107"/>
      <c r="P1608" s="106" t="s">
        <v>6845</v>
      </c>
    </row>
    <row r="1609" spans="1:16" outlineLevel="2" x14ac:dyDescent="0.3">
      <c r="A1609" s="105" t="s">
        <v>6846</v>
      </c>
      <c r="B1609" s="106"/>
      <c r="C1609" s="106"/>
      <c r="D1609" s="106"/>
      <c r="E1609" s="106" t="s">
        <v>6847</v>
      </c>
      <c r="F1609" s="106" t="s">
        <v>6848</v>
      </c>
      <c r="G1609" s="105">
        <v>4</v>
      </c>
      <c r="H1609" s="106" t="s">
        <v>7</v>
      </c>
      <c r="I1609" s="105" t="s">
        <v>39</v>
      </c>
      <c r="J1609" s="105"/>
      <c r="K1609" s="105"/>
      <c r="L1609" s="105"/>
      <c r="M1609" s="106" t="s">
        <v>6849</v>
      </c>
      <c r="N1609" s="106" t="s">
        <v>40</v>
      </c>
      <c r="O1609" s="107"/>
      <c r="P1609" s="106" t="s">
        <v>6850</v>
      </c>
    </row>
    <row r="1610" spans="1:16" outlineLevel="2" x14ac:dyDescent="0.3">
      <c r="A1610" s="105" t="s">
        <v>6851</v>
      </c>
      <c r="B1610" s="106"/>
      <c r="C1610" s="106"/>
      <c r="D1610" s="106"/>
      <c r="E1610" s="106" t="s">
        <v>6852</v>
      </c>
      <c r="F1610" s="106" t="s">
        <v>6853</v>
      </c>
      <c r="G1610" s="105">
        <v>4</v>
      </c>
      <c r="H1610" s="106" t="s">
        <v>7</v>
      </c>
      <c r="I1610" s="105" t="s">
        <v>39</v>
      </c>
      <c r="J1610" s="105"/>
      <c r="K1610" s="105"/>
      <c r="L1610" s="105"/>
      <c r="M1610" s="106" t="s">
        <v>6854</v>
      </c>
      <c r="N1610" s="106" t="s">
        <v>40</v>
      </c>
      <c r="O1610" s="107"/>
      <c r="P1610" s="106" t="s">
        <v>6855</v>
      </c>
    </row>
    <row r="1611" spans="1:16" outlineLevel="2" x14ac:dyDescent="0.3">
      <c r="A1611" s="105" t="s">
        <v>6856</v>
      </c>
      <c r="B1611" s="106"/>
      <c r="C1611" s="106"/>
      <c r="D1611" s="106"/>
      <c r="E1611" s="106" t="s">
        <v>6857</v>
      </c>
      <c r="F1611" s="106" t="s">
        <v>6858</v>
      </c>
      <c r="G1611" s="105">
        <v>4</v>
      </c>
      <c r="H1611" s="106" t="s">
        <v>7</v>
      </c>
      <c r="I1611" s="105" t="s">
        <v>39</v>
      </c>
      <c r="J1611" s="105"/>
      <c r="K1611" s="105"/>
      <c r="L1611" s="105"/>
      <c r="M1611" s="106" t="s">
        <v>6859</v>
      </c>
      <c r="N1611" s="106" t="s">
        <v>40</v>
      </c>
      <c r="O1611" s="107"/>
      <c r="P1611" s="106" t="s">
        <v>6860</v>
      </c>
    </row>
    <row r="1612" spans="1:16" outlineLevel="2" x14ac:dyDescent="0.3">
      <c r="A1612" s="105" t="s">
        <v>6861</v>
      </c>
      <c r="B1612" s="106"/>
      <c r="C1612" s="106"/>
      <c r="D1612" s="106"/>
      <c r="E1612" s="106" t="s">
        <v>6862</v>
      </c>
      <c r="F1612" s="106" t="s">
        <v>6863</v>
      </c>
      <c r="G1612" s="105">
        <v>4</v>
      </c>
      <c r="H1612" s="106" t="s">
        <v>7</v>
      </c>
      <c r="I1612" s="105" t="s">
        <v>39</v>
      </c>
      <c r="J1612" s="105"/>
      <c r="K1612" s="105"/>
      <c r="L1612" s="105"/>
      <c r="M1612" s="106" t="s">
        <v>6864</v>
      </c>
      <c r="N1612" s="106" t="s">
        <v>40</v>
      </c>
      <c r="O1612" s="107"/>
      <c r="P1612" s="106" t="s">
        <v>6865</v>
      </c>
    </row>
    <row r="1613" spans="1:16" outlineLevel="2" x14ac:dyDescent="0.3">
      <c r="A1613" s="105" t="s">
        <v>6866</v>
      </c>
      <c r="B1613" s="106"/>
      <c r="C1613" s="106"/>
      <c r="D1613" s="106"/>
      <c r="E1613" s="106" t="s">
        <v>6867</v>
      </c>
      <c r="F1613" s="106" t="s">
        <v>6868</v>
      </c>
      <c r="G1613" s="105">
        <v>4</v>
      </c>
      <c r="H1613" s="106" t="s">
        <v>7</v>
      </c>
      <c r="I1613" s="105" t="s">
        <v>39</v>
      </c>
      <c r="J1613" s="105"/>
      <c r="K1613" s="105"/>
      <c r="L1613" s="105"/>
      <c r="M1613" s="106" t="s">
        <v>6869</v>
      </c>
      <c r="N1613" s="106" t="s">
        <v>40</v>
      </c>
      <c r="O1613" s="107"/>
      <c r="P1613" s="106" t="s">
        <v>6870</v>
      </c>
    </row>
    <row r="1614" spans="1:16" outlineLevel="2" x14ac:dyDescent="0.3">
      <c r="A1614" s="105" t="s">
        <v>6871</v>
      </c>
      <c r="B1614" s="106"/>
      <c r="C1614" s="106"/>
      <c r="D1614" s="106"/>
      <c r="E1614" s="106" t="s">
        <v>6872</v>
      </c>
      <c r="F1614" s="106" t="s">
        <v>6873</v>
      </c>
      <c r="G1614" s="105">
        <v>4</v>
      </c>
      <c r="H1614" s="106" t="s">
        <v>7</v>
      </c>
      <c r="I1614" s="105" t="s">
        <v>39</v>
      </c>
      <c r="J1614" s="105"/>
      <c r="K1614" s="105"/>
      <c r="L1614" s="105"/>
      <c r="M1614" s="106" t="s">
        <v>6874</v>
      </c>
      <c r="N1614" s="106" t="s">
        <v>40</v>
      </c>
      <c r="O1614" s="107" t="s">
        <v>332</v>
      </c>
      <c r="P1614" s="106" t="s">
        <v>6875</v>
      </c>
    </row>
    <row r="1615" spans="1:16" outlineLevel="2" x14ac:dyDescent="0.3">
      <c r="A1615" s="105" t="s">
        <v>6876</v>
      </c>
      <c r="B1615" s="106"/>
      <c r="C1615" s="106"/>
      <c r="D1615" s="106"/>
      <c r="E1615" s="106" t="s">
        <v>6877</v>
      </c>
      <c r="F1615" s="106" t="s">
        <v>6878</v>
      </c>
      <c r="G1615" s="105">
        <v>4</v>
      </c>
      <c r="H1615" s="106" t="s">
        <v>7</v>
      </c>
      <c r="I1615" s="105" t="s">
        <v>39</v>
      </c>
      <c r="J1615" s="105"/>
      <c r="K1615" s="105"/>
      <c r="L1615" s="105"/>
      <c r="M1615" s="106" t="s">
        <v>6879</v>
      </c>
      <c r="N1615" s="106" t="s">
        <v>40</v>
      </c>
      <c r="O1615" s="107"/>
      <c r="P1615" s="106" t="s">
        <v>6880</v>
      </c>
    </row>
    <row r="1616" spans="1:16" outlineLevel="2" x14ac:dyDescent="0.3">
      <c r="A1616" s="105" t="s">
        <v>6881</v>
      </c>
      <c r="B1616" s="106"/>
      <c r="C1616" s="106"/>
      <c r="D1616" s="106"/>
      <c r="E1616" s="106" t="s">
        <v>6882</v>
      </c>
      <c r="F1616" s="106" t="s">
        <v>6883</v>
      </c>
      <c r="G1616" s="105">
        <v>4</v>
      </c>
      <c r="H1616" s="106" t="s">
        <v>7</v>
      </c>
      <c r="I1616" s="105" t="s">
        <v>39</v>
      </c>
      <c r="J1616" s="105"/>
      <c r="K1616" s="105"/>
      <c r="L1616" s="105"/>
      <c r="M1616" s="106" t="s">
        <v>6884</v>
      </c>
      <c r="N1616" s="106" t="s">
        <v>40</v>
      </c>
      <c r="O1616" s="107"/>
      <c r="P1616" s="106" t="s">
        <v>6885</v>
      </c>
    </row>
    <row r="1617" spans="1:16" outlineLevel="2" x14ac:dyDescent="0.3">
      <c r="A1617" s="105" t="s">
        <v>6886</v>
      </c>
      <c r="B1617" s="106"/>
      <c r="C1617" s="106"/>
      <c r="D1617" s="106"/>
      <c r="E1617" s="106" t="s">
        <v>475</v>
      </c>
      <c r="F1617" s="106" t="s">
        <v>6887</v>
      </c>
      <c r="G1617" s="105">
        <v>4</v>
      </c>
      <c r="H1617" s="106" t="s">
        <v>7</v>
      </c>
      <c r="I1617" s="105" t="s">
        <v>39</v>
      </c>
      <c r="J1617" s="105"/>
      <c r="K1617" s="105"/>
      <c r="L1617" s="105"/>
      <c r="M1617" s="106" t="s">
        <v>6888</v>
      </c>
      <c r="N1617" s="106" t="s">
        <v>40</v>
      </c>
      <c r="O1617" s="107"/>
      <c r="P1617" s="106" t="s">
        <v>6889</v>
      </c>
    </row>
    <row r="1618" spans="1:16" outlineLevel="2" x14ac:dyDescent="0.3">
      <c r="A1618" s="105" t="s">
        <v>6890</v>
      </c>
      <c r="B1618" s="106"/>
      <c r="C1618" s="106"/>
      <c r="D1618" s="106"/>
      <c r="E1618" s="106" t="s">
        <v>6891</v>
      </c>
      <c r="F1618" s="106" t="s">
        <v>6892</v>
      </c>
      <c r="G1618" s="105">
        <v>4</v>
      </c>
      <c r="H1618" s="106" t="s">
        <v>7</v>
      </c>
      <c r="I1618" s="105" t="s">
        <v>39</v>
      </c>
      <c r="J1618" s="105"/>
      <c r="K1618" s="105"/>
      <c r="L1618" s="105"/>
      <c r="M1618" s="106" t="s">
        <v>6893</v>
      </c>
      <c r="N1618" s="106" t="s">
        <v>40</v>
      </c>
      <c r="O1618" s="107"/>
      <c r="P1618" s="106" t="s">
        <v>6894</v>
      </c>
    </row>
    <row r="1619" spans="1:16" outlineLevel="2" x14ac:dyDescent="0.3">
      <c r="A1619" s="105" t="s">
        <v>6895</v>
      </c>
      <c r="B1619" s="106"/>
      <c r="C1619" s="106"/>
      <c r="D1619" s="106"/>
      <c r="E1619" s="106" t="s">
        <v>6896</v>
      </c>
      <c r="F1619" s="106" t="s">
        <v>6897</v>
      </c>
      <c r="G1619" s="105">
        <v>4</v>
      </c>
      <c r="H1619" s="106" t="s">
        <v>7</v>
      </c>
      <c r="I1619" s="105" t="s">
        <v>39</v>
      </c>
      <c r="J1619" s="105"/>
      <c r="K1619" s="105"/>
      <c r="L1619" s="105"/>
      <c r="M1619" s="106" t="s">
        <v>6898</v>
      </c>
      <c r="N1619" s="106" t="s">
        <v>40</v>
      </c>
      <c r="O1619" s="107"/>
      <c r="P1619" s="106" t="s">
        <v>6899</v>
      </c>
    </row>
    <row r="1620" spans="1:16" outlineLevel="2" x14ac:dyDescent="0.3">
      <c r="A1620" s="105" t="s">
        <v>6900</v>
      </c>
      <c r="B1620" s="106"/>
      <c r="C1620" s="106"/>
      <c r="D1620" s="106"/>
      <c r="E1620" s="106" t="s">
        <v>6901</v>
      </c>
      <c r="F1620" s="106" t="s">
        <v>6902</v>
      </c>
      <c r="G1620" s="105">
        <v>4</v>
      </c>
      <c r="H1620" s="106" t="s">
        <v>7</v>
      </c>
      <c r="I1620" s="105" t="s">
        <v>39</v>
      </c>
      <c r="J1620" s="105"/>
      <c r="K1620" s="105"/>
      <c r="L1620" s="105"/>
      <c r="M1620" s="106"/>
      <c r="N1620" s="106" t="s">
        <v>223</v>
      </c>
      <c r="O1620" s="107"/>
      <c r="P1620" s="106" t="s">
        <v>6903</v>
      </c>
    </row>
    <row r="1621" spans="1:16" outlineLevel="2" x14ac:dyDescent="0.3">
      <c r="A1621" s="105" t="s">
        <v>6904</v>
      </c>
      <c r="B1621" s="106"/>
      <c r="C1621" s="106"/>
      <c r="D1621" s="106"/>
      <c r="E1621" s="106" t="s">
        <v>6905</v>
      </c>
      <c r="F1621" s="106" t="s">
        <v>6906</v>
      </c>
      <c r="G1621" s="105">
        <v>4</v>
      </c>
      <c r="H1621" s="106" t="s">
        <v>7</v>
      </c>
      <c r="I1621" s="105" t="s">
        <v>39</v>
      </c>
      <c r="J1621" s="105"/>
      <c r="K1621" s="105"/>
      <c r="L1621" s="105"/>
      <c r="M1621" s="106" t="s">
        <v>6907</v>
      </c>
      <c r="N1621" s="106" t="s">
        <v>40</v>
      </c>
      <c r="O1621" s="107"/>
      <c r="P1621" s="106" t="s">
        <v>6908</v>
      </c>
    </row>
    <row r="1622" spans="1:16" outlineLevel="2" x14ac:dyDescent="0.3">
      <c r="A1622" s="105" t="s">
        <v>6909</v>
      </c>
      <c r="B1622" s="106"/>
      <c r="C1622" s="106"/>
      <c r="D1622" s="106"/>
      <c r="E1622" s="106" t="s">
        <v>6910</v>
      </c>
      <c r="F1622" s="106" t="s">
        <v>6911</v>
      </c>
      <c r="G1622" s="105">
        <v>4</v>
      </c>
      <c r="H1622" s="106" t="s">
        <v>7</v>
      </c>
      <c r="I1622" s="105" t="s">
        <v>39</v>
      </c>
      <c r="J1622" s="105"/>
      <c r="K1622" s="105"/>
      <c r="L1622" s="105"/>
      <c r="M1622" s="106" t="s">
        <v>6912</v>
      </c>
      <c r="N1622" s="106" t="s">
        <v>40</v>
      </c>
      <c r="O1622" s="107" t="s">
        <v>332</v>
      </c>
      <c r="P1622" s="106" t="s">
        <v>6913</v>
      </c>
    </row>
    <row r="1623" spans="1:16" outlineLevel="2" x14ac:dyDescent="0.3">
      <c r="A1623" s="105" t="s">
        <v>6914</v>
      </c>
      <c r="B1623" s="106"/>
      <c r="C1623" s="106"/>
      <c r="D1623" s="106"/>
      <c r="E1623" s="106" t="s">
        <v>6915</v>
      </c>
      <c r="F1623" s="106" t="s">
        <v>6916</v>
      </c>
      <c r="G1623" s="105">
        <v>4</v>
      </c>
      <c r="H1623" s="106" t="s">
        <v>7</v>
      </c>
      <c r="I1623" s="105" t="s">
        <v>39</v>
      </c>
      <c r="J1623" s="105"/>
      <c r="K1623" s="105"/>
      <c r="L1623" s="105"/>
      <c r="M1623" s="106" t="s">
        <v>6917</v>
      </c>
      <c r="N1623" s="106" t="s">
        <v>40</v>
      </c>
      <c r="O1623" s="107"/>
      <c r="P1623" s="106" t="s">
        <v>6918</v>
      </c>
    </row>
    <row r="1624" spans="1:16" outlineLevel="2" x14ac:dyDescent="0.3">
      <c r="A1624" s="105" t="s">
        <v>6919</v>
      </c>
      <c r="B1624" s="106"/>
      <c r="C1624" s="106"/>
      <c r="D1624" s="106"/>
      <c r="E1624" s="106" t="s">
        <v>6920</v>
      </c>
      <c r="F1624" s="106" t="s">
        <v>6921</v>
      </c>
      <c r="G1624" s="105">
        <v>4</v>
      </c>
      <c r="H1624" s="106" t="s">
        <v>7</v>
      </c>
      <c r="I1624" s="105" t="s">
        <v>39</v>
      </c>
      <c r="J1624" s="105"/>
      <c r="K1624" s="105"/>
      <c r="L1624" s="105"/>
      <c r="M1624" s="106" t="s">
        <v>6922</v>
      </c>
      <c r="N1624" s="106" t="s">
        <v>40</v>
      </c>
      <c r="O1624" s="107"/>
      <c r="P1624" s="106" t="s">
        <v>6923</v>
      </c>
    </row>
    <row r="1625" spans="1:16" outlineLevel="2" x14ac:dyDescent="0.3">
      <c r="A1625" s="105" t="s">
        <v>6924</v>
      </c>
      <c r="B1625" s="106"/>
      <c r="C1625" s="106"/>
      <c r="D1625" s="106"/>
      <c r="E1625" s="106" t="s">
        <v>6925</v>
      </c>
      <c r="F1625" s="106" t="s">
        <v>6926</v>
      </c>
      <c r="G1625" s="105">
        <v>4</v>
      </c>
      <c r="H1625" s="106" t="s">
        <v>7</v>
      </c>
      <c r="I1625" s="105" t="s">
        <v>39</v>
      </c>
      <c r="J1625" s="105"/>
      <c r="K1625" s="105"/>
      <c r="L1625" s="105"/>
      <c r="M1625" s="106" t="s">
        <v>6927</v>
      </c>
      <c r="N1625" s="106" t="s">
        <v>40</v>
      </c>
      <c r="O1625" s="107"/>
      <c r="P1625" s="106" t="s">
        <v>6928</v>
      </c>
    </row>
    <row r="1626" spans="1:16" outlineLevel="2" x14ac:dyDescent="0.3">
      <c r="A1626" s="105" t="s">
        <v>6929</v>
      </c>
      <c r="B1626" s="106"/>
      <c r="C1626" s="106"/>
      <c r="D1626" s="106"/>
      <c r="E1626" s="106" t="s">
        <v>6930</v>
      </c>
      <c r="F1626" s="106" t="s">
        <v>6931</v>
      </c>
      <c r="G1626" s="105">
        <v>4</v>
      </c>
      <c r="H1626" s="106" t="s">
        <v>7</v>
      </c>
      <c r="I1626" s="105" t="s">
        <v>39</v>
      </c>
      <c r="J1626" s="105"/>
      <c r="K1626" s="105"/>
      <c r="L1626" s="105"/>
      <c r="M1626" s="106" t="s">
        <v>6932</v>
      </c>
      <c r="N1626" s="106" t="s">
        <v>40</v>
      </c>
      <c r="O1626" s="107"/>
      <c r="P1626" s="106" t="s">
        <v>6933</v>
      </c>
    </row>
    <row r="1627" spans="1:16" outlineLevel="2" x14ac:dyDescent="0.3">
      <c r="A1627" s="105" t="s">
        <v>6934</v>
      </c>
      <c r="B1627" s="106"/>
      <c r="C1627" s="106"/>
      <c r="D1627" s="106"/>
      <c r="E1627" s="106" t="s">
        <v>6935</v>
      </c>
      <c r="F1627" s="106" t="s">
        <v>6936</v>
      </c>
      <c r="G1627" s="105">
        <v>4</v>
      </c>
      <c r="H1627" s="106" t="s">
        <v>7</v>
      </c>
      <c r="I1627" s="105" t="s">
        <v>39</v>
      </c>
      <c r="J1627" s="105"/>
      <c r="K1627" s="105"/>
      <c r="L1627" s="105"/>
      <c r="M1627" s="106" t="s">
        <v>6937</v>
      </c>
      <c r="N1627" s="106" t="s">
        <v>40</v>
      </c>
      <c r="O1627" s="107"/>
      <c r="P1627" s="106" t="s">
        <v>6938</v>
      </c>
    </row>
    <row r="1628" spans="1:16" outlineLevel="2" x14ac:dyDescent="0.3">
      <c r="A1628" s="105" t="s">
        <v>6939</v>
      </c>
      <c r="B1628" s="106"/>
      <c r="C1628" s="106"/>
      <c r="D1628" s="106"/>
      <c r="E1628" s="106" t="s">
        <v>6940</v>
      </c>
      <c r="F1628" s="106" t="s">
        <v>6941</v>
      </c>
      <c r="G1628" s="105">
        <v>4</v>
      </c>
      <c r="H1628" s="106" t="s">
        <v>7</v>
      </c>
      <c r="I1628" s="105" t="s">
        <v>39</v>
      </c>
      <c r="J1628" s="105"/>
      <c r="K1628" s="105"/>
      <c r="L1628" s="105"/>
      <c r="M1628" s="106" t="s">
        <v>6942</v>
      </c>
      <c r="N1628" s="106" t="s">
        <v>40</v>
      </c>
      <c r="O1628" s="107"/>
      <c r="P1628" s="106" t="s">
        <v>6943</v>
      </c>
    </row>
    <row r="1629" spans="1:16" outlineLevel="2" x14ac:dyDescent="0.3">
      <c r="A1629" s="105" t="s">
        <v>6944</v>
      </c>
      <c r="B1629" s="106"/>
      <c r="C1629" s="106"/>
      <c r="D1629" s="106"/>
      <c r="E1629" s="106" t="s">
        <v>6945</v>
      </c>
      <c r="F1629" s="106" t="s">
        <v>6946</v>
      </c>
      <c r="G1629" s="105">
        <v>4</v>
      </c>
      <c r="H1629" s="106" t="s">
        <v>7</v>
      </c>
      <c r="I1629" s="105" t="s">
        <v>39</v>
      </c>
      <c r="J1629" s="105"/>
      <c r="K1629" s="105"/>
      <c r="L1629" s="105"/>
      <c r="M1629" s="106" t="s">
        <v>6947</v>
      </c>
      <c r="N1629" s="106" t="s">
        <v>40</v>
      </c>
      <c r="O1629" s="107"/>
      <c r="P1629" s="106" t="s">
        <v>6948</v>
      </c>
    </row>
    <row r="1630" spans="1:16" outlineLevel="2" x14ac:dyDescent="0.3">
      <c r="A1630" s="105" t="s">
        <v>6949</v>
      </c>
      <c r="B1630" s="106"/>
      <c r="C1630" s="106"/>
      <c r="D1630" s="106"/>
      <c r="E1630" s="106" t="s">
        <v>6950</v>
      </c>
      <c r="F1630" s="106" t="s">
        <v>6951</v>
      </c>
      <c r="G1630" s="105">
        <v>4</v>
      </c>
      <c r="H1630" s="106" t="s">
        <v>7</v>
      </c>
      <c r="I1630" s="105" t="s">
        <v>39</v>
      </c>
      <c r="J1630" s="105"/>
      <c r="K1630" s="105"/>
      <c r="L1630" s="105"/>
      <c r="M1630" s="106" t="s">
        <v>6952</v>
      </c>
      <c r="N1630" s="106" t="s">
        <v>40</v>
      </c>
      <c r="O1630" s="107"/>
      <c r="P1630" s="106" t="s">
        <v>6953</v>
      </c>
    </row>
    <row r="1631" spans="1:16" outlineLevel="2" x14ac:dyDescent="0.3">
      <c r="A1631" s="105" t="s">
        <v>6954</v>
      </c>
      <c r="B1631" s="106"/>
      <c r="C1631" s="106"/>
      <c r="D1631" s="106"/>
      <c r="E1631" s="106" t="s">
        <v>6955</v>
      </c>
      <c r="F1631" s="106" t="s">
        <v>6956</v>
      </c>
      <c r="G1631" s="105">
        <v>4</v>
      </c>
      <c r="H1631" s="106" t="s">
        <v>7</v>
      </c>
      <c r="I1631" s="105" t="s">
        <v>39</v>
      </c>
      <c r="J1631" s="105"/>
      <c r="K1631" s="105"/>
      <c r="L1631" s="105"/>
      <c r="M1631" s="106" t="s">
        <v>6957</v>
      </c>
      <c r="N1631" s="106" t="s">
        <v>40</v>
      </c>
      <c r="O1631" s="107"/>
      <c r="P1631" s="106" t="s">
        <v>6958</v>
      </c>
    </row>
    <row r="1632" spans="1:16" outlineLevel="2" x14ac:dyDescent="0.3">
      <c r="A1632" s="105" t="s">
        <v>6959</v>
      </c>
      <c r="B1632" s="106"/>
      <c r="C1632" s="106"/>
      <c r="D1632" s="106"/>
      <c r="E1632" s="106" t="s">
        <v>6960</v>
      </c>
      <c r="F1632" s="106" t="s">
        <v>6961</v>
      </c>
      <c r="G1632" s="105">
        <v>4</v>
      </c>
      <c r="H1632" s="106" t="s">
        <v>7</v>
      </c>
      <c r="I1632" s="105" t="s">
        <v>39</v>
      </c>
      <c r="J1632" s="105"/>
      <c r="K1632" s="105"/>
      <c r="L1632" s="105"/>
      <c r="M1632" s="106" t="s">
        <v>6962</v>
      </c>
      <c r="N1632" s="106" t="s">
        <v>40</v>
      </c>
      <c r="O1632" s="107"/>
      <c r="P1632" s="106" t="s">
        <v>6963</v>
      </c>
    </row>
    <row r="1633" spans="1:16" ht="27.6" outlineLevel="1" x14ac:dyDescent="0.3">
      <c r="A1633" s="281" t="s">
        <v>6964</v>
      </c>
      <c r="B1633" s="282"/>
      <c r="C1633" s="283" t="s">
        <v>6965</v>
      </c>
      <c r="D1633" s="282"/>
      <c r="E1633" s="282"/>
      <c r="F1633" s="282"/>
      <c r="G1633" s="281">
        <v>2</v>
      </c>
      <c r="H1633" s="282" t="s">
        <v>25</v>
      </c>
      <c r="I1633" s="281" t="s">
        <v>39</v>
      </c>
      <c r="J1633" s="281">
        <v>6</v>
      </c>
      <c r="K1633" s="281">
        <v>2</v>
      </c>
      <c r="L1633" s="281">
        <v>8</v>
      </c>
      <c r="M1633" s="284" t="s">
        <v>6966</v>
      </c>
      <c r="N1633" s="284" t="s">
        <v>40</v>
      </c>
      <c r="O1633" s="285"/>
      <c r="P1633" s="284" t="s">
        <v>6967</v>
      </c>
    </row>
    <row r="1634" spans="1:16" outlineLevel="2" x14ac:dyDescent="0.3">
      <c r="A1634" s="105" t="s">
        <v>6968</v>
      </c>
      <c r="B1634" s="106"/>
      <c r="C1634" s="106"/>
      <c r="D1634" s="106"/>
      <c r="E1634" s="106" t="s">
        <v>6969</v>
      </c>
      <c r="F1634" s="106" t="s">
        <v>6970</v>
      </c>
      <c r="G1634" s="105">
        <v>4</v>
      </c>
      <c r="H1634" s="106" t="s">
        <v>7</v>
      </c>
      <c r="I1634" s="105" t="s">
        <v>39</v>
      </c>
      <c r="J1634" s="105"/>
      <c r="K1634" s="105"/>
      <c r="L1634" s="105"/>
      <c r="M1634" s="106" t="s">
        <v>6971</v>
      </c>
      <c r="N1634" s="106" t="s">
        <v>40</v>
      </c>
      <c r="O1634" s="107"/>
      <c r="P1634" s="106" t="s">
        <v>6972</v>
      </c>
    </row>
    <row r="1635" spans="1:16" outlineLevel="2" x14ac:dyDescent="0.3">
      <c r="A1635" s="105" t="s">
        <v>6973</v>
      </c>
      <c r="B1635" s="106"/>
      <c r="C1635" s="106"/>
      <c r="D1635" s="106"/>
      <c r="E1635" s="106" t="s">
        <v>6974</v>
      </c>
      <c r="F1635" s="106" t="s">
        <v>6975</v>
      </c>
      <c r="G1635" s="105">
        <v>4</v>
      </c>
      <c r="H1635" s="106" t="s">
        <v>7</v>
      </c>
      <c r="I1635" s="105" t="s">
        <v>39</v>
      </c>
      <c r="J1635" s="105"/>
      <c r="K1635" s="105"/>
      <c r="L1635" s="105"/>
      <c r="M1635" s="106" t="s">
        <v>6976</v>
      </c>
      <c r="N1635" s="106" t="s">
        <v>40</v>
      </c>
      <c r="O1635" s="107" t="s">
        <v>332</v>
      </c>
      <c r="P1635" s="106" t="s">
        <v>6977</v>
      </c>
    </row>
    <row r="1636" spans="1:16" outlineLevel="2" x14ac:dyDescent="0.3">
      <c r="A1636" s="105" t="s">
        <v>6978</v>
      </c>
      <c r="B1636" s="106"/>
      <c r="C1636" s="106"/>
      <c r="D1636" s="106"/>
      <c r="E1636" s="106" t="s">
        <v>6979</v>
      </c>
      <c r="F1636" s="106" t="s">
        <v>6980</v>
      </c>
      <c r="G1636" s="105">
        <v>4</v>
      </c>
      <c r="H1636" s="106" t="s">
        <v>7</v>
      </c>
      <c r="I1636" s="105" t="s">
        <v>39</v>
      </c>
      <c r="J1636" s="105"/>
      <c r="K1636" s="105"/>
      <c r="L1636" s="105"/>
      <c r="M1636" s="106" t="s">
        <v>6981</v>
      </c>
      <c r="N1636" s="106" t="s">
        <v>40</v>
      </c>
      <c r="O1636" s="107"/>
      <c r="P1636" s="106" t="s">
        <v>6982</v>
      </c>
    </row>
    <row r="1637" spans="1:16" outlineLevel="2" x14ac:dyDescent="0.3">
      <c r="A1637" s="105" t="s">
        <v>6983</v>
      </c>
      <c r="B1637" s="106"/>
      <c r="C1637" s="106"/>
      <c r="D1637" s="106"/>
      <c r="E1637" s="106" t="s">
        <v>6984</v>
      </c>
      <c r="F1637" s="106" t="s">
        <v>6985</v>
      </c>
      <c r="G1637" s="105">
        <v>4</v>
      </c>
      <c r="H1637" s="106" t="s">
        <v>7</v>
      </c>
      <c r="I1637" s="105" t="s">
        <v>39</v>
      </c>
      <c r="J1637" s="105"/>
      <c r="K1637" s="105"/>
      <c r="L1637" s="105"/>
      <c r="M1637" s="106" t="s">
        <v>6986</v>
      </c>
      <c r="N1637" s="106" t="s">
        <v>40</v>
      </c>
      <c r="O1637" s="107"/>
      <c r="P1637" s="106" t="s">
        <v>6987</v>
      </c>
    </row>
    <row r="1638" spans="1:16" outlineLevel="2" x14ac:dyDescent="0.3">
      <c r="A1638" s="105" t="s">
        <v>6988</v>
      </c>
      <c r="B1638" s="106"/>
      <c r="C1638" s="106"/>
      <c r="D1638" s="106"/>
      <c r="E1638" s="106" t="s">
        <v>6989</v>
      </c>
      <c r="F1638" s="106" t="s">
        <v>6990</v>
      </c>
      <c r="G1638" s="105">
        <v>4</v>
      </c>
      <c r="H1638" s="106" t="s">
        <v>7</v>
      </c>
      <c r="I1638" s="105" t="s">
        <v>39</v>
      </c>
      <c r="J1638" s="105"/>
      <c r="K1638" s="105"/>
      <c r="L1638" s="105"/>
      <c r="M1638" s="106" t="s">
        <v>6991</v>
      </c>
      <c r="N1638" s="106" t="s">
        <v>40</v>
      </c>
      <c r="O1638" s="107"/>
      <c r="P1638" s="106" t="s">
        <v>6992</v>
      </c>
    </row>
    <row r="1639" spans="1:16" outlineLevel="2" x14ac:dyDescent="0.3">
      <c r="A1639" s="105" t="s">
        <v>6993</v>
      </c>
      <c r="B1639" s="106"/>
      <c r="C1639" s="106"/>
      <c r="D1639" s="106"/>
      <c r="E1639" s="106" t="s">
        <v>6994</v>
      </c>
      <c r="F1639" s="106" t="s">
        <v>13</v>
      </c>
      <c r="G1639" s="105">
        <v>4</v>
      </c>
      <c r="H1639" s="106" t="s">
        <v>7</v>
      </c>
      <c r="I1639" s="105"/>
      <c r="J1639" s="105"/>
      <c r="K1639" s="105"/>
      <c r="L1639" s="105"/>
      <c r="M1639" s="106"/>
      <c r="N1639" s="106" t="s">
        <v>40</v>
      </c>
      <c r="O1639" s="107" t="s">
        <v>447</v>
      </c>
      <c r="P1639" s="106" t="s">
        <v>6995</v>
      </c>
    </row>
    <row r="1640" spans="1:16" outlineLevel="2" x14ac:dyDescent="0.3">
      <c r="A1640" s="105" t="s">
        <v>6996</v>
      </c>
      <c r="B1640" s="106"/>
      <c r="C1640" s="106"/>
      <c r="D1640" s="106"/>
      <c r="E1640" s="106" t="s">
        <v>6997</v>
      </c>
      <c r="F1640" s="106" t="s">
        <v>13</v>
      </c>
      <c r="G1640" s="105">
        <v>4</v>
      </c>
      <c r="H1640" s="106" t="s">
        <v>7</v>
      </c>
      <c r="I1640" s="105"/>
      <c r="J1640" s="105"/>
      <c r="K1640" s="105"/>
      <c r="L1640" s="105"/>
      <c r="M1640" s="106"/>
      <c r="N1640" s="106" t="s">
        <v>40</v>
      </c>
      <c r="O1640" s="107" t="s">
        <v>447</v>
      </c>
      <c r="P1640" s="106" t="s">
        <v>6998</v>
      </c>
    </row>
    <row r="1641" spans="1:16" outlineLevel="2" x14ac:dyDescent="0.3">
      <c r="A1641" s="105" t="s">
        <v>6999</v>
      </c>
      <c r="B1641" s="106"/>
      <c r="C1641" s="106"/>
      <c r="D1641" s="106"/>
      <c r="E1641" s="106" t="s">
        <v>7000</v>
      </c>
      <c r="F1641" s="106" t="s">
        <v>7001</v>
      </c>
      <c r="G1641" s="105">
        <v>4</v>
      </c>
      <c r="H1641" s="106" t="s">
        <v>7</v>
      </c>
      <c r="I1641" s="105" t="s">
        <v>39</v>
      </c>
      <c r="J1641" s="105"/>
      <c r="K1641" s="105"/>
      <c r="L1641" s="105"/>
      <c r="M1641" s="106" t="s">
        <v>7002</v>
      </c>
      <c r="N1641" s="106" t="s">
        <v>40</v>
      </c>
      <c r="O1641" s="107"/>
      <c r="P1641" s="106" t="s">
        <v>7003</v>
      </c>
    </row>
    <row r="1642" spans="1:16" ht="27.6" outlineLevel="1" x14ac:dyDescent="0.3">
      <c r="A1642" s="281" t="s">
        <v>7004</v>
      </c>
      <c r="B1642" s="282"/>
      <c r="C1642" s="283" t="s">
        <v>7005</v>
      </c>
      <c r="D1642" s="282"/>
      <c r="E1642" s="282"/>
      <c r="F1642" s="282"/>
      <c r="G1642" s="281">
        <v>2</v>
      </c>
      <c r="H1642" s="282" t="s">
        <v>25</v>
      </c>
      <c r="I1642" s="281" t="s">
        <v>39</v>
      </c>
      <c r="J1642" s="281">
        <v>1</v>
      </c>
      <c r="K1642" s="281">
        <v>1</v>
      </c>
      <c r="L1642" s="281">
        <v>2</v>
      </c>
      <c r="M1642" s="284" t="s">
        <v>7006</v>
      </c>
      <c r="N1642" s="284" t="s">
        <v>40</v>
      </c>
      <c r="O1642" s="285"/>
      <c r="P1642" s="284" t="s">
        <v>7007</v>
      </c>
    </row>
    <row r="1643" spans="1:16" outlineLevel="2" x14ac:dyDescent="0.3">
      <c r="A1643" s="105" t="s">
        <v>7008</v>
      </c>
      <c r="B1643" s="106"/>
      <c r="C1643" s="106"/>
      <c r="D1643" s="106"/>
      <c r="E1643" s="106" t="s">
        <v>7009</v>
      </c>
      <c r="F1643" s="106" t="s">
        <v>7010</v>
      </c>
      <c r="G1643" s="105">
        <v>4</v>
      </c>
      <c r="H1643" s="106" t="s">
        <v>7</v>
      </c>
      <c r="I1643" s="105" t="s">
        <v>39</v>
      </c>
      <c r="J1643" s="105"/>
      <c r="K1643" s="105"/>
      <c r="L1643" s="105"/>
      <c r="M1643" s="106" t="s">
        <v>7011</v>
      </c>
      <c r="N1643" s="106" t="s">
        <v>40</v>
      </c>
      <c r="O1643" s="107"/>
      <c r="P1643" s="106" t="s">
        <v>7012</v>
      </c>
    </row>
    <row r="1644" spans="1:16" outlineLevel="2" x14ac:dyDescent="0.3">
      <c r="A1644" s="105" t="s">
        <v>7013</v>
      </c>
      <c r="B1644" s="106"/>
      <c r="C1644" s="106"/>
      <c r="D1644" s="106"/>
      <c r="E1644" s="106" t="s">
        <v>7014</v>
      </c>
      <c r="F1644" s="106" t="s">
        <v>13</v>
      </c>
      <c r="G1644" s="105">
        <v>4</v>
      </c>
      <c r="H1644" s="106" t="s">
        <v>7</v>
      </c>
      <c r="I1644" s="105"/>
      <c r="J1644" s="105"/>
      <c r="K1644" s="105"/>
      <c r="L1644" s="105"/>
      <c r="M1644" s="106"/>
      <c r="N1644" s="106" t="s">
        <v>40</v>
      </c>
      <c r="O1644" s="107" t="s">
        <v>447</v>
      </c>
      <c r="P1644" s="106" t="s">
        <v>7015</v>
      </c>
    </row>
    <row r="1645" spans="1:16" ht="27.6" outlineLevel="1" x14ac:dyDescent="0.3">
      <c r="A1645" s="281" t="s">
        <v>7016</v>
      </c>
      <c r="B1645" s="282"/>
      <c r="C1645" s="283" t="s">
        <v>7017</v>
      </c>
      <c r="D1645" s="282"/>
      <c r="E1645" s="282"/>
      <c r="F1645" s="282"/>
      <c r="G1645" s="281">
        <v>2</v>
      </c>
      <c r="H1645" s="282" t="s">
        <v>25</v>
      </c>
      <c r="I1645" s="281" t="s">
        <v>39</v>
      </c>
      <c r="J1645" s="281">
        <v>2</v>
      </c>
      <c r="K1645" s="281">
        <v>1</v>
      </c>
      <c r="L1645" s="281">
        <v>3</v>
      </c>
      <c r="M1645" s="284" t="s">
        <v>7018</v>
      </c>
      <c r="N1645" s="284" t="s">
        <v>40</v>
      </c>
      <c r="O1645" s="285"/>
      <c r="P1645" s="284" t="s">
        <v>7019</v>
      </c>
    </row>
    <row r="1646" spans="1:16" outlineLevel="2" x14ac:dyDescent="0.3">
      <c r="A1646" s="105" t="s">
        <v>7020</v>
      </c>
      <c r="B1646" s="106"/>
      <c r="C1646" s="106"/>
      <c r="D1646" s="106"/>
      <c r="E1646" s="106" t="s">
        <v>7021</v>
      </c>
      <c r="F1646" s="106" t="s">
        <v>7022</v>
      </c>
      <c r="G1646" s="105">
        <v>4</v>
      </c>
      <c r="H1646" s="106" t="s">
        <v>7</v>
      </c>
      <c r="I1646" s="105" t="s">
        <v>39</v>
      </c>
      <c r="J1646" s="105"/>
      <c r="K1646" s="105"/>
      <c r="L1646" s="105"/>
      <c r="M1646" s="106" t="s">
        <v>7023</v>
      </c>
      <c r="N1646" s="106" t="s">
        <v>40</v>
      </c>
      <c r="O1646" s="107"/>
      <c r="P1646" s="106" t="s">
        <v>7024</v>
      </c>
    </row>
    <row r="1647" spans="1:16" outlineLevel="2" x14ac:dyDescent="0.3">
      <c r="A1647" s="105" t="s">
        <v>7025</v>
      </c>
      <c r="B1647" s="106"/>
      <c r="C1647" s="106"/>
      <c r="D1647" s="106"/>
      <c r="E1647" s="106" t="s">
        <v>7026</v>
      </c>
      <c r="F1647" s="106" t="s">
        <v>7027</v>
      </c>
      <c r="G1647" s="105">
        <v>4</v>
      </c>
      <c r="H1647" s="106" t="s">
        <v>7</v>
      </c>
      <c r="I1647" s="105" t="s">
        <v>39</v>
      </c>
      <c r="J1647" s="105"/>
      <c r="K1647" s="105"/>
      <c r="L1647" s="105"/>
      <c r="M1647" s="106" t="s">
        <v>7028</v>
      </c>
      <c r="N1647" s="106" t="s">
        <v>40</v>
      </c>
      <c r="O1647" s="107"/>
      <c r="P1647" s="106" t="s">
        <v>7029</v>
      </c>
    </row>
    <row r="1648" spans="1:16" outlineLevel="2" x14ac:dyDescent="0.3">
      <c r="A1648" s="105" t="s">
        <v>7030</v>
      </c>
      <c r="B1648" s="106"/>
      <c r="C1648" s="106"/>
      <c r="D1648" s="106"/>
      <c r="E1648" s="106" t="s">
        <v>7031</v>
      </c>
      <c r="F1648" s="106" t="s">
        <v>13</v>
      </c>
      <c r="G1648" s="105">
        <v>4</v>
      </c>
      <c r="H1648" s="106" t="s">
        <v>7</v>
      </c>
      <c r="I1648" s="105"/>
      <c r="J1648" s="105"/>
      <c r="K1648" s="105"/>
      <c r="L1648" s="105"/>
      <c r="M1648" s="106"/>
      <c r="N1648" s="106" t="s">
        <v>40</v>
      </c>
      <c r="O1648" s="107" t="s">
        <v>447</v>
      </c>
      <c r="P1648" s="106" t="s">
        <v>7032</v>
      </c>
    </row>
    <row r="1649" spans="1:16" ht="27.6" outlineLevel="1" x14ac:dyDescent="0.3">
      <c r="A1649" s="281" t="s">
        <v>7033</v>
      </c>
      <c r="B1649" s="282"/>
      <c r="C1649" s="283" t="s">
        <v>7034</v>
      </c>
      <c r="D1649" s="282"/>
      <c r="E1649" s="282"/>
      <c r="F1649" s="282"/>
      <c r="G1649" s="281">
        <v>2</v>
      </c>
      <c r="H1649" s="282" t="s">
        <v>25</v>
      </c>
      <c r="I1649" s="281" t="s">
        <v>39</v>
      </c>
      <c r="J1649" s="281">
        <v>14</v>
      </c>
      <c r="K1649" s="281">
        <v>9</v>
      </c>
      <c r="L1649" s="281">
        <v>23</v>
      </c>
      <c r="M1649" s="284" t="s">
        <v>7035</v>
      </c>
      <c r="N1649" s="284" t="s">
        <v>40</v>
      </c>
      <c r="O1649" s="285"/>
      <c r="P1649" s="284" t="s">
        <v>7036</v>
      </c>
    </row>
    <row r="1650" spans="1:16" outlineLevel="2" x14ac:dyDescent="0.3">
      <c r="A1650" s="105" t="s">
        <v>7037</v>
      </c>
      <c r="B1650" s="106"/>
      <c r="C1650" s="106"/>
      <c r="D1650" s="106"/>
      <c r="E1650" s="106" t="s">
        <v>7038</v>
      </c>
      <c r="F1650" s="106" t="s">
        <v>13</v>
      </c>
      <c r="G1650" s="105">
        <v>4</v>
      </c>
      <c r="H1650" s="106" t="s">
        <v>7</v>
      </c>
      <c r="I1650" s="105"/>
      <c r="J1650" s="105"/>
      <c r="K1650" s="105"/>
      <c r="L1650" s="105"/>
      <c r="M1650" s="106"/>
      <c r="N1650" s="106" t="s">
        <v>40</v>
      </c>
      <c r="O1650" s="107" t="s">
        <v>447</v>
      </c>
      <c r="P1650" s="106" t="s">
        <v>7039</v>
      </c>
    </row>
    <row r="1651" spans="1:16" outlineLevel="2" x14ac:dyDescent="0.3">
      <c r="A1651" s="105" t="s">
        <v>7040</v>
      </c>
      <c r="B1651" s="106"/>
      <c r="C1651" s="106"/>
      <c r="D1651" s="106"/>
      <c r="E1651" s="106" t="s">
        <v>7041</v>
      </c>
      <c r="F1651" s="106" t="s">
        <v>7042</v>
      </c>
      <c r="G1651" s="105">
        <v>4</v>
      </c>
      <c r="H1651" s="106" t="s">
        <v>7</v>
      </c>
      <c r="I1651" s="105" t="s">
        <v>39</v>
      </c>
      <c r="J1651" s="105"/>
      <c r="K1651" s="105"/>
      <c r="L1651" s="105"/>
      <c r="M1651" s="106" t="s">
        <v>7043</v>
      </c>
      <c r="N1651" s="106" t="s">
        <v>40</v>
      </c>
      <c r="O1651" s="107"/>
      <c r="P1651" s="106" t="s">
        <v>7044</v>
      </c>
    </row>
    <row r="1652" spans="1:16" outlineLevel="2" x14ac:dyDescent="0.3">
      <c r="A1652" s="105" t="s">
        <v>7045</v>
      </c>
      <c r="B1652" s="106"/>
      <c r="C1652" s="106"/>
      <c r="D1652" s="106"/>
      <c r="E1652" s="106" t="s">
        <v>7046</v>
      </c>
      <c r="F1652" s="106" t="s">
        <v>13</v>
      </c>
      <c r="G1652" s="105">
        <v>4</v>
      </c>
      <c r="H1652" s="106" t="s">
        <v>7</v>
      </c>
      <c r="I1652" s="105"/>
      <c r="J1652" s="105"/>
      <c r="K1652" s="105"/>
      <c r="L1652" s="105"/>
      <c r="M1652" s="106" t="s">
        <v>4747</v>
      </c>
      <c r="N1652" s="106" t="s">
        <v>40</v>
      </c>
      <c r="O1652" s="107" t="s">
        <v>447</v>
      </c>
      <c r="P1652" s="106" t="s">
        <v>7047</v>
      </c>
    </row>
    <row r="1653" spans="1:16" outlineLevel="2" x14ac:dyDescent="0.3">
      <c r="A1653" s="105" t="s">
        <v>7048</v>
      </c>
      <c r="B1653" s="106"/>
      <c r="C1653" s="106"/>
      <c r="D1653" s="106"/>
      <c r="E1653" s="106" t="s">
        <v>7049</v>
      </c>
      <c r="F1653" s="106" t="s">
        <v>7050</v>
      </c>
      <c r="G1653" s="105">
        <v>4</v>
      </c>
      <c r="H1653" s="106" t="s">
        <v>7</v>
      </c>
      <c r="I1653" s="105" t="s">
        <v>39</v>
      </c>
      <c r="J1653" s="105"/>
      <c r="K1653" s="105"/>
      <c r="L1653" s="105"/>
      <c r="M1653" s="106" t="s">
        <v>7051</v>
      </c>
      <c r="N1653" s="106" t="s">
        <v>40</v>
      </c>
      <c r="O1653" s="107"/>
      <c r="P1653" s="106" t="s">
        <v>7052</v>
      </c>
    </row>
    <row r="1654" spans="1:16" outlineLevel="2" x14ac:dyDescent="0.3">
      <c r="A1654" s="105" t="s">
        <v>7053</v>
      </c>
      <c r="B1654" s="106"/>
      <c r="C1654" s="106"/>
      <c r="D1654" s="106"/>
      <c r="E1654" s="106" t="s">
        <v>7054</v>
      </c>
      <c r="F1654" s="106" t="s">
        <v>7055</v>
      </c>
      <c r="G1654" s="105">
        <v>4</v>
      </c>
      <c r="H1654" s="106" t="s">
        <v>7</v>
      </c>
      <c r="I1654" s="105" t="s">
        <v>39</v>
      </c>
      <c r="J1654" s="105"/>
      <c r="K1654" s="105"/>
      <c r="L1654" s="105"/>
      <c r="M1654" s="106" t="s">
        <v>7056</v>
      </c>
      <c r="N1654" s="106" t="s">
        <v>40</v>
      </c>
      <c r="O1654" s="107"/>
      <c r="P1654" s="106" t="s">
        <v>7057</v>
      </c>
    </row>
    <row r="1655" spans="1:16" outlineLevel="2" x14ac:dyDescent="0.3">
      <c r="A1655" s="105" t="s">
        <v>7058</v>
      </c>
      <c r="B1655" s="106"/>
      <c r="C1655" s="106"/>
      <c r="D1655" s="106"/>
      <c r="E1655" s="106" t="s">
        <v>7059</v>
      </c>
      <c r="F1655" s="106" t="s">
        <v>7060</v>
      </c>
      <c r="G1655" s="105">
        <v>4</v>
      </c>
      <c r="H1655" s="106" t="s">
        <v>7</v>
      </c>
      <c r="I1655" s="105" t="s">
        <v>39</v>
      </c>
      <c r="J1655" s="105"/>
      <c r="K1655" s="105"/>
      <c r="L1655" s="105"/>
      <c r="M1655" s="106" t="s">
        <v>7061</v>
      </c>
      <c r="N1655" s="106" t="s">
        <v>40</v>
      </c>
      <c r="O1655" s="107"/>
      <c r="P1655" s="106" t="s">
        <v>7062</v>
      </c>
    </row>
    <row r="1656" spans="1:16" outlineLevel="2" x14ac:dyDescent="0.3">
      <c r="A1656" s="105" t="s">
        <v>7063</v>
      </c>
      <c r="B1656" s="106"/>
      <c r="C1656" s="106"/>
      <c r="D1656" s="106"/>
      <c r="E1656" s="106" t="s">
        <v>7064</v>
      </c>
      <c r="F1656" s="106" t="s">
        <v>7065</v>
      </c>
      <c r="G1656" s="105">
        <v>4</v>
      </c>
      <c r="H1656" s="106" t="s">
        <v>7</v>
      </c>
      <c r="I1656" s="105" t="s">
        <v>39</v>
      </c>
      <c r="J1656" s="105"/>
      <c r="K1656" s="105"/>
      <c r="L1656" s="105"/>
      <c r="M1656" s="106" t="s">
        <v>7066</v>
      </c>
      <c r="N1656" s="106" t="s">
        <v>40</v>
      </c>
      <c r="O1656" s="107" t="s">
        <v>332</v>
      </c>
      <c r="P1656" s="106" t="s">
        <v>7067</v>
      </c>
    </row>
    <row r="1657" spans="1:16" outlineLevel="2" x14ac:dyDescent="0.3">
      <c r="A1657" s="105" t="s">
        <v>7068</v>
      </c>
      <c r="B1657" s="106"/>
      <c r="C1657" s="106"/>
      <c r="D1657" s="106"/>
      <c r="E1657" s="106" t="s">
        <v>7069</v>
      </c>
      <c r="F1657" s="106" t="s">
        <v>7070</v>
      </c>
      <c r="G1657" s="105">
        <v>4</v>
      </c>
      <c r="H1657" s="106" t="s">
        <v>7</v>
      </c>
      <c r="I1657" s="105" t="s">
        <v>39</v>
      </c>
      <c r="J1657" s="105"/>
      <c r="K1657" s="105"/>
      <c r="L1657" s="105"/>
      <c r="M1657" s="106" t="s">
        <v>7071</v>
      </c>
      <c r="N1657" s="106" t="s">
        <v>40</v>
      </c>
      <c r="O1657" s="107"/>
      <c r="P1657" s="106" t="s">
        <v>7072</v>
      </c>
    </row>
    <row r="1658" spans="1:16" outlineLevel="2" x14ac:dyDescent="0.3">
      <c r="A1658" s="105" t="s">
        <v>7073</v>
      </c>
      <c r="B1658" s="106"/>
      <c r="C1658" s="106"/>
      <c r="D1658" s="106"/>
      <c r="E1658" s="106" t="s">
        <v>7074</v>
      </c>
      <c r="F1658" s="106" t="s">
        <v>7075</v>
      </c>
      <c r="G1658" s="105">
        <v>4</v>
      </c>
      <c r="H1658" s="106" t="s">
        <v>7</v>
      </c>
      <c r="I1658" s="105" t="s">
        <v>39</v>
      </c>
      <c r="J1658" s="105"/>
      <c r="K1658" s="105"/>
      <c r="L1658" s="105"/>
      <c r="M1658" s="106" t="s">
        <v>7076</v>
      </c>
      <c r="N1658" s="106" t="s">
        <v>40</v>
      </c>
      <c r="O1658" s="107"/>
      <c r="P1658" s="106" t="s">
        <v>7077</v>
      </c>
    </row>
    <row r="1659" spans="1:16" outlineLevel="2" x14ac:dyDescent="0.3">
      <c r="A1659" s="105" t="s">
        <v>7078</v>
      </c>
      <c r="B1659" s="106"/>
      <c r="C1659" s="106"/>
      <c r="D1659" s="106"/>
      <c r="E1659" s="106" t="s">
        <v>7079</v>
      </c>
      <c r="F1659" s="106" t="s">
        <v>13</v>
      </c>
      <c r="G1659" s="105">
        <v>4</v>
      </c>
      <c r="H1659" s="106" t="s">
        <v>7</v>
      </c>
      <c r="I1659" s="105"/>
      <c r="J1659" s="105"/>
      <c r="K1659" s="105"/>
      <c r="L1659" s="105"/>
      <c r="M1659" s="106" t="s">
        <v>7080</v>
      </c>
      <c r="N1659" s="106" t="s">
        <v>40</v>
      </c>
      <c r="O1659" s="107" t="s">
        <v>447</v>
      </c>
      <c r="P1659" s="106" t="s">
        <v>7081</v>
      </c>
    </row>
    <row r="1660" spans="1:16" outlineLevel="2" x14ac:dyDescent="0.3">
      <c r="A1660" s="105" t="s">
        <v>7082</v>
      </c>
      <c r="B1660" s="106"/>
      <c r="C1660" s="106"/>
      <c r="D1660" s="106"/>
      <c r="E1660" s="106" t="s">
        <v>7083</v>
      </c>
      <c r="F1660" s="106" t="s">
        <v>13</v>
      </c>
      <c r="G1660" s="105">
        <v>4</v>
      </c>
      <c r="H1660" s="106" t="s">
        <v>7</v>
      </c>
      <c r="I1660" s="105"/>
      <c r="J1660" s="105"/>
      <c r="K1660" s="105"/>
      <c r="L1660" s="105"/>
      <c r="M1660" s="106"/>
      <c r="N1660" s="106" t="s">
        <v>40</v>
      </c>
      <c r="O1660" s="107" t="s">
        <v>447</v>
      </c>
      <c r="P1660" s="106" t="s">
        <v>7084</v>
      </c>
    </row>
    <row r="1661" spans="1:16" outlineLevel="2" x14ac:dyDescent="0.3">
      <c r="A1661" s="105" t="s">
        <v>7085</v>
      </c>
      <c r="B1661" s="106"/>
      <c r="C1661" s="106"/>
      <c r="D1661" s="106"/>
      <c r="E1661" s="106" t="s">
        <v>7086</v>
      </c>
      <c r="F1661" s="106" t="s">
        <v>7087</v>
      </c>
      <c r="G1661" s="105">
        <v>4</v>
      </c>
      <c r="H1661" s="106" t="s">
        <v>7</v>
      </c>
      <c r="I1661" s="105" t="s">
        <v>39</v>
      </c>
      <c r="J1661" s="105"/>
      <c r="K1661" s="105"/>
      <c r="L1661" s="105"/>
      <c r="M1661" s="106" t="s">
        <v>7088</v>
      </c>
      <c r="N1661" s="106" t="s">
        <v>40</v>
      </c>
      <c r="O1661" s="107"/>
      <c r="P1661" s="106" t="s">
        <v>7089</v>
      </c>
    </row>
    <row r="1662" spans="1:16" outlineLevel="2" x14ac:dyDescent="0.3">
      <c r="A1662" s="105" t="s">
        <v>7090</v>
      </c>
      <c r="B1662" s="106"/>
      <c r="C1662" s="106"/>
      <c r="D1662" s="106"/>
      <c r="E1662" s="106" t="s">
        <v>7091</v>
      </c>
      <c r="F1662" s="106" t="s">
        <v>7092</v>
      </c>
      <c r="G1662" s="105">
        <v>4</v>
      </c>
      <c r="H1662" s="106" t="s">
        <v>7</v>
      </c>
      <c r="I1662" s="105" t="s">
        <v>39</v>
      </c>
      <c r="J1662" s="105"/>
      <c r="K1662" s="105"/>
      <c r="L1662" s="105"/>
      <c r="M1662" s="106" t="s">
        <v>7093</v>
      </c>
      <c r="N1662" s="106" t="s">
        <v>40</v>
      </c>
      <c r="O1662" s="107" t="s">
        <v>332</v>
      </c>
      <c r="P1662" s="106" t="s">
        <v>7094</v>
      </c>
    </row>
    <row r="1663" spans="1:16" outlineLevel="2" x14ac:dyDescent="0.3">
      <c r="A1663" s="105" t="s">
        <v>7095</v>
      </c>
      <c r="B1663" s="106"/>
      <c r="C1663" s="106"/>
      <c r="D1663" s="106"/>
      <c r="E1663" s="106" t="s">
        <v>7096</v>
      </c>
      <c r="F1663" s="106" t="s">
        <v>13</v>
      </c>
      <c r="G1663" s="105">
        <v>4</v>
      </c>
      <c r="H1663" s="106" t="s">
        <v>7</v>
      </c>
      <c r="I1663" s="105"/>
      <c r="J1663" s="105"/>
      <c r="K1663" s="105"/>
      <c r="L1663" s="105"/>
      <c r="M1663" s="106"/>
      <c r="N1663" s="106" t="s">
        <v>40</v>
      </c>
      <c r="O1663" s="107" t="s">
        <v>447</v>
      </c>
      <c r="P1663" s="106" t="s">
        <v>7097</v>
      </c>
    </row>
    <row r="1664" spans="1:16" outlineLevel="2" x14ac:dyDescent="0.3">
      <c r="A1664" s="105" t="s">
        <v>7098</v>
      </c>
      <c r="B1664" s="106"/>
      <c r="C1664" s="106"/>
      <c r="D1664" s="106"/>
      <c r="E1664" s="106" t="s">
        <v>7099</v>
      </c>
      <c r="F1664" s="106" t="s">
        <v>7100</v>
      </c>
      <c r="G1664" s="105">
        <v>4</v>
      </c>
      <c r="H1664" s="106" t="s">
        <v>7</v>
      </c>
      <c r="I1664" s="105" t="s">
        <v>39</v>
      </c>
      <c r="J1664" s="105"/>
      <c r="K1664" s="105"/>
      <c r="L1664" s="105"/>
      <c r="M1664" s="106" t="s">
        <v>7101</v>
      </c>
      <c r="N1664" s="106" t="s">
        <v>40</v>
      </c>
      <c r="O1664" s="107"/>
      <c r="P1664" s="106" t="s">
        <v>7102</v>
      </c>
    </row>
    <row r="1665" spans="1:16" outlineLevel="2" x14ac:dyDescent="0.3">
      <c r="A1665" s="105" t="s">
        <v>7103</v>
      </c>
      <c r="B1665" s="106"/>
      <c r="C1665" s="106"/>
      <c r="D1665" s="106"/>
      <c r="E1665" s="106" t="s">
        <v>7104</v>
      </c>
      <c r="F1665" s="106" t="s">
        <v>7105</v>
      </c>
      <c r="G1665" s="105">
        <v>4</v>
      </c>
      <c r="H1665" s="106" t="s">
        <v>7</v>
      </c>
      <c r="I1665" s="105" t="s">
        <v>39</v>
      </c>
      <c r="J1665" s="105"/>
      <c r="K1665" s="105"/>
      <c r="L1665" s="105"/>
      <c r="M1665" s="106" t="s">
        <v>7106</v>
      </c>
      <c r="N1665" s="106" t="s">
        <v>40</v>
      </c>
      <c r="O1665" s="107"/>
      <c r="P1665" s="106" t="s">
        <v>7107</v>
      </c>
    </row>
    <row r="1666" spans="1:16" outlineLevel="2" x14ac:dyDescent="0.3">
      <c r="A1666" s="105" t="s">
        <v>7108</v>
      </c>
      <c r="B1666" s="106"/>
      <c r="C1666" s="106"/>
      <c r="D1666" s="106"/>
      <c r="E1666" s="106" t="s">
        <v>7109</v>
      </c>
      <c r="F1666" s="106" t="s">
        <v>7110</v>
      </c>
      <c r="G1666" s="105">
        <v>4</v>
      </c>
      <c r="H1666" s="106" t="s">
        <v>7</v>
      </c>
      <c r="I1666" s="105" t="s">
        <v>39</v>
      </c>
      <c r="J1666" s="105"/>
      <c r="K1666" s="105"/>
      <c r="L1666" s="105"/>
      <c r="M1666" s="106" t="s">
        <v>7111</v>
      </c>
      <c r="N1666" s="106" t="s">
        <v>40</v>
      </c>
      <c r="O1666" s="107"/>
      <c r="P1666" s="106" t="s">
        <v>7112</v>
      </c>
    </row>
    <row r="1667" spans="1:16" outlineLevel="2" x14ac:dyDescent="0.3">
      <c r="A1667" s="105" t="s">
        <v>7113</v>
      </c>
      <c r="B1667" s="106"/>
      <c r="C1667" s="106"/>
      <c r="D1667" s="106"/>
      <c r="E1667" s="106" t="s">
        <v>7114</v>
      </c>
      <c r="F1667" s="106" t="s">
        <v>7115</v>
      </c>
      <c r="G1667" s="105">
        <v>4</v>
      </c>
      <c r="H1667" s="106" t="s">
        <v>7</v>
      </c>
      <c r="I1667" s="105" t="s">
        <v>39</v>
      </c>
      <c r="J1667" s="105"/>
      <c r="K1667" s="105"/>
      <c r="L1667" s="105"/>
      <c r="M1667" s="106" t="s">
        <v>7116</v>
      </c>
      <c r="N1667" s="106" t="s">
        <v>40</v>
      </c>
      <c r="O1667" s="107"/>
      <c r="P1667" s="106" t="s">
        <v>7117</v>
      </c>
    </row>
    <row r="1668" spans="1:16" outlineLevel="2" x14ac:dyDescent="0.3">
      <c r="A1668" s="105" t="s">
        <v>7118</v>
      </c>
      <c r="B1668" s="106"/>
      <c r="C1668" s="106"/>
      <c r="D1668" s="106"/>
      <c r="E1668" s="106" t="s">
        <v>7119</v>
      </c>
      <c r="F1668" s="106" t="s">
        <v>13</v>
      </c>
      <c r="G1668" s="105">
        <v>4</v>
      </c>
      <c r="H1668" s="106" t="s">
        <v>7</v>
      </c>
      <c r="I1668" s="105"/>
      <c r="J1668" s="105"/>
      <c r="K1668" s="105"/>
      <c r="L1668" s="105"/>
      <c r="M1668" s="106"/>
      <c r="N1668" s="106" t="s">
        <v>40</v>
      </c>
      <c r="O1668" s="107" t="s">
        <v>447</v>
      </c>
      <c r="P1668" s="106" t="s">
        <v>7120</v>
      </c>
    </row>
    <row r="1669" spans="1:16" outlineLevel="2" x14ac:dyDescent="0.3">
      <c r="A1669" s="105" t="s">
        <v>7121</v>
      </c>
      <c r="B1669" s="106"/>
      <c r="C1669" s="106"/>
      <c r="D1669" s="106"/>
      <c r="E1669" s="106" t="s">
        <v>7122</v>
      </c>
      <c r="F1669" s="106" t="s">
        <v>7123</v>
      </c>
      <c r="G1669" s="105">
        <v>4</v>
      </c>
      <c r="H1669" s="106" t="s">
        <v>7</v>
      </c>
      <c r="I1669" s="105" t="s">
        <v>39</v>
      </c>
      <c r="J1669" s="105"/>
      <c r="K1669" s="105"/>
      <c r="L1669" s="105"/>
      <c r="M1669" s="106" t="s">
        <v>7124</v>
      </c>
      <c r="N1669" s="106" t="s">
        <v>40</v>
      </c>
      <c r="O1669" s="107"/>
      <c r="P1669" s="106" t="s">
        <v>7125</v>
      </c>
    </row>
    <row r="1670" spans="1:16" outlineLevel="2" x14ac:dyDescent="0.3">
      <c r="A1670" s="105" t="s">
        <v>7126</v>
      </c>
      <c r="B1670" s="106"/>
      <c r="C1670" s="106"/>
      <c r="D1670" s="106"/>
      <c r="E1670" s="106" t="s">
        <v>7127</v>
      </c>
      <c r="F1670" s="106" t="s">
        <v>13</v>
      </c>
      <c r="G1670" s="105">
        <v>4</v>
      </c>
      <c r="H1670" s="106" t="s">
        <v>7</v>
      </c>
      <c r="I1670" s="105"/>
      <c r="J1670" s="105"/>
      <c r="K1670" s="105"/>
      <c r="L1670" s="105"/>
      <c r="M1670" s="106" t="s">
        <v>7128</v>
      </c>
      <c r="N1670" s="106" t="s">
        <v>40</v>
      </c>
      <c r="O1670" s="107" t="s">
        <v>447</v>
      </c>
      <c r="P1670" s="106" t="s">
        <v>7129</v>
      </c>
    </row>
    <row r="1671" spans="1:16" outlineLevel="2" x14ac:dyDescent="0.3">
      <c r="A1671" s="105" t="s">
        <v>7130</v>
      </c>
      <c r="B1671" s="106"/>
      <c r="C1671" s="106"/>
      <c r="D1671" s="106"/>
      <c r="E1671" s="106" t="s">
        <v>7131</v>
      </c>
      <c r="F1671" s="106" t="s">
        <v>13</v>
      </c>
      <c r="G1671" s="105">
        <v>4</v>
      </c>
      <c r="H1671" s="106" t="s">
        <v>7</v>
      </c>
      <c r="I1671" s="105"/>
      <c r="J1671" s="105"/>
      <c r="K1671" s="105"/>
      <c r="L1671" s="105"/>
      <c r="M1671" s="106" t="s">
        <v>7132</v>
      </c>
      <c r="N1671" s="106" t="s">
        <v>40</v>
      </c>
      <c r="O1671" s="107" t="s">
        <v>447</v>
      </c>
      <c r="P1671" s="106" t="s">
        <v>7133</v>
      </c>
    </row>
    <row r="1672" spans="1:16" outlineLevel="2" x14ac:dyDescent="0.3">
      <c r="A1672" s="105" t="s">
        <v>7134</v>
      </c>
      <c r="B1672" s="106"/>
      <c r="C1672" s="106"/>
      <c r="D1672" s="106"/>
      <c r="E1672" s="106" t="s">
        <v>7135</v>
      </c>
      <c r="F1672" s="106" t="s">
        <v>13</v>
      </c>
      <c r="G1672" s="105">
        <v>4</v>
      </c>
      <c r="H1672" s="106" t="s">
        <v>7</v>
      </c>
      <c r="I1672" s="105"/>
      <c r="J1672" s="105"/>
      <c r="K1672" s="105"/>
      <c r="L1672" s="105"/>
      <c r="M1672" s="106"/>
      <c r="N1672" s="106" t="s">
        <v>40</v>
      </c>
      <c r="O1672" s="107" t="s">
        <v>447</v>
      </c>
      <c r="P1672" s="106" t="s">
        <v>7136</v>
      </c>
    </row>
    <row r="1673" spans="1:16" ht="27.6" outlineLevel="1" x14ac:dyDescent="0.3">
      <c r="A1673" s="281" t="s">
        <v>7137</v>
      </c>
      <c r="B1673" s="282"/>
      <c r="C1673" s="283" t="s">
        <v>7138</v>
      </c>
      <c r="D1673" s="282"/>
      <c r="E1673" s="282"/>
      <c r="F1673" s="282"/>
      <c r="G1673" s="281">
        <v>2</v>
      </c>
      <c r="H1673" s="282" t="s">
        <v>25</v>
      </c>
      <c r="I1673" s="281" t="s">
        <v>39</v>
      </c>
      <c r="J1673" s="281">
        <v>13</v>
      </c>
      <c r="K1673" s="281">
        <v>0</v>
      </c>
      <c r="L1673" s="281">
        <v>13</v>
      </c>
      <c r="M1673" s="284" t="s">
        <v>7139</v>
      </c>
      <c r="N1673" s="284" t="s">
        <v>40</v>
      </c>
      <c r="O1673" s="285"/>
      <c r="P1673" s="284" t="s">
        <v>7140</v>
      </c>
    </row>
    <row r="1674" spans="1:16" outlineLevel="2" x14ac:dyDescent="0.3">
      <c r="A1674" s="105" t="s">
        <v>7141</v>
      </c>
      <c r="B1674" s="106"/>
      <c r="C1674" s="106"/>
      <c r="D1674" s="106"/>
      <c r="E1674" s="106" t="s">
        <v>7142</v>
      </c>
      <c r="F1674" s="106" t="s">
        <v>7143</v>
      </c>
      <c r="G1674" s="105">
        <v>4</v>
      </c>
      <c r="H1674" s="106" t="s">
        <v>7</v>
      </c>
      <c r="I1674" s="105" t="s">
        <v>39</v>
      </c>
      <c r="J1674" s="105"/>
      <c r="K1674" s="105"/>
      <c r="L1674" s="105"/>
      <c r="M1674" s="106" t="s">
        <v>7144</v>
      </c>
      <c r="N1674" s="106" t="s">
        <v>40</v>
      </c>
      <c r="O1674" s="107"/>
      <c r="P1674" s="106" t="s">
        <v>7145</v>
      </c>
    </row>
    <row r="1675" spans="1:16" outlineLevel="2" x14ac:dyDescent="0.3">
      <c r="A1675" s="105" t="s">
        <v>7146</v>
      </c>
      <c r="B1675" s="106"/>
      <c r="C1675" s="106"/>
      <c r="D1675" s="106"/>
      <c r="E1675" s="106" t="s">
        <v>7147</v>
      </c>
      <c r="F1675" s="106" t="s">
        <v>7148</v>
      </c>
      <c r="G1675" s="105">
        <v>4</v>
      </c>
      <c r="H1675" s="106" t="s">
        <v>7</v>
      </c>
      <c r="I1675" s="105" t="s">
        <v>39</v>
      </c>
      <c r="J1675" s="105"/>
      <c r="K1675" s="105"/>
      <c r="L1675" s="105"/>
      <c r="M1675" s="106" t="s">
        <v>7149</v>
      </c>
      <c r="N1675" s="106" t="s">
        <v>40</v>
      </c>
      <c r="O1675" s="107"/>
      <c r="P1675" s="106" t="s">
        <v>7150</v>
      </c>
    </row>
    <row r="1676" spans="1:16" outlineLevel="2" x14ac:dyDescent="0.3">
      <c r="A1676" s="105" t="s">
        <v>7151</v>
      </c>
      <c r="B1676" s="106"/>
      <c r="C1676" s="106"/>
      <c r="D1676" s="106"/>
      <c r="E1676" s="106" t="s">
        <v>7152</v>
      </c>
      <c r="F1676" s="106" t="s">
        <v>7153</v>
      </c>
      <c r="G1676" s="105">
        <v>4</v>
      </c>
      <c r="H1676" s="106" t="s">
        <v>7</v>
      </c>
      <c r="I1676" s="105" t="s">
        <v>39</v>
      </c>
      <c r="J1676" s="105"/>
      <c r="K1676" s="105"/>
      <c r="L1676" s="105"/>
      <c r="M1676" s="106" t="s">
        <v>7154</v>
      </c>
      <c r="N1676" s="106" t="s">
        <v>40</v>
      </c>
      <c r="O1676" s="107"/>
      <c r="P1676" s="106" t="s">
        <v>7155</v>
      </c>
    </row>
    <row r="1677" spans="1:16" outlineLevel="2" x14ac:dyDescent="0.3">
      <c r="A1677" s="105" t="s">
        <v>7156</v>
      </c>
      <c r="B1677" s="106"/>
      <c r="C1677" s="106"/>
      <c r="D1677" s="106"/>
      <c r="E1677" s="106" t="s">
        <v>7157</v>
      </c>
      <c r="F1677" s="106" t="s">
        <v>7158</v>
      </c>
      <c r="G1677" s="105">
        <v>4</v>
      </c>
      <c r="H1677" s="106" t="s">
        <v>7</v>
      </c>
      <c r="I1677" s="105" t="s">
        <v>39</v>
      </c>
      <c r="J1677" s="105"/>
      <c r="K1677" s="105"/>
      <c r="L1677" s="105"/>
      <c r="M1677" s="106" t="s">
        <v>7159</v>
      </c>
      <c r="N1677" s="106" t="s">
        <v>40</v>
      </c>
      <c r="O1677" s="107"/>
      <c r="P1677" s="106" t="s">
        <v>7160</v>
      </c>
    </row>
    <row r="1678" spans="1:16" outlineLevel="2" x14ac:dyDescent="0.3">
      <c r="A1678" s="105" t="s">
        <v>7161</v>
      </c>
      <c r="B1678" s="106"/>
      <c r="C1678" s="106"/>
      <c r="D1678" s="106"/>
      <c r="E1678" s="106" t="s">
        <v>7162</v>
      </c>
      <c r="F1678" s="106" t="s">
        <v>7163</v>
      </c>
      <c r="G1678" s="105">
        <v>4</v>
      </c>
      <c r="H1678" s="106" t="s">
        <v>7</v>
      </c>
      <c r="I1678" s="105" t="s">
        <v>39</v>
      </c>
      <c r="J1678" s="105"/>
      <c r="K1678" s="105"/>
      <c r="L1678" s="105"/>
      <c r="M1678" s="106" t="s">
        <v>7164</v>
      </c>
      <c r="N1678" s="106" t="s">
        <v>40</v>
      </c>
      <c r="O1678" s="107"/>
      <c r="P1678" s="106" t="s">
        <v>7165</v>
      </c>
    </row>
    <row r="1679" spans="1:16" outlineLevel="2" x14ac:dyDescent="0.3">
      <c r="A1679" s="105" t="s">
        <v>7166</v>
      </c>
      <c r="B1679" s="106"/>
      <c r="C1679" s="106"/>
      <c r="D1679" s="106"/>
      <c r="E1679" s="106" t="s">
        <v>7167</v>
      </c>
      <c r="F1679" s="106" t="s">
        <v>7168</v>
      </c>
      <c r="G1679" s="105">
        <v>4</v>
      </c>
      <c r="H1679" s="106" t="s">
        <v>7</v>
      </c>
      <c r="I1679" s="105" t="s">
        <v>39</v>
      </c>
      <c r="J1679" s="105"/>
      <c r="K1679" s="105"/>
      <c r="L1679" s="105"/>
      <c r="M1679" s="106" t="s">
        <v>7169</v>
      </c>
      <c r="N1679" s="106" t="s">
        <v>223</v>
      </c>
      <c r="O1679" s="107"/>
      <c r="P1679" s="106" t="s">
        <v>7170</v>
      </c>
    </row>
    <row r="1680" spans="1:16" outlineLevel="2" x14ac:dyDescent="0.3">
      <c r="A1680" s="105" t="s">
        <v>7171</v>
      </c>
      <c r="B1680" s="106"/>
      <c r="C1680" s="106"/>
      <c r="D1680" s="106"/>
      <c r="E1680" s="106" t="s">
        <v>7172</v>
      </c>
      <c r="F1680" s="106" t="s">
        <v>7173</v>
      </c>
      <c r="G1680" s="105">
        <v>4</v>
      </c>
      <c r="H1680" s="106" t="s">
        <v>7</v>
      </c>
      <c r="I1680" s="105" t="s">
        <v>39</v>
      </c>
      <c r="J1680" s="105"/>
      <c r="K1680" s="105"/>
      <c r="L1680" s="105"/>
      <c r="M1680" s="106" t="s">
        <v>7174</v>
      </c>
      <c r="N1680" s="106" t="s">
        <v>40</v>
      </c>
      <c r="O1680" s="107"/>
      <c r="P1680" s="106" t="s">
        <v>7175</v>
      </c>
    </row>
    <row r="1681" spans="1:16" outlineLevel="2" x14ac:dyDescent="0.3">
      <c r="A1681" s="105" t="s">
        <v>7176</v>
      </c>
      <c r="B1681" s="106"/>
      <c r="C1681" s="106"/>
      <c r="D1681" s="106"/>
      <c r="E1681" s="106" t="s">
        <v>7177</v>
      </c>
      <c r="F1681" s="106" t="s">
        <v>7178</v>
      </c>
      <c r="G1681" s="105">
        <v>4</v>
      </c>
      <c r="H1681" s="106" t="s">
        <v>7</v>
      </c>
      <c r="I1681" s="105" t="s">
        <v>39</v>
      </c>
      <c r="J1681" s="105"/>
      <c r="K1681" s="105"/>
      <c r="L1681" s="105"/>
      <c r="M1681" s="106" t="s">
        <v>7179</v>
      </c>
      <c r="N1681" s="106" t="s">
        <v>40</v>
      </c>
      <c r="O1681" s="107"/>
      <c r="P1681" s="106" t="s">
        <v>7180</v>
      </c>
    </row>
    <row r="1682" spans="1:16" outlineLevel="2" x14ac:dyDescent="0.3">
      <c r="A1682" s="105" t="s">
        <v>7181</v>
      </c>
      <c r="B1682" s="106"/>
      <c r="C1682" s="106"/>
      <c r="D1682" s="106"/>
      <c r="E1682" s="106" t="s">
        <v>7182</v>
      </c>
      <c r="F1682" s="106" t="s">
        <v>7183</v>
      </c>
      <c r="G1682" s="105">
        <v>4</v>
      </c>
      <c r="H1682" s="106" t="s">
        <v>7</v>
      </c>
      <c r="I1682" s="105" t="s">
        <v>39</v>
      </c>
      <c r="J1682" s="105"/>
      <c r="K1682" s="105"/>
      <c r="L1682" s="105"/>
      <c r="M1682" s="106" t="s">
        <v>7184</v>
      </c>
      <c r="N1682" s="106" t="s">
        <v>40</v>
      </c>
      <c r="O1682" s="107"/>
      <c r="P1682" s="106" t="s">
        <v>7185</v>
      </c>
    </row>
    <row r="1683" spans="1:16" outlineLevel="2" x14ac:dyDescent="0.3">
      <c r="A1683" s="105" t="s">
        <v>7186</v>
      </c>
      <c r="B1683" s="106"/>
      <c r="C1683" s="106"/>
      <c r="D1683" s="106"/>
      <c r="E1683" s="106" t="s">
        <v>7187</v>
      </c>
      <c r="F1683" s="106" t="s">
        <v>7188</v>
      </c>
      <c r="G1683" s="105">
        <v>4</v>
      </c>
      <c r="H1683" s="106" t="s">
        <v>7</v>
      </c>
      <c r="I1683" s="105" t="s">
        <v>39</v>
      </c>
      <c r="J1683" s="105"/>
      <c r="K1683" s="105"/>
      <c r="L1683" s="105"/>
      <c r="M1683" s="106" t="s">
        <v>7189</v>
      </c>
      <c r="N1683" s="106" t="s">
        <v>40</v>
      </c>
      <c r="O1683" s="107"/>
      <c r="P1683" s="106" t="s">
        <v>7190</v>
      </c>
    </row>
    <row r="1684" spans="1:16" outlineLevel="2" x14ac:dyDescent="0.3">
      <c r="A1684" s="105" t="s">
        <v>7191</v>
      </c>
      <c r="B1684" s="106"/>
      <c r="C1684" s="106"/>
      <c r="D1684" s="106"/>
      <c r="E1684" s="106" t="s">
        <v>7192</v>
      </c>
      <c r="F1684" s="106" t="s">
        <v>7193</v>
      </c>
      <c r="G1684" s="105">
        <v>4</v>
      </c>
      <c r="H1684" s="106" t="s">
        <v>7</v>
      </c>
      <c r="I1684" s="105" t="s">
        <v>39</v>
      </c>
      <c r="J1684" s="105"/>
      <c r="K1684" s="105"/>
      <c r="L1684" s="105"/>
      <c r="M1684" s="106" t="s">
        <v>7194</v>
      </c>
      <c r="N1684" s="106" t="s">
        <v>40</v>
      </c>
      <c r="O1684" s="107"/>
      <c r="P1684" s="106" t="s">
        <v>7195</v>
      </c>
    </row>
    <row r="1685" spans="1:16" outlineLevel="2" x14ac:dyDescent="0.3">
      <c r="A1685" s="105" t="s">
        <v>7196</v>
      </c>
      <c r="B1685" s="106"/>
      <c r="C1685" s="106"/>
      <c r="D1685" s="106"/>
      <c r="E1685" s="106" t="s">
        <v>7197</v>
      </c>
      <c r="F1685" s="106" t="s">
        <v>7198</v>
      </c>
      <c r="G1685" s="105">
        <v>4</v>
      </c>
      <c r="H1685" s="106" t="s">
        <v>7</v>
      </c>
      <c r="I1685" s="105" t="s">
        <v>39</v>
      </c>
      <c r="J1685" s="105"/>
      <c r="K1685" s="105"/>
      <c r="L1685" s="105"/>
      <c r="M1685" s="106" t="s">
        <v>7199</v>
      </c>
      <c r="N1685" s="106" t="s">
        <v>40</v>
      </c>
      <c r="O1685" s="107"/>
      <c r="P1685" s="106" t="s">
        <v>7200</v>
      </c>
    </row>
    <row r="1686" spans="1:16" outlineLevel="2" x14ac:dyDescent="0.3">
      <c r="A1686" s="105" t="s">
        <v>7201</v>
      </c>
      <c r="B1686" s="106"/>
      <c r="C1686" s="106"/>
      <c r="D1686" s="106"/>
      <c r="E1686" s="106" t="s">
        <v>7202</v>
      </c>
      <c r="F1686" s="106" t="s">
        <v>7203</v>
      </c>
      <c r="G1686" s="105">
        <v>4</v>
      </c>
      <c r="H1686" s="106" t="s">
        <v>7</v>
      </c>
      <c r="I1686" s="105" t="s">
        <v>39</v>
      </c>
      <c r="J1686" s="105"/>
      <c r="K1686" s="105"/>
      <c r="L1686" s="105"/>
      <c r="M1686" s="106" t="s">
        <v>7204</v>
      </c>
      <c r="N1686" s="106" t="s">
        <v>40</v>
      </c>
      <c r="O1686" s="107" t="s">
        <v>332</v>
      </c>
      <c r="P1686" s="106" t="s">
        <v>7205</v>
      </c>
    </row>
    <row r="1687" spans="1:16" ht="27.6" outlineLevel="1" x14ac:dyDescent="0.3">
      <c r="A1687" s="281" t="s">
        <v>7206</v>
      </c>
      <c r="B1687" s="282"/>
      <c r="C1687" s="283" t="s">
        <v>7207</v>
      </c>
      <c r="D1687" s="282"/>
      <c r="E1687" s="282"/>
      <c r="F1687" s="282"/>
      <c r="G1687" s="281">
        <v>2</v>
      </c>
      <c r="H1687" s="282" t="s">
        <v>25</v>
      </c>
      <c r="I1687" s="281" t="s">
        <v>39</v>
      </c>
      <c r="J1687" s="281">
        <v>6</v>
      </c>
      <c r="K1687" s="281">
        <v>2</v>
      </c>
      <c r="L1687" s="281">
        <v>8</v>
      </c>
      <c r="M1687" s="284" t="s">
        <v>7208</v>
      </c>
      <c r="N1687" s="284" t="s">
        <v>40</v>
      </c>
      <c r="O1687" s="285"/>
      <c r="P1687" s="284" t="s">
        <v>7209</v>
      </c>
    </row>
    <row r="1688" spans="1:16" outlineLevel="2" x14ac:dyDescent="0.3">
      <c r="A1688" s="105" t="s">
        <v>7210</v>
      </c>
      <c r="B1688" s="106"/>
      <c r="C1688" s="106"/>
      <c r="D1688" s="106"/>
      <c r="E1688" s="106" t="s">
        <v>7211</v>
      </c>
      <c r="F1688" s="106" t="s">
        <v>7212</v>
      </c>
      <c r="G1688" s="105">
        <v>4</v>
      </c>
      <c r="H1688" s="106" t="s">
        <v>7</v>
      </c>
      <c r="I1688" s="105" t="s">
        <v>39</v>
      </c>
      <c r="J1688" s="105"/>
      <c r="K1688" s="105"/>
      <c r="L1688" s="105"/>
      <c r="M1688" s="106" t="s">
        <v>7213</v>
      </c>
      <c r="N1688" s="106" t="s">
        <v>40</v>
      </c>
      <c r="O1688" s="107"/>
      <c r="P1688" s="106" t="s">
        <v>7214</v>
      </c>
    </row>
    <row r="1689" spans="1:16" outlineLevel="2" x14ac:dyDescent="0.3">
      <c r="A1689" s="105" t="s">
        <v>7215</v>
      </c>
      <c r="B1689" s="106"/>
      <c r="C1689" s="106"/>
      <c r="D1689" s="106"/>
      <c r="E1689" s="106" t="s">
        <v>7216</v>
      </c>
      <c r="F1689" s="106" t="s">
        <v>7217</v>
      </c>
      <c r="G1689" s="105">
        <v>4</v>
      </c>
      <c r="H1689" s="106" t="s">
        <v>7</v>
      </c>
      <c r="I1689" s="105" t="s">
        <v>39</v>
      </c>
      <c r="J1689" s="105"/>
      <c r="K1689" s="105"/>
      <c r="L1689" s="105"/>
      <c r="M1689" s="106" t="s">
        <v>7218</v>
      </c>
      <c r="N1689" s="106" t="s">
        <v>40</v>
      </c>
      <c r="O1689" s="107" t="s">
        <v>332</v>
      </c>
      <c r="P1689" s="106" t="s">
        <v>7219</v>
      </c>
    </row>
    <row r="1690" spans="1:16" outlineLevel="2" x14ac:dyDescent="0.3">
      <c r="A1690" s="105" t="s">
        <v>7220</v>
      </c>
      <c r="B1690" s="106"/>
      <c r="C1690" s="106"/>
      <c r="D1690" s="106"/>
      <c r="E1690" s="106" t="s">
        <v>7221</v>
      </c>
      <c r="F1690" s="106" t="s">
        <v>7222</v>
      </c>
      <c r="G1690" s="105">
        <v>4</v>
      </c>
      <c r="H1690" s="106" t="s">
        <v>7</v>
      </c>
      <c r="I1690" s="105" t="s">
        <v>39</v>
      </c>
      <c r="J1690" s="105"/>
      <c r="K1690" s="105"/>
      <c r="L1690" s="105"/>
      <c r="M1690" s="106" t="s">
        <v>7223</v>
      </c>
      <c r="N1690" s="106" t="s">
        <v>40</v>
      </c>
      <c r="O1690" s="107"/>
      <c r="P1690" s="106" t="s">
        <v>7224</v>
      </c>
    </row>
    <row r="1691" spans="1:16" outlineLevel="2" x14ac:dyDescent="0.3">
      <c r="A1691" s="105" t="s">
        <v>7225</v>
      </c>
      <c r="B1691" s="106"/>
      <c r="C1691" s="106"/>
      <c r="D1691" s="106"/>
      <c r="E1691" s="106" t="s">
        <v>7226</v>
      </c>
      <c r="F1691" s="106" t="s">
        <v>7227</v>
      </c>
      <c r="G1691" s="105">
        <v>4</v>
      </c>
      <c r="H1691" s="106" t="s">
        <v>7</v>
      </c>
      <c r="I1691" s="105" t="s">
        <v>39</v>
      </c>
      <c r="J1691" s="105"/>
      <c r="K1691" s="105"/>
      <c r="L1691" s="105"/>
      <c r="M1691" s="106" t="s">
        <v>7228</v>
      </c>
      <c r="N1691" s="106" t="s">
        <v>40</v>
      </c>
      <c r="O1691" s="107"/>
      <c r="P1691" s="106" t="s">
        <v>7229</v>
      </c>
    </row>
    <row r="1692" spans="1:16" outlineLevel="2" x14ac:dyDescent="0.3">
      <c r="A1692" s="105" t="s">
        <v>7230</v>
      </c>
      <c r="B1692" s="106"/>
      <c r="C1692" s="106"/>
      <c r="D1692" s="106"/>
      <c r="E1692" s="106" t="s">
        <v>7231</v>
      </c>
      <c r="F1692" s="106" t="s">
        <v>7232</v>
      </c>
      <c r="G1692" s="105">
        <v>4</v>
      </c>
      <c r="H1692" s="106" t="s">
        <v>7</v>
      </c>
      <c r="I1692" s="105" t="s">
        <v>39</v>
      </c>
      <c r="J1692" s="105"/>
      <c r="K1692" s="105"/>
      <c r="L1692" s="105"/>
      <c r="M1692" s="106" t="s">
        <v>7233</v>
      </c>
      <c r="N1692" s="106" t="s">
        <v>40</v>
      </c>
      <c r="O1692" s="107"/>
      <c r="P1692" s="106" t="s">
        <v>7234</v>
      </c>
    </row>
    <row r="1693" spans="1:16" outlineLevel="2" x14ac:dyDescent="0.3">
      <c r="A1693" s="105" t="s">
        <v>7235</v>
      </c>
      <c r="B1693" s="106"/>
      <c r="C1693" s="106"/>
      <c r="D1693" s="106"/>
      <c r="E1693" s="106" t="s">
        <v>7236</v>
      </c>
      <c r="F1693" s="106" t="s">
        <v>7237</v>
      </c>
      <c r="G1693" s="105">
        <v>4</v>
      </c>
      <c r="H1693" s="106" t="s">
        <v>7</v>
      </c>
      <c r="I1693" s="105" t="s">
        <v>39</v>
      </c>
      <c r="J1693" s="105"/>
      <c r="K1693" s="105"/>
      <c r="L1693" s="105"/>
      <c r="M1693" s="106" t="s">
        <v>7238</v>
      </c>
      <c r="N1693" s="106" t="s">
        <v>40</v>
      </c>
      <c r="O1693" s="107"/>
      <c r="P1693" s="106" t="s">
        <v>7239</v>
      </c>
    </row>
    <row r="1694" spans="1:16" outlineLevel="2" x14ac:dyDescent="0.3">
      <c r="A1694" s="105" t="s">
        <v>7240</v>
      </c>
      <c r="B1694" s="106"/>
      <c r="C1694" s="106"/>
      <c r="D1694" s="106"/>
      <c r="E1694" s="106" t="s">
        <v>7241</v>
      </c>
      <c r="F1694" s="106" t="s">
        <v>13</v>
      </c>
      <c r="G1694" s="105">
        <v>4</v>
      </c>
      <c r="H1694" s="106" t="s">
        <v>7</v>
      </c>
      <c r="I1694" s="105"/>
      <c r="J1694" s="105"/>
      <c r="K1694" s="105"/>
      <c r="L1694" s="105"/>
      <c r="M1694" s="106"/>
      <c r="N1694" s="106" t="s">
        <v>40</v>
      </c>
      <c r="O1694" s="107" t="s">
        <v>447</v>
      </c>
      <c r="P1694" s="106" t="s">
        <v>7242</v>
      </c>
    </row>
    <row r="1695" spans="1:16" outlineLevel="2" x14ac:dyDescent="0.3">
      <c r="A1695" s="105" t="s">
        <v>7243</v>
      </c>
      <c r="B1695" s="106"/>
      <c r="C1695" s="106"/>
      <c r="D1695" s="106"/>
      <c r="E1695" s="106" t="s">
        <v>7244</v>
      </c>
      <c r="F1695" s="106" t="s">
        <v>13</v>
      </c>
      <c r="G1695" s="105">
        <v>4</v>
      </c>
      <c r="H1695" s="106" t="s">
        <v>7</v>
      </c>
      <c r="I1695" s="105"/>
      <c r="J1695" s="105"/>
      <c r="K1695" s="105"/>
      <c r="L1695" s="105"/>
      <c r="M1695" s="106"/>
      <c r="N1695" s="106" t="s">
        <v>40</v>
      </c>
      <c r="O1695" s="107" t="s">
        <v>447</v>
      </c>
      <c r="P1695" s="106" t="s">
        <v>7245</v>
      </c>
    </row>
    <row r="1696" spans="1:16" ht="27.6" x14ac:dyDescent="0.3">
      <c r="A1696" s="286" t="s">
        <v>7246</v>
      </c>
      <c r="B1696" s="287" t="s">
        <v>7247</v>
      </c>
      <c r="C1696" s="288" t="str">
        <f>COUNTIFS($G1697:$G1705,2)&amp;" subcapas"</f>
        <v>2 subcapas</v>
      </c>
      <c r="D1696" s="287"/>
      <c r="E1696" s="287"/>
      <c r="F1696" s="287"/>
      <c r="G1696" s="286">
        <v>1</v>
      </c>
      <c r="H1696" s="287" t="s">
        <v>2</v>
      </c>
      <c r="I1696" s="286"/>
      <c r="J1696" s="289">
        <f>SUMIFS(J1697:J1705,$G1697:$G1705,2)</f>
        <v>7</v>
      </c>
      <c r="K1696" s="289">
        <f>SUMIFS(K1697:K1705,$G1697:$G1705,2)</f>
        <v>0</v>
      </c>
      <c r="L1696" s="289">
        <f>SUMIFS(L1697:L1705,$G1697:$G1705,2)</f>
        <v>7</v>
      </c>
      <c r="M1696" s="290" t="s">
        <v>7248</v>
      </c>
      <c r="N1696" s="287"/>
      <c r="O1696" s="287"/>
      <c r="P1696" s="287"/>
    </row>
    <row r="1697" spans="1:16" ht="27.6" outlineLevel="1" x14ac:dyDescent="0.3">
      <c r="A1697" s="291" t="s">
        <v>7249</v>
      </c>
      <c r="B1697" s="292"/>
      <c r="C1697" s="293" t="s">
        <v>7250</v>
      </c>
      <c r="D1697" s="292"/>
      <c r="E1697" s="292"/>
      <c r="F1697" s="292"/>
      <c r="G1697" s="291">
        <v>2</v>
      </c>
      <c r="H1697" s="292" t="s">
        <v>25</v>
      </c>
      <c r="I1697" s="291" t="s">
        <v>39</v>
      </c>
      <c r="J1697" s="291">
        <v>7</v>
      </c>
      <c r="K1697" s="291">
        <v>0</v>
      </c>
      <c r="L1697" s="291">
        <v>7</v>
      </c>
      <c r="M1697" s="294" t="s">
        <v>7251</v>
      </c>
      <c r="N1697" s="294" t="s">
        <v>40</v>
      </c>
      <c r="O1697" s="295"/>
      <c r="P1697" s="294" t="s">
        <v>7252</v>
      </c>
    </row>
    <row r="1698" spans="1:16" outlineLevel="2" x14ac:dyDescent="0.3">
      <c r="A1698" s="105" t="s">
        <v>7253</v>
      </c>
      <c r="B1698" s="106"/>
      <c r="C1698" s="106"/>
      <c r="D1698" s="106"/>
      <c r="E1698" s="106" t="s">
        <v>7254</v>
      </c>
      <c r="F1698" s="106" t="s">
        <v>7255</v>
      </c>
      <c r="G1698" s="105">
        <v>4</v>
      </c>
      <c r="H1698" s="106" t="s">
        <v>7</v>
      </c>
      <c r="I1698" s="105" t="s">
        <v>39</v>
      </c>
      <c r="J1698" s="105"/>
      <c r="K1698" s="105"/>
      <c r="L1698" s="105"/>
      <c r="M1698" s="106"/>
      <c r="N1698" s="106" t="s">
        <v>40</v>
      </c>
      <c r="O1698" s="107"/>
      <c r="P1698" s="106" t="s">
        <v>7256</v>
      </c>
    </row>
    <row r="1699" spans="1:16" outlineLevel="2" x14ac:dyDescent="0.3">
      <c r="A1699" s="105" t="s">
        <v>7257</v>
      </c>
      <c r="B1699" s="106"/>
      <c r="C1699" s="106"/>
      <c r="D1699" s="106"/>
      <c r="E1699" s="106" t="s">
        <v>3386</v>
      </c>
      <c r="F1699" s="106" t="s">
        <v>7258</v>
      </c>
      <c r="G1699" s="105">
        <v>4</v>
      </c>
      <c r="H1699" s="106" t="s">
        <v>7</v>
      </c>
      <c r="I1699" s="105" t="s">
        <v>39</v>
      </c>
      <c r="J1699" s="105"/>
      <c r="K1699" s="105"/>
      <c r="L1699" s="105"/>
      <c r="M1699" s="106"/>
      <c r="N1699" s="106" t="s">
        <v>40</v>
      </c>
      <c r="O1699" s="107"/>
      <c r="P1699" s="106" t="s">
        <v>7259</v>
      </c>
    </row>
    <row r="1700" spans="1:16" outlineLevel="2" x14ac:dyDescent="0.3">
      <c r="A1700" s="105" t="s">
        <v>7260</v>
      </c>
      <c r="B1700" s="106"/>
      <c r="C1700" s="106"/>
      <c r="D1700" s="106"/>
      <c r="E1700" s="106" t="s">
        <v>7261</v>
      </c>
      <c r="F1700" s="106" t="s">
        <v>7262</v>
      </c>
      <c r="G1700" s="105">
        <v>4</v>
      </c>
      <c r="H1700" s="106" t="s">
        <v>7</v>
      </c>
      <c r="I1700" s="105" t="s">
        <v>39</v>
      </c>
      <c r="J1700" s="105"/>
      <c r="K1700" s="105"/>
      <c r="L1700" s="105"/>
      <c r="M1700" s="106"/>
      <c r="N1700" s="106" t="s">
        <v>40</v>
      </c>
      <c r="O1700" s="107"/>
      <c r="P1700" s="106" t="s">
        <v>7263</v>
      </c>
    </row>
    <row r="1701" spans="1:16" outlineLevel="2" x14ac:dyDescent="0.3">
      <c r="A1701" s="105" t="s">
        <v>7264</v>
      </c>
      <c r="B1701" s="106"/>
      <c r="C1701" s="106"/>
      <c r="D1701" s="106"/>
      <c r="E1701" s="106" t="s">
        <v>7265</v>
      </c>
      <c r="F1701" s="106" t="s">
        <v>7266</v>
      </c>
      <c r="G1701" s="105">
        <v>4</v>
      </c>
      <c r="H1701" s="106" t="s">
        <v>7</v>
      </c>
      <c r="I1701" s="105" t="s">
        <v>39</v>
      </c>
      <c r="J1701" s="105"/>
      <c r="K1701" s="105"/>
      <c r="L1701" s="105"/>
      <c r="M1701" s="106"/>
      <c r="N1701" s="106" t="s">
        <v>40</v>
      </c>
      <c r="O1701" s="107"/>
      <c r="P1701" s="106" t="s">
        <v>7267</v>
      </c>
    </row>
    <row r="1702" spans="1:16" outlineLevel="2" x14ac:dyDescent="0.3">
      <c r="A1702" s="105" t="s">
        <v>7268</v>
      </c>
      <c r="B1702" s="106"/>
      <c r="C1702" s="106"/>
      <c r="D1702" s="106"/>
      <c r="E1702" s="106" t="s">
        <v>7269</v>
      </c>
      <c r="F1702" s="106" t="s">
        <v>7270</v>
      </c>
      <c r="G1702" s="105">
        <v>4</v>
      </c>
      <c r="H1702" s="106" t="s">
        <v>7</v>
      </c>
      <c r="I1702" s="105" t="s">
        <v>39</v>
      </c>
      <c r="J1702" s="105"/>
      <c r="K1702" s="105"/>
      <c r="L1702" s="105"/>
      <c r="M1702" s="106"/>
      <c r="N1702" s="106" t="s">
        <v>40</v>
      </c>
      <c r="O1702" s="107"/>
      <c r="P1702" s="106" t="s">
        <v>7271</v>
      </c>
    </row>
    <row r="1703" spans="1:16" outlineLevel="2" x14ac:dyDescent="0.3">
      <c r="A1703" s="105" t="s">
        <v>7272</v>
      </c>
      <c r="B1703" s="106"/>
      <c r="C1703" s="106"/>
      <c r="D1703" s="106"/>
      <c r="E1703" s="106" t="s">
        <v>7273</v>
      </c>
      <c r="F1703" s="106" t="s">
        <v>7274</v>
      </c>
      <c r="G1703" s="105">
        <v>4</v>
      </c>
      <c r="H1703" s="106" t="s">
        <v>7</v>
      </c>
      <c r="I1703" s="105" t="s">
        <v>39</v>
      </c>
      <c r="J1703" s="105"/>
      <c r="K1703" s="105"/>
      <c r="L1703" s="105"/>
      <c r="M1703" s="106"/>
      <c r="N1703" s="106" t="s">
        <v>40</v>
      </c>
      <c r="O1703" s="107"/>
      <c r="P1703" s="106" t="s">
        <v>7275</v>
      </c>
    </row>
    <row r="1704" spans="1:16" outlineLevel="2" x14ac:dyDescent="0.3">
      <c r="A1704" s="105" t="s">
        <v>7276</v>
      </c>
      <c r="B1704" s="106"/>
      <c r="C1704" s="106"/>
      <c r="D1704" s="106"/>
      <c r="E1704" s="106" t="s">
        <v>7277</v>
      </c>
      <c r="F1704" s="106" t="s">
        <v>7278</v>
      </c>
      <c r="G1704" s="105">
        <v>4</v>
      </c>
      <c r="H1704" s="106" t="s">
        <v>7</v>
      </c>
      <c r="I1704" s="105" t="s">
        <v>39</v>
      </c>
      <c r="J1704" s="105"/>
      <c r="K1704" s="105"/>
      <c r="L1704" s="105"/>
      <c r="M1704" s="106"/>
      <c r="N1704" s="106" t="s">
        <v>40</v>
      </c>
      <c r="O1704" s="107"/>
      <c r="P1704" s="106" t="s">
        <v>7279</v>
      </c>
    </row>
    <row r="1705" spans="1:16" outlineLevel="1" x14ac:dyDescent="0.3">
      <c r="A1705" s="291" t="s">
        <v>7280</v>
      </c>
      <c r="B1705" s="292"/>
      <c r="C1705" s="293" t="s">
        <v>7281</v>
      </c>
      <c r="D1705" s="292"/>
      <c r="E1705" s="292"/>
      <c r="F1705" s="292"/>
      <c r="G1705" s="291">
        <v>2</v>
      </c>
      <c r="H1705" s="292" t="s">
        <v>25</v>
      </c>
      <c r="I1705" s="291" t="s">
        <v>39</v>
      </c>
      <c r="J1705" s="291">
        <v>0</v>
      </c>
      <c r="K1705" s="291">
        <v>0</v>
      </c>
      <c r="L1705" s="291">
        <v>0</v>
      </c>
      <c r="M1705" s="294"/>
      <c r="N1705" s="294"/>
      <c r="O1705" s="295" t="s">
        <v>4691</v>
      </c>
      <c r="P1705" s="294"/>
    </row>
    <row r="1706" spans="1:16" x14ac:dyDescent="0.3">
      <c r="A1706" s="296" t="s">
        <v>7282</v>
      </c>
      <c r="B1706" s="297" t="s">
        <v>7283</v>
      </c>
      <c r="C1706" s="298" t="str">
        <f>COUNTIFS($G1707:$G1837,2)&amp;" subcapas"</f>
        <v>6 subcapas</v>
      </c>
      <c r="D1706" s="297"/>
      <c r="E1706" s="297"/>
      <c r="F1706" s="297"/>
      <c r="G1706" s="296">
        <v>1</v>
      </c>
      <c r="H1706" s="297" t="s">
        <v>2</v>
      </c>
      <c r="I1706" s="296"/>
      <c r="J1706" s="299">
        <f>SUMIFS(J1707:J1837,$G1707:$G1837,2)</f>
        <v>98</v>
      </c>
      <c r="K1706" s="299">
        <f>SUMIFS(K1707:K1837,$G1707:$G1837,2)</f>
        <v>27</v>
      </c>
      <c r="L1706" s="299">
        <f>SUMIFS(L1707:L1837,$G1707:$G1837,2)</f>
        <v>125</v>
      </c>
      <c r="M1706" s="300" t="s">
        <v>7284</v>
      </c>
      <c r="N1706" s="297"/>
      <c r="O1706" s="297"/>
      <c r="P1706" s="297" t="s">
        <v>7285</v>
      </c>
    </row>
    <row r="1707" spans="1:16" ht="27.6" outlineLevel="1" x14ac:dyDescent="0.3">
      <c r="A1707" s="301" t="s">
        <v>7286</v>
      </c>
      <c r="B1707" s="302"/>
      <c r="C1707" s="303" t="s">
        <v>7287</v>
      </c>
      <c r="D1707" s="302"/>
      <c r="E1707" s="302"/>
      <c r="F1707" s="302"/>
      <c r="G1707" s="301">
        <v>2</v>
      </c>
      <c r="H1707" s="302" t="s">
        <v>25</v>
      </c>
      <c r="I1707" s="301" t="s">
        <v>39</v>
      </c>
      <c r="J1707" s="301">
        <v>5</v>
      </c>
      <c r="K1707" s="301">
        <v>0</v>
      </c>
      <c r="L1707" s="301">
        <v>5</v>
      </c>
      <c r="M1707" s="304" t="s">
        <v>7288</v>
      </c>
      <c r="N1707" s="304" t="s">
        <v>40</v>
      </c>
      <c r="O1707" s="305"/>
      <c r="P1707" s="304" t="s">
        <v>7289</v>
      </c>
    </row>
    <row r="1708" spans="1:16" outlineLevel="2" x14ac:dyDescent="0.3">
      <c r="A1708" s="105" t="s">
        <v>7290</v>
      </c>
      <c r="B1708" s="106"/>
      <c r="C1708" s="106"/>
      <c r="D1708" s="106"/>
      <c r="E1708" s="106" t="s">
        <v>992</v>
      </c>
      <c r="F1708" s="106" t="s">
        <v>993</v>
      </c>
      <c r="G1708" s="105">
        <v>4</v>
      </c>
      <c r="H1708" s="106" t="s">
        <v>7</v>
      </c>
      <c r="I1708" s="105" t="s">
        <v>39</v>
      </c>
      <c r="J1708" s="105"/>
      <c r="K1708" s="105"/>
      <c r="L1708" s="105"/>
      <c r="M1708" s="106" t="s">
        <v>7291</v>
      </c>
      <c r="N1708" s="106" t="s">
        <v>223</v>
      </c>
      <c r="O1708" s="107"/>
      <c r="P1708" s="106" t="s">
        <v>7292</v>
      </c>
    </row>
    <row r="1709" spans="1:16" outlineLevel="2" x14ac:dyDescent="0.3">
      <c r="A1709" s="105" t="s">
        <v>7293</v>
      </c>
      <c r="B1709" s="106"/>
      <c r="C1709" s="106"/>
      <c r="D1709" s="106"/>
      <c r="E1709" s="106" t="s">
        <v>7294</v>
      </c>
      <c r="F1709" s="106" t="s">
        <v>7295</v>
      </c>
      <c r="G1709" s="105">
        <v>4</v>
      </c>
      <c r="H1709" s="106" t="s">
        <v>7</v>
      </c>
      <c r="I1709" s="105" t="s">
        <v>39</v>
      </c>
      <c r="J1709" s="105"/>
      <c r="K1709" s="105"/>
      <c r="L1709" s="105"/>
      <c r="M1709" s="106" t="s">
        <v>7296</v>
      </c>
      <c r="N1709" s="106" t="s">
        <v>40</v>
      </c>
      <c r="O1709" s="107"/>
      <c r="P1709" s="106" t="s">
        <v>7297</v>
      </c>
    </row>
    <row r="1710" spans="1:16" outlineLevel="2" x14ac:dyDescent="0.3">
      <c r="A1710" s="105" t="s">
        <v>7298</v>
      </c>
      <c r="B1710" s="106"/>
      <c r="C1710" s="106"/>
      <c r="D1710" s="106"/>
      <c r="E1710" s="106" t="s">
        <v>7299</v>
      </c>
      <c r="F1710" s="106" t="s">
        <v>7300</v>
      </c>
      <c r="G1710" s="105">
        <v>4</v>
      </c>
      <c r="H1710" s="106" t="s">
        <v>7</v>
      </c>
      <c r="I1710" s="105" t="s">
        <v>39</v>
      </c>
      <c r="J1710" s="105"/>
      <c r="K1710" s="105"/>
      <c r="L1710" s="105"/>
      <c r="M1710" s="106" t="s">
        <v>7301</v>
      </c>
      <c r="N1710" s="106" t="s">
        <v>40</v>
      </c>
      <c r="O1710" s="107"/>
      <c r="P1710" s="106" t="s">
        <v>7302</v>
      </c>
    </row>
    <row r="1711" spans="1:16" outlineLevel="2" x14ac:dyDescent="0.3">
      <c r="A1711" s="105" t="s">
        <v>7303</v>
      </c>
      <c r="B1711" s="106"/>
      <c r="C1711" s="106"/>
      <c r="D1711" s="106"/>
      <c r="E1711" s="106" t="s">
        <v>1101</v>
      </c>
      <c r="F1711" s="106" t="s">
        <v>1102</v>
      </c>
      <c r="G1711" s="105">
        <v>4</v>
      </c>
      <c r="H1711" s="106" t="s">
        <v>7</v>
      </c>
      <c r="I1711" s="105" t="s">
        <v>39</v>
      </c>
      <c r="J1711" s="105"/>
      <c r="K1711" s="105"/>
      <c r="L1711" s="105"/>
      <c r="M1711" s="106" t="s">
        <v>7304</v>
      </c>
      <c r="N1711" s="106" t="s">
        <v>40</v>
      </c>
      <c r="O1711" s="107"/>
      <c r="P1711" s="106" t="s">
        <v>7305</v>
      </c>
    </row>
    <row r="1712" spans="1:16" outlineLevel="2" x14ac:dyDescent="0.3">
      <c r="A1712" s="105" t="s">
        <v>7306</v>
      </c>
      <c r="B1712" s="106"/>
      <c r="C1712" s="106"/>
      <c r="D1712" s="106"/>
      <c r="E1712" s="106" t="s">
        <v>7307</v>
      </c>
      <c r="F1712" s="106" t="s">
        <v>7308</v>
      </c>
      <c r="G1712" s="105">
        <v>4</v>
      </c>
      <c r="H1712" s="106" t="s">
        <v>7</v>
      </c>
      <c r="I1712" s="105" t="s">
        <v>39</v>
      </c>
      <c r="J1712" s="105"/>
      <c r="K1712" s="105"/>
      <c r="L1712" s="105"/>
      <c r="M1712" s="106" t="s">
        <v>7309</v>
      </c>
      <c r="N1712" s="106" t="s">
        <v>40</v>
      </c>
      <c r="O1712" s="107"/>
      <c r="P1712" s="106" t="s">
        <v>7310</v>
      </c>
    </row>
    <row r="1713" spans="1:16" ht="27.6" outlineLevel="1" x14ac:dyDescent="0.3">
      <c r="A1713" s="301" t="s">
        <v>7311</v>
      </c>
      <c r="B1713" s="302"/>
      <c r="C1713" s="303" t="s">
        <v>7312</v>
      </c>
      <c r="D1713" s="302"/>
      <c r="E1713" s="302"/>
      <c r="F1713" s="302"/>
      <c r="G1713" s="301">
        <v>2</v>
      </c>
      <c r="H1713" s="302" t="s">
        <v>25</v>
      </c>
      <c r="I1713" s="301" t="s">
        <v>39</v>
      </c>
      <c r="J1713" s="301">
        <v>19</v>
      </c>
      <c r="K1713" s="301">
        <v>0</v>
      </c>
      <c r="L1713" s="301">
        <v>19</v>
      </c>
      <c r="M1713" s="304" t="s">
        <v>7313</v>
      </c>
      <c r="N1713" s="304" t="s">
        <v>40</v>
      </c>
      <c r="O1713" s="305"/>
      <c r="P1713" s="304" t="s">
        <v>7314</v>
      </c>
    </row>
    <row r="1714" spans="1:16" outlineLevel="2" x14ac:dyDescent="0.3">
      <c r="A1714" s="105" t="s">
        <v>7315</v>
      </c>
      <c r="B1714" s="106"/>
      <c r="C1714" s="106"/>
      <c r="D1714" s="106"/>
      <c r="E1714" s="106" t="s">
        <v>7316</v>
      </c>
      <c r="F1714" s="106" t="s">
        <v>7317</v>
      </c>
      <c r="G1714" s="105">
        <v>4</v>
      </c>
      <c r="H1714" s="106" t="s">
        <v>7</v>
      </c>
      <c r="I1714" s="105" t="s">
        <v>39</v>
      </c>
      <c r="J1714" s="105"/>
      <c r="K1714" s="105"/>
      <c r="L1714" s="105"/>
      <c r="M1714" s="106" t="s">
        <v>7318</v>
      </c>
      <c r="N1714" s="106" t="s">
        <v>40</v>
      </c>
      <c r="O1714" s="107"/>
      <c r="P1714" s="106" t="s">
        <v>7319</v>
      </c>
    </row>
    <row r="1715" spans="1:16" outlineLevel="2" x14ac:dyDescent="0.3">
      <c r="A1715" s="105" t="s">
        <v>7320</v>
      </c>
      <c r="B1715" s="106"/>
      <c r="C1715" s="106"/>
      <c r="D1715" s="106"/>
      <c r="E1715" s="106" t="s">
        <v>7321</v>
      </c>
      <c r="F1715" s="106" t="s">
        <v>7322</v>
      </c>
      <c r="G1715" s="105">
        <v>4</v>
      </c>
      <c r="H1715" s="106" t="s">
        <v>7</v>
      </c>
      <c r="I1715" s="105" t="s">
        <v>39</v>
      </c>
      <c r="J1715" s="105"/>
      <c r="K1715" s="105"/>
      <c r="L1715" s="105"/>
      <c r="M1715" s="106" t="s">
        <v>7323</v>
      </c>
      <c r="N1715" s="106" t="s">
        <v>40</v>
      </c>
      <c r="O1715" s="107"/>
      <c r="P1715" s="106" t="s">
        <v>7324</v>
      </c>
    </row>
    <row r="1716" spans="1:16" outlineLevel="2" x14ac:dyDescent="0.3">
      <c r="A1716" s="105" t="s">
        <v>7325</v>
      </c>
      <c r="B1716" s="106"/>
      <c r="C1716" s="106"/>
      <c r="D1716" s="106"/>
      <c r="E1716" s="106" t="s">
        <v>7326</v>
      </c>
      <c r="F1716" s="106" t="s">
        <v>7327</v>
      </c>
      <c r="G1716" s="105">
        <v>4</v>
      </c>
      <c r="H1716" s="106" t="s">
        <v>7</v>
      </c>
      <c r="I1716" s="105" t="s">
        <v>39</v>
      </c>
      <c r="J1716" s="105"/>
      <c r="K1716" s="105"/>
      <c r="L1716" s="105"/>
      <c r="M1716" s="106" t="s">
        <v>7328</v>
      </c>
      <c r="N1716" s="106" t="s">
        <v>40</v>
      </c>
      <c r="O1716" s="107"/>
      <c r="P1716" s="106" t="s">
        <v>7329</v>
      </c>
    </row>
    <row r="1717" spans="1:16" outlineLevel="2" x14ac:dyDescent="0.3">
      <c r="A1717" s="105" t="s">
        <v>7330</v>
      </c>
      <c r="B1717" s="106"/>
      <c r="C1717" s="106"/>
      <c r="D1717" s="106"/>
      <c r="E1717" s="106" t="s">
        <v>7331</v>
      </c>
      <c r="F1717" s="106" t="s">
        <v>4720</v>
      </c>
      <c r="G1717" s="105">
        <v>4</v>
      </c>
      <c r="H1717" s="106" t="s">
        <v>7</v>
      </c>
      <c r="I1717" s="105" t="s">
        <v>39</v>
      </c>
      <c r="J1717" s="105"/>
      <c r="K1717" s="105"/>
      <c r="L1717" s="105"/>
      <c r="M1717" s="106" t="s">
        <v>7332</v>
      </c>
      <c r="N1717" s="106" t="s">
        <v>223</v>
      </c>
      <c r="O1717" s="107"/>
      <c r="P1717" s="106" t="s">
        <v>7333</v>
      </c>
    </row>
    <row r="1718" spans="1:16" outlineLevel="2" x14ac:dyDescent="0.3">
      <c r="A1718" s="105" t="s">
        <v>7334</v>
      </c>
      <c r="B1718" s="106"/>
      <c r="C1718" s="106"/>
      <c r="D1718" s="106"/>
      <c r="E1718" s="106" t="s">
        <v>7335</v>
      </c>
      <c r="F1718" s="106" t="s">
        <v>7336</v>
      </c>
      <c r="G1718" s="105">
        <v>4</v>
      </c>
      <c r="H1718" s="106" t="s">
        <v>7</v>
      </c>
      <c r="I1718" s="105" t="s">
        <v>39</v>
      </c>
      <c r="J1718" s="105"/>
      <c r="K1718" s="105"/>
      <c r="L1718" s="105"/>
      <c r="M1718" s="106" t="s">
        <v>7337</v>
      </c>
      <c r="N1718" s="106" t="s">
        <v>40</v>
      </c>
      <c r="O1718" s="107"/>
      <c r="P1718" s="106" t="s">
        <v>7338</v>
      </c>
    </row>
    <row r="1719" spans="1:16" outlineLevel="2" x14ac:dyDescent="0.3">
      <c r="A1719" s="105" t="s">
        <v>7339</v>
      </c>
      <c r="B1719" s="106"/>
      <c r="C1719" s="106"/>
      <c r="D1719" s="106"/>
      <c r="E1719" s="106" t="s">
        <v>7340</v>
      </c>
      <c r="F1719" s="106" t="s">
        <v>7341</v>
      </c>
      <c r="G1719" s="105">
        <v>4</v>
      </c>
      <c r="H1719" s="106" t="s">
        <v>7</v>
      </c>
      <c r="I1719" s="105" t="s">
        <v>39</v>
      </c>
      <c r="J1719" s="105"/>
      <c r="K1719" s="105"/>
      <c r="L1719" s="105"/>
      <c r="M1719" s="106" t="s">
        <v>7342</v>
      </c>
      <c r="N1719" s="106" t="s">
        <v>40</v>
      </c>
      <c r="O1719" s="107"/>
      <c r="P1719" s="106" t="s">
        <v>7343</v>
      </c>
    </row>
    <row r="1720" spans="1:16" outlineLevel="2" x14ac:dyDescent="0.3">
      <c r="A1720" s="105" t="s">
        <v>7344</v>
      </c>
      <c r="B1720" s="106"/>
      <c r="C1720" s="106"/>
      <c r="D1720" s="106"/>
      <c r="E1720" s="106" t="s">
        <v>7345</v>
      </c>
      <c r="F1720" s="106" t="s">
        <v>7346</v>
      </c>
      <c r="G1720" s="105">
        <v>4</v>
      </c>
      <c r="H1720" s="106" t="s">
        <v>7</v>
      </c>
      <c r="I1720" s="105" t="s">
        <v>39</v>
      </c>
      <c r="J1720" s="105"/>
      <c r="K1720" s="105"/>
      <c r="L1720" s="105"/>
      <c r="M1720" s="106" t="s">
        <v>7347</v>
      </c>
      <c r="N1720" s="106" t="s">
        <v>40</v>
      </c>
      <c r="O1720" s="107"/>
      <c r="P1720" s="106" t="s">
        <v>7348</v>
      </c>
    </row>
    <row r="1721" spans="1:16" outlineLevel="2" x14ac:dyDescent="0.3">
      <c r="A1721" s="105" t="s">
        <v>7349</v>
      </c>
      <c r="B1721" s="106"/>
      <c r="C1721" s="106"/>
      <c r="D1721" s="106"/>
      <c r="E1721" s="106" t="s">
        <v>7350</v>
      </c>
      <c r="F1721" s="106" t="s">
        <v>4735</v>
      </c>
      <c r="G1721" s="105">
        <v>4</v>
      </c>
      <c r="H1721" s="106" t="s">
        <v>7</v>
      </c>
      <c r="I1721" s="105" t="s">
        <v>39</v>
      </c>
      <c r="J1721" s="105"/>
      <c r="K1721" s="105"/>
      <c r="L1721" s="105"/>
      <c r="M1721" s="106" t="s">
        <v>7351</v>
      </c>
      <c r="N1721" s="106" t="s">
        <v>223</v>
      </c>
      <c r="O1721" s="107"/>
      <c r="P1721" s="106" t="s">
        <v>7352</v>
      </c>
    </row>
    <row r="1722" spans="1:16" outlineLevel="2" x14ac:dyDescent="0.3">
      <c r="A1722" s="105" t="s">
        <v>7353</v>
      </c>
      <c r="B1722" s="106"/>
      <c r="C1722" s="106"/>
      <c r="D1722" s="106"/>
      <c r="E1722" s="106" t="s">
        <v>4725</v>
      </c>
      <c r="F1722" s="106" t="s">
        <v>4726</v>
      </c>
      <c r="G1722" s="105">
        <v>4</v>
      </c>
      <c r="H1722" s="106" t="s">
        <v>7</v>
      </c>
      <c r="I1722" s="105" t="s">
        <v>39</v>
      </c>
      <c r="J1722" s="105"/>
      <c r="K1722" s="105"/>
      <c r="L1722" s="105"/>
      <c r="M1722" s="106" t="s">
        <v>7354</v>
      </c>
      <c r="N1722" s="106" t="s">
        <v>223</v>
      </c>
      <c r="O1722" s="107"/>
      <c r="P1722" s="106" t="s">
        <v>7355</v>
      </c>
    </row>
    <row r="1723" spans="1:16" outlineLevel="2" x14ac:dyDescent="0.3">
      <c r="A1723" s="105" t="s">
        <v>7356</v>
      </c>
      <c r="B1723" s="106"/>
      <c r="C1723" s="106"/>
      <c r="D1723" s="106"/>
      <c r="E1723" s="106" t="s">
        <v>7357</v>
      </c>
      <c r="F1723" s="106" t="s">
        <v>4738</v>
      </c>
      <c r="G1723" s="105">
        <v>4</v>
      </c>
      <c r="H1723" s="106" t="s">
        <v>7</v>
      </c>
      <c r="I1723" s="105" t="s">
        <v>39</v>
      </c>
      <c r="J1723" s="105"/>
      <c r="K1723" s="105"/>
      <c r="L1723" s="105"/>
      <c r="M1723" s="106" t="s">
        <v>7358</v>
      </c>
      <c r="N1723" s="106" t="s">
        <v>223</v>
      </c>
      <c r="O1723" s="107"/>
      <c r="P1723" s="106" t="s">
        <v>7359</v>
      </c>
    </row>
    <row r="1724" spans="1:16" outlineLevel="2" x14ac:dyDescent="0.3">
      <c r="A1724" s="105" t="s">
        <v>7360</v>
      </c>
      <c r="B1724" s="106"/>
      <c r="C1724" s="106"/>
      <c r="D1724" s="106"/>
      <c r="E1724" s="106" t="s">
        <v>7361</v>
      </c>
      <c r="F1724" s="106" t="s">
        <v>7362</v>
      </c>
      <c r="G1724" s="105">
        <v>4</v>
      </c>
      <c r="H1724" s="106" t="s">
        <v>7</v>
      </c>
      <c r="I1724" s="105" t="s">
        <v>39</v>
      </c>
      <c r="J1724" s="105"/>
      <c r="K1724" s="105"/>
      <c r="L1724" s="105"/>
      <c r="M1724" s="106" t="s">
        <v>7363</v>
      </c>
      <c r="N1724" s="106" t="s">
        <v>40</v>
      </c>
      <c r="O1724" s="107"/>
      <c r="P1724" s="106" t="s">
        <v>7364</v>
      </c>
    </row>
    <row r="1725" spans="1:16" outlineLevel="2" x14ac:dyDescent="0.3">
      <c r="A1725" s="105" t="s">
        <v>7365</v>
      </c>
      <c r="B1725" s="106"/>
      <c r="C1725" s="106"/>
      <c r="D1725" s="106"/>
      <c r="E1725" s="106" t="s">
        <v>7366</v>
      </c>
      <c r="F1725" s="106" t="s">
        <v>7367</v>
      </c>
      <c r="G1725" s="105">
        <v>4</v>
      </c>
      <c r="H1725" s="106" t="s">
        <v>7</v>
      </c>
      <c r="I1725" s="105" t="s">
        <v>39</v>
      </c>
      <c r="J1725" s="105"/>
      <c r="K1725" s="105"/>
      <c r="L1725" s="105"/>
      <c r="M1725" s="106" t="s">
        <v>7368</v>
      </c>
      <c r="N1725" s="106" t="s">
        <v>40</v>
      </c>
      <c r="O1725" s="107"/>
      <c r="P1725" s="106" t="s">
        <v>7369</v>
      </c>
    </row>
    <row r="1726" spans="1:16" outlineLevel="2" x14ac:dyDescent="0.3">
      <c r="A1726" s="105" t="s">
        <v>7370</v>
      </c>
      <c r="B1726" s="106"/>
      <c r="C1726" s="106"/>
      <c r="D1726" s="106"/>
      <c r="E1726" s="106" t="s">
        <v>4728</v>
      </c>
      <c r="F1726" s="106" t="s">
        <v>4729</v>
      </c>
      <c r="G1726" s="105">
        <v>4</v>
      </c>
      <c r="H1726" s="106" t="s">
        <v>7</v>
      </c>
      <c r="I1726" s="105" t="s">
        <v>39</v>
      </c>
      <c r="J1726" s="105"/>
      <c r="K1726" s="105"/>
      <c r="L1726" s="105"/>
      <c r="M1726" s="106" t="s">
        <v>7371</v>
      </c>
      <c r="N1726" s="106" t="s">
        <v>223</v>
      </c>
      <c r="O1726" s="107"/>
      <c r="P1726" s="106" t="s">
        <v>7372</v>
      </c>
    </row>
    <row r="1727" spans="1:16" outlineLevel="2" x14ac:dyDescent="0.3">
      <c r="A1727" s="105" t="s">
        <v>7373</v>
      </c>
      <c r="B1727" s="106"/>
      <c r="C1727" s="106"/>
      <c r="D1727" s="106"/>
      <c r="E1727" s="106" t="s">
        <v>7374</v>
      </c>
      <c r="F1727" s="106" t="s">
        <v>7375</v>
      </c>
      <c r="G1727" s="105">
        <v>4</v>
      </c>
      <c r="H1727" s="106" t="s">
        <v>7</v>
      </c>
      <c r="I1727" s="105" t="s">
        <v>39</v>
      </c>
      <c r="J1727" s="105"/>
      <c r="K1727" s="105"/>
      <c r="L1727" s="105"/>
      <c r="M1727" s="106" t="s">
        <v>7376</v>
      </c>
      <c r="N1727" s="106" t="s">
        <v>40</v>
      </c>
      <c r="O1727" s="107"/>
      <c r="P1727" s="106" t="s">
        <v>7377</v>
      </c>
    </row>
    <row r="1728" spans="1:16" outlineLevel="2" x14ac:dyDescent="0.3">
      <c r="A1728" s="105" t="s">
        <v>7378</v>
      </c>
      <c r="B1728" s="106"/>
      <c r="C1728" s="106"/>
      <c r="D1728" s="106"/>
      <c r="E1728" s="106" t="s">
        <v>7379</v>
      </c>
      <c r="F1728" s="106" t="s">
        <v>7380</v>
      </c>
      <c r="G1728" s="105">
        <v>4</v>
      </c>
      <c r="H1728" s="106" t="s">
        <v>7</v>
      </c>
      <c r="I1728" s="105" t="s">
        <v>39</v>
      </c>
      <c r="J1728" s="105"/>
      <c r="K1728" s="105"/>
      <c r="L1728" s="105"/>
      <c r="M1728" s="106" t="s">
        <v>7381</v>
      </c>
      <c r="N1728" s="106" t="s">
        <v>40</v>
      </c>
      <c r="O1728" s="107"/>
      <c r="P1728" s="106" t="s">
        <v>7382</v>
      </c>
    </row>
    <row r="1729" spans="1:16" outlineLevel="2" x14ac:dyDescent="0.3">
      <c r="A1729" s="105" t="s">
        <v>7383</v>
      </c>
      <c r="B1729" s="106"/>
      <c r="C1729" s="106"/>
      <c r="D1729" s="106"/>
      <c r="E1729" s="106" t="s">
        <v>7384</v>
      </c>
      <c r="F1729" s="106" t="s">
        <v>7385</v>
      </c>
      <c r="G1729" s="105">
        <v>4</v>
      </c>
      <c r="H1729" s="106" t="s">
        <v>7</v>
      </c>
      <c r="I1729" s="105" t="s">
        <v>39</v>
      </c>
      <c r="J1729" s="105"/>
      <c r="K1729" s="105"/>
      <c r="L1729" s="105"/>
      <c r="M1729" s="106" t="s">
        <v>7386</v>
      </c>
      <c r="N1729" s="106" t="s">
        <v>40</v>
      </c>
      <c r="O1729" s="107"/>
      <c r="P1729" s="106" t="s">
        <v>7387</v>
      </c>
    </row>
    <row r="1730" spans="1:16" outlineLevel="2" x14ac:dyDescent="0.3">
      <c r="A1730" s="105" t="s">
        <v>7388</v>
      </c>
      <c r="B1730" s="106"/>
      <c r="C1730" s="106"/>
      <c r="D1730" s="106"/>
      <c r="E1730" s="106" t="s">
        <v>7389</v>
      </c>
      <c r="F1730" s="106" t="s">
        <v>7390</v>
      </c>
      <c r="G1730" s="105">
        <v>4</v>
      </c>
      <c r="H1730" s="106" t="s">
        <v>7</v>
      </c>
      <c r="I1730" s="105" t="s">
        <v>39</v>
      </c>
      <c r="J1730" s="105"/>
      <c r="K1730" s="105"/>
      <c r="L1730" s="105"/>
      <c r="M1730" s="106" t="s">
        <v>7391</v>
      </c>
      <c r="N1730" s="106" t="s">
        <v>40</v>
      </c>
      <c r="O1730" s="107"/>
      <c r="P1730" s="106" t="s">
        <v>7392</v>
      </c>
    </row>
    <row r="1731" spans="1:16" outlineLevel="2" x14ac:dyDescent="0.3">
      <c r="A1731" s="105" t="s">
        <v>7393</v>
      </c>
      <c r="B1731" s="106"/>
      <c r="C1731" s="106"/>
      <c r="D1731" s="106"/>
      <c r="E1731" s="106" t="s">
        <v>7394</v>
      </c>
      <c r="F1731" s="106" t="s">
        <v>7395</v>
      </c>
      <c r="G1731" s="105">
        <v>4</v>
      </c>
      <c r="H1731" s="106" t="s">
        <v>7</v>
      </c>
      <c r="I1731" s="105" t="s">
        <v>39</v>
      </c>
      <c r="J1731" s="105"/>
      <c r="K1731" s="105"/>
      <c r="L1731" s="105"/>
      <c r="M1731" s="106" t="s">
        <v>7396</v>
      </c>
      <c r="N1731" s="106" t="s">
        <v>40</v>
      </c>
      <c r="O1731" s="107"/>
      <c r="P1731" s="106" t="s">
        <v>7397</v>
      </c>
    </row>
    <row r="1732" spans="1:16" outlineLevel="2" x14ac:dyDescent="0.3">
      <c r="A1732" s="105" t="s">
        <v>7398</v>
      </c>
      <c r="B1732" s="106"/>
      <c r="C1732" s="106"/>
      <c r="D1732" s="106"/>
      <c r="E1732" s="106" t="s">
        <v>7399</v>
      </c>
      <c r="F1732" s="106" t="s">
        <v>7400</v>
      </c>
      <c r="G1732" s="105">
        <v>4</v>
      </c>
      <c r="H1732" s="106" t="s">
        <v>7</v>
      </c>
      <c r="I1732" s="105" t="s">
        <v>39</v>
      </c>
      <c r="J1732" s="105"/>
      <c r="K1732" s="105"/>
      <c r="L1732" s="105"/>
      <c r="M1732" s="106" t="s">
        <v>7401</v>
      </c>
      <c r="N1732" s="106" t="s">
        <v>40</v>
      </c>
      <c r="O1732" s="107"/>
      <c r="P1732" s="106" t="s">
        <v>7402</v>
      </c>
    </row>
    <row r="1733" spans="1:16" ht="27.6" outlineLevel="1" x14ac:dyDescent="0.3">
      <c r="A1733" s="301" t="s">
        <v>7403</v>
      </c>
      <c r="B1733" s="302"/>
      <c r="C1733" s="303" t="s">
        <v>7404</v>
      </c>
      <c r="D1733" s="302"/>
      <c r="E1733" s="302"/>
      <c r="F1733" s="302"/>
      <c r="G1733" s="301">
        <v>2</v>
      </c>
      <c r="H1733" s="302" t="s">
        <v>25</v>
      </c>
      <c r="I1733" s="301" t="s">
        <v>39</v>
      </c>
      <c r="J1733" s="301">
        <v>12</v>
      </c>
      <c r="K1733" s="301">
        <v>2</v>
      </c>
      <c r="L1733" s="301">
        <v>14</v>
      </c>
      <c r="M1733" s="304" t="s">
        <v>7405</v>
      </c>
      <c r="N1733" s="304" t="s">
        <v>40</v>
      </c>
      <c r="O1733" s="305"/>
      <c r="P1733" s="304" t="s">
        <v>7406</v>
      </c>
    </row>
    <row r="1734" spans="1:16" outlineLevel="2" x14ac:dyDescent="0.3">
      <c r="A1734" s="105" t="s">
        <v>7407</v>
      </c>
      <c r="B1734" s="106"/>
      <c r="C1734" s="106"/>
      <c r="D1734" s="106"/>
      <c r="E1734" s="106" t="s">
        <v>7408</v>
      </c>
      <c r="F1734" s="106" t="s">
        <v>7409</v>
      </c>
      <c r="G1734" s="105">
        <v>4</v>
      </c>
      <c r="H1734" s="106" t="s">
        <v>7</v>
      </c>
      <c r="I1734" s="105" t="s">
        <v>39</v>
      </c>
      <c r="J1734" s="105"/>
      <c r="K1734" s="105"/>
      <c r="L1734" s="105"/>
      <c r="M1734" s="106" t="s">
        <v>7410</v>
      </c>
      <c r="N1734" s="106" t="s">
        <v>40</v>
      </c>
      <c r="O1734" s="107"/>
      <c r="P1734" s="106" t="s">
        <v>7411</v>
      </c>
    </row>
    <row r="1735" spans="1:16" outlineLevel="2" x14ac:dyDescent="0.3">
      <c r="A1735" s="105" t="s">
        <v>7412</v>
      </c>
      <c r="B1735" s="106"/>
      <c r="C1735" s="106"/>
      <c r="D1735" s="106"/>
      <c r="E1735" s="106" t="s">
        <v>7413</v>
      </c>
      <c r="F1735" s="106" t="s">
        <v>7414</v>
      </c>
      <c r="G1735" s="105">
        <v>4</v>
      </c>
      <c r="H1735" s="106" t="s">
        <v>7</v>
      </c>
      <c r="I1735" s="105" t="s">
        <v>39</v>
      </c>
      <c r="J1735" s="105"/>
      <c r="K1735" s="105"/>
      <c r="L1735" s="105"/>
      <c r="M1735" s="106" t="s">
        <v>7415</v>
      </c>
      <c r="N1735" s="106" t="s">
        <v>40</v>
      </c>
      <c r="O1735" s="107"/>
      <c r="P1735" s="106" t="s">
        <v>7416</v>
      </c>
    </row>
    <row r="1736" spans="1:16" outlineLevel="2" x14ac:dyDescent="0.3">
      <c r="A1736" s="105" t="s">
        <v>7417</v>
      </c>
      <c r="B1736" s="106"/>
      <c r="C1736" s="106"/>
      <c r="D1736" s="106"/>
      <c r="E1736" s="106" t="s">
        <v>7418</v>
      </c>
      <c r="F1736" s="106" t="s">
        <v>7419</v>
      </c>
      <c r="G1736" s="105">
        <v>4</v>
      </c>
      <c r="H1736" s="106" t="s">
        <v>7</v>
      </c>
      <c r="I1736" s="105" t="s">
        <v>39</v>
      </c>
      <c r="J1736" s="105"/>
      <c r="K1736" s="105"/>
      <c r="L1736" s="105"/>
      <c r="M1736" s="106" t="s">
        <v>7420</v>
      </c>
      <c r="N1736" s="106" t="s">
        <v>40</v>
      </c>
      <c r="O1736" s="107" t="s">
        <v>332</v>
      </c>
      <c r="P1736" s="106" t="s">
        <v>7421</v>
      </c>
    </row>
    <row r="1737" spans="1:16" outlineLevel="2" x14ac:dyDescent="0.3">
      <c r="A1737" s="105" t="s">
        <v>7422</v>
      </c>
      <c r="B1737" s="106"/>
      <c r="C1737" s="106"/>
      <c r="D1737" s="106"/>
      <c r="E1737" s="106" t="s">
        <v>7423</v>
      </c>
      <c r="F1737" s="106" t="s">
        <v>13</v>
      </c>
      <c r="G1737" s="105">
        <v>4</v>
      </c>
      <c r="H1737" s="106" t="s">
        <v>7</v>
      </c>
      <c r="I1737" s="105"/>
      <c r="J1737" s="105"/>
      <c r="K1737" s="105"/>
      <c r="L1737" s="105"/>
      <c r="M1737" s="106" t="s">
        <v>7424</v>
      </c>
      <c r="N1737" s="106" t="s">
        <v>40</v>
      </c>
      <c r="O1737" s="107" t="s">
        <v>447</v>
      </c>
      <c r="P1737" s="106" t="s">
        <v>7425</v>
      </c>
    </row>
    <row r="1738" spans="1:16" outlineLevel="2" x14ac:dyDescent="0.3">
      <c r="A1738" s="105" t="s">
        <v>7426</v>
      </c>
      <c r="B1738" s="106"/>
      <c r="C1738" s="106"/>
      <c r="D1738" s="106"/>
      <c r="E1738" s="106" t="s">
        <v>7427</v>
      </c>
      <c r="F1738" s="106" t="s">
        <v>7428</v>
      </c>
      <c r="G1738" s="105">
        <v>4</v>
      </c>
      <c r="H1738" s="106" t="s">
        <v>7</v>
      </c>
      <c r="I1738" s="105" t="s">
        <v>39</v>
      </c>
      <c r="J1738" s="105"/>
      <c r="K1738" s="105"/>
      <c r="L1738" s="105"/>
      <c r="M1738" s="106" t="s">
        <v>7429</v>
      </c>
      <c r="N1738" s="106" t="s">
        <v>40</v>
      </c>
      <c r="O1738" s="107"/>
      <c r="P1738" s="106" t="s">
        <v>7430</v>
      </c>
    </row>
    <row r="1739" spans="1:16" outlineLevel="2" x14ac:dyDescent="0.3">
      <c r="A1739" s="105" t="s">
        <v>7431</v>
      </c>
      <c r="B1739" s="106"/>
      <c r="C1739" s="106"/>
      <c r="D1739" s="106"/>
      <c r="E1739" s="106" t="s">
        <v>7432</v>
      </c>
      <c r="F1739" s="106" t="s">
        <v>7433</v>
      </c>
      <c r="G1739" s="105">
        <v>4</v>
      </c>
      <c r="H1739" s="106" t="s">
        <v>7</v>
      </c>
      <c r="I1739" s="105" t="s">
        <v>39</v>
      </c>
      <c r="J1739" s="105"/>
      <c r="K1739" s="105"/>
      <c r="L1739" s="105"/>
      <c r="M1739" s="106" t="s">
        <v>7434</v>
      </c>
      <c r="N1739" s="106" t="s">
        <v>40</v>
      </c>
      <c r="O1739" s="107" t="s">
        <v>600</v>
      </c>
      <c r="P1739" s="106" t="s">
        <v>7435</v>
      </c>
    </row>
    <row r="1740" spans="1:16" outlineLevel="2" x14ac:dyDescent="0.3">
      <c r="A1740" s="105" t="s">
        <v>7436</v>
      </c>
      <c r="B1740" s="106"/>
      <c r="C1740" s="106"/>
      <c r="D1740" s="106"/>
      <c r="E1740" s="106" t="s">
        <v>7437</v>
      </c>
      <c r="F1740" s="106" t="s">
        <v>7438</v>
      </c>
      <c r="G1740" s="105">
        <v>4</v>
      </c>
      <c r="H1740" s="106" t="s">
        <v>7</v>
      </c>
      <c r="I1740" s="105" t="s">
        <v>39</v>
      </c>
      <c r="J1740" s="105"/>
      <c r="K1740" s="105"/>
      <c r="L1740" s="105"/>
      <c r="M1740" s="106" t="s">
        <v>7439</v>
      </c>
      <c r="N1740" s="106" t="s">
        <v>40</v>
      </c>
      <c r="O1740" s="107"/>
      <c r="P1740" s="106" t="s">
        <v>7440</v>
      </c>
    </row>
    <row r="1741" spans="1:16" outlineLevel="2" x14ac:dyDescent="0.3">
      <c r="A1741" s="105" t="s">
        <v>7441</v>
      </c>
      <c r="B1741" s="106"/>
      <c r="C1741" s="106"/>
      <c r="D1741" s="106"/>
      <c r="E1741" s="106" t="s">
        <v>7442</v>
      </c>
      <c r="F1741" s="106" t="s">
        <v>7443</v>
      </c>
      <c r="G1741" s="105">
        <v>4</v>
      </c>
      <c r="H1741" s="106" t="s">
        <v>7</v>
      </c>
      <c r="I1741" s="105" t="s">
        <v>39</v>
      </c>
      <c r="J1741" s="105"/>
      <c r="K1741" s="105"/>
      <c r="L1741" s="105"/>
      <c r="M1741" s="106" t="s">
        <v>7444</v>
      </c>
      <c r="N1741" s="106" t="s">
        <v>40</v>
      </c>
      <c r="O1741" s="107"/>
      <c r="P1741" s="106" t="s">
        <v>7445</v>
      </c>
    </row>
    <row r="1742" spans="1:16" outlineLevel="2" x14ac:dyDescent="0.3">
      <c r="A1742" s="105" t="s">
        <v>7446</v>
      </c>
      <c r="B1742" s="106"/>
      <c r="C1742" s="106"/>
      <c r="D1742" s="106"/>
      <c r="E1742" s="106" t="s">
        <v>7447</v>
      </c>
      <c r="F1742" s="106" t="s">
        <v>7448</v>
      </c>
      <c r="G1742" s="105">
        <v>4</v>
      </c>
      <c r="H1742" s="106" t="s">
        <v>7</v>
      </c>
      <c r="I1742" s="105" t="s">
        <v>39</v>
      </c>
      <c r="J1742" s="105"/>
      <c r="K1742" s="105"/>
      <c r="L1742" s="105"/>
      <c r="M1742" s="106" t="s">
        <v>7449</v>
      </c>
      <c r="N1742" s="106" t="s">
        <v>40</v>
      </c>
      <c r="O1742" s="107"/>
      <c r="P1742" s="106" t="s">
        <v>7450</v>
      </c>
    </row>
    <row r="1743" spans="1:16" outlineLevel="2" x14ac:dyDescent="0.3">
      <c r="A1743" s="105" t="s">
        <v>7451</v>
      </c>
      <c r="B1743" s="106"/>
      <c r="C1743" s="106"/>
      <c r="D1743" s="106"/>
      <c r="E1743" s="106" t="s">
        <v>7452</v>
      </c>
      <c r="F1743" s="106" t="s">
        <v>7453</v>
      </c>
      <c r="G1743" s="105">
        <v>4</v>
      </c>
      <c r="H1743" s="106" t="s">
        <v>7</v>
      </c>
      <c r="I1743" s="105" t="s">
        <v>39</v>
      </c>
      <c r="J1743" s="105"/>
      <c r="K1743" s="105"/>
      <c r="L1743" s="105"/>
      <c r="M1743" s="106" t="s">
        <v>7454</v>
      </c>
      <c r="N1743" s="106" t="s">
        <v>40</v>
      </c>
      <c r="O1743" s="107"/>
      <c r="P1743" s="106" t="s">
        <v>7455</v>
      </c>
    </row>
    <row r="1744" spans="1:16" outlineLevel="2" x14ac:dyDescent="0.3">
      <c r="A1744" s="105" t="s">
        <v>7456</v>
      </c>
      <c r="B1744" s="106"/>
      <c r="C1744" s="106"/>
      <c r="D1744" s="106"/>
      <c r="E1744" s="106" t="s">
        <v>7457</v>
      </c>
      <c r="F1744" s="106" t="s">
        <v>7458</v>
      </c>
      <c r="G1744" s="105">
        <v>4</v>
      </c>
      <c r="H1744" s="106" t="s">
        <v>7</v>
      </c>
      <c r="I1744" s="105" t="s">
        <v>39</v>
      </c>
      <c r="J1744" s="105"/>
      <c r="K1744" s="105"/>
      <c r="L1744" s="105"/>
      <c r="M1744" s="106" t="s">
        <v>7459</v>
      </c>
      <c r="N1744" s="106" t="s">
        <v>40</v>
      </c>
      <c r="O1744" s="107"/>
      <c r="P1744" s="106" t="s">
        <v>7460</v>
      </c>
    </row>
    <row r="1745" spans="1:16" outlineLevel="2" x14ac:dyDescent="0.3">
      <c r="A1745" s="105" t="s">
        <v>7461</v>
      </c>
      <c r="B1745" s="106"/>
      <c r="C1745" s="106"/>
      <c r="D1745" s="106"/>
      <c r="E1745" s="106" t="s">
        <v>7462</v>
      </c>
      <c r="F1745" s="106" t="s">
        <v>13</v>
      </c>
      <c r="G1745" s="105">
        <v>4</v>
      </c>
      <c r="H1745" s="106" t="s">
        <v>7</v>
      </c>
      <c r="I1745" s="105"/>
      <c r="J1745" s="105"/>
      <c r="K1745" s="105"/>
      <c r="L1745" s="105"/>
      <c r="M1745" s="106" t="s">
        <v>7424</v>
      </c>
      <c r="N1745" s="106" t="s">
        <v>40</v>
      </c>
      <c r="O1745" s="107" t="s">
        <v>447</v>
      </c>
      <c r="P1745" s="106" t="s">
        <v>7463</v>
      </c>
    </row>
    <row r="1746" spans="1:16" outlineLevel="2" x14ac:dyDescent="0.3">
      <c r="A1746" s="105" t="s">
        <v>7464</v>
      </c>
      <c r="B1746" s="106"/>
      <c r="C1746" s="106"/>
      <c r="D1746" s="106"/>
      <c r="E1746" s="106" t="s">
        <v>7465</v>
      </c>
      <c r="F1746" s="106" t="s">
        <v>7466</v>
      </c>
      <c r="G1746" s="105">
        <v>4</v>
      </c>
      <c r="H1746" s="106" t="s">
        <v>7</v>
      </c>
      <c r="I1746" s="105" t="s">
        <v>39</v>
      </c>
      <c r="J1746" s="105"/>
      <c r="K1746" s="105"/>
      <c r="L1746" s="105"/>
      <c r="M1746" s="106"/>
      <c r="N1746" s="106" t="s">
        <v>40</v>
      </c>
      <c r="O1746" s="107"/>
      <c r="P1746" s="106" t="s">
        <v>7467</v>
      </c>
    </row>
    <row r="1747" spans="1:16" outlineLevel="2" x14ac:dyDescent="0.3">
      <c r="A1747" s="105" t="s">
        <v>7468</v>
      </c>
      <c r="B1747" s="106"/>
      <c r="C1747" s="106"/>
      <c r="D1747" s="106"/>
      <c r="E1747" s="106" t="s">
        <v>7469</v>
      </c>
      <c r="F1747" s="106" t="s">
        <v>7470</v>
      </c>
      <c r="G1747" s="105">
        <v>4</v>
      </c>
      <c r="H1747" s="106" t="s">
        <v>7</v>
      </c>
      <c r="I1747" s="105" t="s">
        <v>39</v>
      </c>
      <c r="J1747" s="105"/>
      <c r="K1747" s="105"/>
      <c r="L1747" s="105"/>
      <c r="M1747" s="106" t="s">
        <v>7471</v>
      </c>
      <c r="N1747" s="106" t="s">
        <v>40</v>
      </c>
      <c r="O1747" s="107"/>
      <c r="P1747" s="106" t="s">
        <v>7472</v>
      </c>
    </row>
    <row r="1748" spans="1:16" ht="27.6" outlineLevel="1" x14ac:dyDescent="0.3">
      <c r="A1748" s="301" t="s">
        <v>7473</v>
      </c>
      <c r="B1748" s="302"/>
      <c r="C1748" s="303" t="s">
        <v>7474</v>
      </c>
      <c r="D1748" s="302"/>
      <c r="E1748" s="302"/>
      <c r="F1748" s="302"/>
      <c r="G1748" s="301">
        <v>2</v>
      </c>
      <c r="H1748" s="302" t="s">
        <v>25</v>
      </c>
      <c r="I1748" s="301" t="s">
        <v>39</v>
      </c>
      <c r="J1748" s="301">
        <v>0</v>
      </c>
      <c r="K1748" s="301">
        <v>2</v>
      </c>
      <c r="L1748" s="301">
        <v>2</v>
      </c>
      <c r="M1748" s="304" t="s">
        <v>7475</v>
      </c>
      <c r="N1748" s="304" t="s">
        <v>40</v>
      </c>
      <c r="O1748" s="305"/>
      <c r="P1748" s="304" t="s">
        <v>7476</v>
      </c>
    </row>
    <row r="1749" spans="1:16" outlineLevel="2" x14ac:dyDescent="0.3">
      <c r="A1749" s="105" t="s">
        <v>7477</v>
      </c>
      <c r="B1749" s="106"/>
      <c r="C1749" s="106"/>
      <c r="D1749" s="106"/>
      <c r="E1749" s="106" t="s">
        <v>7478</v>
      </c>
      <c r="F1749" s="106" t="s">
        <v>13</v>
      </c>
      <c r="G1749" s="105">
        <v>4</v>
      </c>
      <c r="H1749" s="106" t="s">
        <v>7</v>
      </c>
      <c r="I1749" s="105"/>
      <c r="J1749" s="105"/>
      <c r="K1749" s="105"/>
      <c r="L1749" s="105"/>
      <c r="M1749" s="106"/>
      <c r="N1749" s="106" t="s">
        <v>40</v>
      </c>
      <c r="O1749" s="107" t="s">
        <v>447</v>
      </c>
      <c r="P1749" s="106" t="s">
        <v>7479</v>
      </c>
    </row>
    <row r="1750" spans="1:16" outlineLevel="2" x14ac:dyDescent="0.3">
      <c r="A1750" s="105" t="s">
        <v>7480</v>
      </c>
      <c r="B1750" s="106"/>
      <c r="C1750" s="106"/>
      <c r="D1750" s="106"/>
      <c r="E1750" s="106" t="s">
        <v>7481</v>
      </c>
      <c r="F1750" s="106" t="s">
        <v>13</v>
      </c>
      <c r="G1750" s="105">
        <v>4</v>
      </c>
      <c r="H1750" s="106" t="s">
        <v>7</v>
      </c>
      <c r="I1750" s="105"/>
      <c r="J1750" s="105"/>
      <c r="K1750" s="105"/>
      <c r="L1750" s="105"/>
      <c r="M1750" s="106"/>
      <c r="N1750" s="106" t="s">
        <v>40</v>
      </c>
      <c r="O1750" s="107" t="s">
        <v>447</v>
      </c>
      <c r="P1750" s="106" t="s">
        <v>7482</v>
      </c>
    </row>
    <row r="1751" spans="1:16" ht="27.6" outlineLevel="1" x14ac:dyDescent="0.3">
      <c r="A1751" s="301" t="s">
        <v>7483</v>
      </c>
      <c r="B1751" s="302"/>
      <c r="C1751" s="303" t="s">
        <v>7484</v>
      </c>
      <c r="D1751" s="302"/>
      <c r="E1751" s="302"/>
      <c r="F1751" s="302"/>
      <c r="G1751" s="301">
        <v>2</v>
      </c>
      <c r="H1751" s="302" t="s">
        <v>25</v>
      </c>
      <c r="I1751" s="301" t="s">
        <v>39</v>
      </c>
      <c r="J1751" s="301">
        <v>58</v>
      </c>
      <c r="K1751" s="301">
        <v>22</v>
      </c>
      <c r="L1751" s="301">
        <v>80</v>
      </c>
      <c r="M1751" s="304" t="s">
        <v>7485</v>
      </c>
      <c r="N1751" s="304" t="s">
        <v>40</v>
      </c>
      <c r="O1751" s="305"/>
      <c r="P1751" s="304" t="s">
        <v>7486</v>
      </c>
    </row>
    <row r="1752" spans="1:16" outlineLevel="2" x14ac:dyDescent="0.3">
      <c r="A1752" s="105" t="s">
        <v>7487</v>
      </c>
      <c r="B1752" s="106"/>
      <c r="C1752" s="106"/>
      <c r="D1752" s="106"/>
      <c r="E1752" s="106" t="s">
        <v>7488</v>
      </c>
      <c r="F1752" s="106" t="s">
        <v>13</v>
      </c>
      <c r="G1752" s="105">
        <v>4</v>
      </c>
      <c r="H1752" s="106" t="s">
        <v>7</v>
      </c>
      <c r="I1752" s="105"/>
      <c r="J1752" s="105"/>
      <c r="K1752" s="105"/>
      <c r="L1752" s="105"/>
      <c r="M1752" s="106"/>
      <c r="N1752" s="106" t="s">
        <v>40</v>
      </c>
      <c r="O1752" s="107" t="s">
        <v>447</v>
      </c>
      <c r="P1752" s="106" t="s">
        <v>7489</v>
      </c>
    </row>
    <row r="1753" spans="1:16" outlineLevel="2" x14ac:dyDescent="0.3">
      <c r="A1753" s="105" t="s">
        <v>7490</v>
      </c>
      <c r="B1753" s="106"/>
      <c r="C1753" s="106"/>
      <c r="D1753" s="106"/>
      <c r="E1753" s="106" t="s">
        <v>7491</v>
      </c>
      <c r="F1753" s="106" t="s">
        <v>13</v>
      </c>
      <c r="G1753" s="105">
        <v>4</v>
      </c>
      <c r="H1753" s="106" t="s">
        <v>7</v>
      </c>
      <c r="I1753" s="105"/>
      <c r="J1753" s="105"/>
      <c r="K1753" s="105"/>
      <c r="L1753" s="105"/>
      <c r="M1753" s="106"/>
      <c r="N1753" s="106" t="s">
        <v>40</v>
      </c>
      <c r="O1753" s="107" t="s">
        <v>447</v>
      </c>
      <c r="P1753" s="106" t="s">
        <v>7492</v>
      </c>
    </row>
    <row r="1754" spans="1:16" outlineLevel="2" x14ac:dyDescent="0.3">
      <c r="A1754" s="105" t="s">
        <v>7493</v>
      </c>
      <c r="B1754" s="106"/>
      <c r="C1754" s="106"/>
      <c r="D1754" s="106"/>
      <c r="E1754" s="106" t="s">
        <v>7494</v>
      </c>
      <c r="F1754" s="106" t="s">
        <v>7495</v>
      </c>
      <c r="G1754" s="105">
        <v>4</v>
      </c>
      <c r="H1754" s="106" t="s">
        <v>7</v>
      </c>
      <c r="I1754" s="105" t="s">
        <v>39</v>
      </c>
      <c r="J1754" s="105"/>
      <c r="K1754" s="105"/>
      <c r="L1754" s="105"/>
      <c r="M1754" s="106" t="s">
        <v>7496</v>
      </c>
      <c r="N1754" s="106" t="s">
        <v>40</v>
      </c>
      <c r="O1754" s="107"/>
      <c r="P1754" s="106" t="s">
        <v>7497</v>
      </c>
    </row>
    <row r="1755" spans="1:16" outlineLevel="2" x14ac:dyDescent="0.3">
      <c r="A1755" s="105" t="s">
        <v>7498</v>
      </c>
      <c r="B1755" s="106"/>
      <c r="C1755" s="106"/>
      <c r="D1755" s="106"/>
      <c r="E1755" s="106" t="s">
        <v>7499</v>
      </c>
      <c r="F1755" s="106" t="s">
        <v>7500</v>
      </c>
      <c r="G1755" s="105">
        <v>4</v>
      </c>
      <c r="H1755" s="106" t="s">
        <v>7</v>
      </c>
      <c r="I1755" s="105" t="s">
        <v>39</v>
      </c>
      <c r="J1755" s="105"/>
      <c r="K1755" s="105"/>
      <c r="L1755" s="105"/>
      <c r="M1755" s="106" t="s">
        <v>7501</v>
      </c>
      <c r="N1755" s="106" t="s">
        <v>40</v>
      </c>
      <c r="O1755" s="107"/>
      <c r="P1755" s="106" t="s">
        <v>7502</v>
      </c>
    </row>
    <row r="1756" spans="1:16" outlineLevel="2" x14ac:dyDescent="0.3">
      <c r="A1756" s="105" t="s">
        <v>7503</v>
      </c>
      <c r="B1756" s="106"/>
      <c r="C1756" s="106"/>
      <c r="D1756" s="106"/>
      <c r="E1756" s="106" t="s">
        <v>7504</v>
      </c>
      <c r="F1756" s="106" t="s">
        <v>7505</v>
      </c>
      <c r="G1756" s="105">
        <v>4</v>
      </c>
      <c r="H1756" s="106" t="s">
        <v>7</v>
      </c>
      <c r="I1756" s="105" t="s">
        <v>39</v>
      </c>
      <c r="J1756" s="105"/>
      <c r="K1756" s="105"/>
      <c r="L1756" s="105"/>
      <c r="M1756" s="106" t="s">
        <v>7506</v>
      </c>
      <c r="N1756" s="106" t="s">
        <v>40</v>
      </c>
      <c r="O1756" s="107"/>
      <c r="P1756" s="106" t="s">
        <v>7507</v>
      </c>
    </row>
    <row r="1757" spans="1:16" outlineLevel="2" x14ac:dyDescent="0.3">
      <c r="A1757" s="105" t="s">
        <v>7508</v>
      </c>
      <c r="B1757" s="106"/>
      <c r="C1757" s="106"/>
      <c r="D1757" s="106"/>
      <c r="E1757" s="106" t="s">
        <v>7509</v>
      </c>
      <c r="F1757" s="106" t="s">
        <v>7510</v>
      </c>
      <c r="G1757" s="105">
        <v>4</v>
      </c>
      <c r="H1757" s="106" t="s">
        <v>7</v>
      </c>
      <c r="I1757" s="105" t="s">
        <v>39</v>
      </c>
      <c r="J1757" s="105"/>
      <c r="K1757" s="105"/>
      <c r="L1757" s="105"/>
      <c r="M1757" s="106" t="s">
        <v>7511</v>
      </c>
      <c r="N1757" s="106" t="s">
        <v>40</v>
      </c>
      <c r="O1757" s="107"/>
      <c r="P1757" s="106" t="s">
        <v>7512</v>
      </c>
    </row>
    <row r="1758" spans="1:16" outlineLevel="2" x14ac:dyDescent="0.3">
      <c r="A1758" s="105" t="s">
        <v>7513</v>
      </c>
      <c r="B1758" s="106"/>
      <c r="C1758" s="106"/>
      <c r="D1758" s="106"/>
      <c r="E1758" s="106" t="s">
        <v>7514</v>
      </c>
      <c r="F1758" s="106" t="s">
        <v>7515</v>
      </c>
      <c r="G1758" s="105">
        <v>4</v>
      </c>
      <c r="H1758" s="106" t="s">
        <v>7</v>
      </c>
      <c r="I1758" s="105" t="s">
        <v>39</v>
      </c>
      <c r="J1758" s="105"/>
      <c r="K1758" s="105"/>
      <c r="L1758" s="105"/>
      <c r="M1758" s="106" t="s">
        <v>7516</v>
      </c>
      <c r="N1758" s="106" t="s">
        <v>40</v>
      </c>
      <c r="O1758" s="107"/>
      <c r="P1758" s="106" t="s">
        <v>7517</v>
      </c>
    </row>
    <row r="1759" spans="1:16" outlineLevel="2" x14ac:dyDescent="0.3">
      <c r="A1759" s="105" t="s">
        <v>7518</v>
      </c>
      <c r="B1759" s="106"/>
      <c r="C1759" s="106"/>
      <c r="D1759" s="106"/>
      <c r="E1759" s="106" t="s">
        <v>1007</v>
      </c>
      <c r="F1759" s="106" t="s">
        <v>1008</v>
      </c>
      <c r="G1759" s="105">
        <v>4</v>
      </c>
      <c r="H1759" s="106" t="s">
        <v>7</v>
      </c>
      <c r="I1759" s="105" t="s">
        <v>39</v>
      </c>
      <c r="J1759" s="105"/>
      <c r="K1759" s="105"/>
      <c r="L1759" s="105"/>
      <c r="M1759" s="106" t="s">
        <v>1009</v>
      </c>
      <c r="N1759" s="106" t="s">
        <v>223</v>
      </c>
      <c r="O1759" s="107"/>
      <c r="P1759" s="106" t="s">
        <v>7519</v>
      </c>
    </row>
    <row r="1760" spans="1:16" outlineLevel="2" x14ac:dyDescent="0.3">
      <c r="A1760" s="105" t="s">
        <v>7520</v>
      </c>
      <c r="B1760" s="106"/>
      <c r="C1760" s="106"/>
      <c r="D1760" s="106"/>
      <c r="E1760" s="106" t="s">
        <v>7521</v>
      </c>
      <c r="F1760" s="106" t="s">
        <v>7522</v>
      </c>
      <c r="G1760" s="105">
        <v>4</v>
      </c>
      <c r="H1760" s="106" t="s">
        <v>7</v>
      </c>
      <c r="I1760" s="105" t="s">
        <v>39</v>
      </c>
      <c r="J1760" s="105"/>
      <c r="K1760" s="105"/>
      <c r="L1760" s="105"/>
      <c r="M1760" s="106" t="s">
        <v>7523</v>
      </c>
      <c r="N1760" s="106" t="s">
        <v>40</v>
      </c>
      <c r="O1760" s="107"/>
      <c r="P1760" s="106" t="s">
        <v>7524</v>
      </c>
    </row>
    <row r="1761" spans="1:16" outlineLevel="2" x14ac:dyDescent="0.3">
      <c r="A1761" s="105" t="s">
        <v>7525</v>
      </c>
      <c r="B1761" s="106"/>
      <c r="C1761" s="106"/>
      <c r="D1761" s="106"/>
      <c r="E1761" s="106" t="s">
        <v>7526</v>
      </c>
      <c r="F1761" s="106" t="s">
        <v>7527</v>
      </c>
      <c r="G1761" s="105">
        <v>4</v>
      </c>
      <c r="H1761" s="106" t="s">
        <v>7</v>
      </c>
      <c r="I1761" s="105" t="s">
        <v>39</v>
      </c>
      <c r="J1761" s="105"/>
      <c r="K1761" s="105"/>
      <c r="L1761" s="105"/>
      <c r="M1761" s="106" t="s">
        <v>7528</v>
      </c>
      <c r="N1761" s="106" t="s">
        <v>223</v>
      </c>
      <c r="O1761" s="107"/>
      <c r="P1761" s="106" t="s">
        <v>7529</v>
      </c>
    </row>
    <row r="1762" spans="1:16" outlineLevel="2" x14ac:dyDescent="0.3">
      <c r="A1762" s="105" t="s">
        <v>7530</v>
      </c>
      <c r="B1762" s="106"/>
      <c r="C1762" s="106"/>
      <c r="D1762" s="106"/>
      <c r="E1762" s="106" t="s">
        <v>7531</v>
      </c>
      <c r="F1762" s="106" t="s">
        <v>13</v>
      </c>
      <c r="G1762" s="105">
        <v>4</v>
      </c>
      <c r="H1762" s="106" t="s">
        <v>7</v>
      </c>
      <c r="I1762" s="105"/>
      <c r="J1762" s="105"/>
      <c r="K1762" s="105"/>
      <c r="L1762" s="105"/>
      <c r="M1762" s="106"/>
      <c r="N1762" s="106" t="s">
        <v>40</v>
      </c>
      <c r="O1762" s="107" t="s">
        <v>447</v>
      </c>
      <c r="P1762" s="106" t="s">
        <v>7532</v>
      </c>
    </row>
    <row r="1763" spans="1:16" outlineLevel="2" x14ac:dyDescent="0.3">
      <c r="A1763" s="105" t="s">
        <v>7533</v>
      </c>
      <c r="B1763" s="106"/>
      <c r="C1763" s="106"/>
      <c r="D1763" s="106"/>
      <c r="E1763" s="106" t="s">
        <v>7534</v>
      </c>
      <c r="F1763" s="106" t="s">
        <v>13</v>
      </c>
      <c r="G1763" s="105">
        <v>4</v>
      </c>
      <c r="H1763" s="106" t="s">
        <v>7</v>
      </c>
      <c r="I1763" s="105"/>
      <c r="J1763" s="105"/>
      <c r="K1763" s="105"/>
      <c r="L1763" s="105"/>
      <c r="M1763" s="106"/>
      <c r="N1763" s="106" t="s">
        <v>40</v>
      </c>
      <c r="O1763" s="107" t="s">
        <v>447</v>
      </c>
      <c r="P1763" s="106" t="s">
        <v>7535</v>
      </c>
    </row>
    <row r="1764" spans="1:16" outlineLevel="2" x14ac:dyDescent="0.3">
      <c r="A1764" s="105" t="s">
        <v>7536</v>
      </c>
      <c r="B1764" s="106"/>
      <c r="C1764" s="106"/>
      <c r="D1764" s="106"/>
      <c r="E1764" s="106" t="s">
        <v>7537</v>
      </c>
      <c r="F1764" s="106" t="s">
        <v>13</v>
      </c>
      <c r="G1764" s="105">
        <v>4</v>
      </c>
      <c r="H1764" s="106" t="s">
        <v>7</v>
      </c>
      <c r="I1764" s="105"/>
      <c r="J1764" s="105"/>
      <c r="K1764" s="105"/>
      <c r="L1764" s="105"/>
      <c r="M1764" s="106"/>
      <c r="N1764" s="106" t="s">
        <v>40</v>
      </c>
      <c r="O1764" s="107" t="s">
        <v>447</v>
      </c>
      <c r="P1764" s="106" t="s">
        <v>7538</v>
      </c>
    </row>
    <row r="1765" spans="1:16" outlineLevel="2" x14ac:dyDescent="0.3">
      <c r="A1765" s="105" t="s">
        <v>7539</v>
      </c>
      <c r="B1765" s="106"/>
      <c r="C1765" s="106"/>
      <c r="D1765" s="106"/>
      <c r="E1765" s="106" t="s">
        <v>7540</v>
      </c>
      <c r="F1765" s="106" t="s">
        <v>13</v>
      </c>
      <c r="G1765" s="105">
        <v>4</v>
      </c>
      <c r="H1765" s="106" t="s">
        <v>7</v>
      </c>
      <c r="I1765" s="105"/>
      <c r="J1765" s="105"/>
      <c r="K1765" s="105"/>
      <c r="L1765" s="105"/>
      <c r="M1765" s="106"/>
      <c r="N1765" s="106" t="s">
        <v>40</v>
      </c>
      <c r="O1765" s="107" t="s">
        <v>447</v>
      </c>
      <c r="P1765" s="106" t="s">
        <v>7541</v>
      </c>
    </row>
    <row r="1766" spans="1:16" outlineLevel="2" x14ac:dyDescent="0.3">
      <c r="A1766" s="105" t="s">
        <v>7542</v>
      </c>
      <c r="B1766" s="106"/>
      <c r="C1766" s="106"/>
      <c r="D1766" s="106"/>
      <c r="E1766" s="106" t="s">
        <v>7543</v>
      </c>
      <c r="F1766" s="106" t="s">
        <v>7544</v>
      </c>
      <c r="G1766" s="105">
        <v>4</v>
      </c>
      <c r="H1766" s="106" t="s">
        <v>7</v>
      </c>
      <c r="I1766" s="105" t="s">
        <v>39</v>
      </c>
      <c r="J1766" s="105"/>
      <c r="K1766" s="105"/>
      <c r="L1766" s="105"/>
      <c r="M1766" s="106" t="s">
        <v>7545</v>
      </c>
      <c r="N1766" s="106" t="s">
        <v>40</v>
      </c>
      <c r="O1766" s="107"/>
      <c r="P1766" s="106" t="s">
        <v>7546</v>
      </c>
    </row>
    <row r="1767" spans="1:16" outlineLevel="2" x14ac:dyDescent="0.3">
      <c r="A1767" s="105" t="s">
        <v>7547</v>
      </c>
      <c r="B1767" s="106"/>
      <c r="C1767" s="106"/>
      <c r="D1767" s="106"/>
      <c r="E1767" s="106" t="s">
        <v>7548</v>
      </c>
      <c r="F1767" s="106" t="s">
        <v>13</v>
      </c>
      <c r="G1767" s="105">
        <v>4</v>
      </c>
      <c r="H1767" s="106" t="s">
        <v>7</v>
      </c>
      <c r="I1767" s="105"/>
      <c r="J1767" s="105"/>
      <c r="K1767" s="105"/>
      <c r="L1767" s="105"/>
      <c r="M1767" s="106"/>
      <c r="N1767" s="106" t="s">
        <v>40</v>
      </c>
      <c r="O1767" s="107" t="s">
        <v>447</v>
      </c>
      <c r="P1767" s="106" t="s">
        <v>7549</v>
      </c>
    </row>
    <row r="1768" spans="1:16" outlineLevel="2" x14ac:dyDescent="0.3">
      <c r="A1768" s="105" t="s">
        <v>7550</v>
      </c>
      <c r="B1768" s="106"/>
      <c r="C1768" s="106"/>
      <c r="D1768" s="106"/>
      <c r="E1768" s="106" t="s">
        <v>7551</v>
      </c>
      <c r="F1768" s="106" t="s">
        <v>7552</v>
      </c>
      <c r="G1768" s="105">
        <v>4</v>
      </c>
      <c r="H1768" s="106" t="s">
        <v>7</v>
      </c>
      <c r="I1768" s="105" t="s">
        <v>39</v>
      </c>
      <c r="J1768" s="105"/>
      <c r="K1768" s="105"/>
      <c r="L1768" s="105"/>
      <c r="M1768" s="106" t="s">
        <v>7553</v>
      </c>
      <c r="N1768" s="106" t="s">
        <v>40</v>
      </c>
      <c r="O1768" s="107"/>
      <c r="P1768" s="106" t="s">
        <v>7554</v>
      </c>
    </row>
    <row r="1769" spans="1:16" outlineLevel="2" x14ac:dyDescent="0.3">
      <c r="A1769" s="105" t="s">
        <v>7555</v>
      </c>
      <c r="B1769" s="106"/>
      <c r="C1769" s="106"/>
      <c r="D1769" s="106"/>
      <c r="E1769" s="106" t="s">
        <v>7556</v>
      </c>
      <c r="F1769" s="106" t="s">
        <v>13</v>
      </c>
      <c r="G1769" s="105">
        <v>4</v>
      </c>
      <c r="H1769" s="106" t="s">
        <v>7</v>
      </c>
      <c r="I1769" s="105"/>
      <c r="J1769" s="105"/>
      <c r="K1769" s="105"/>
      <c r="L1769" s="105"/>
      <c r="M1769" s="106"/>
      <c r="N1769" s="106" t="s">
        <v>40</v>
      </c>
      <c r="O1769" s="107" t="s">
        <v>447</v>
      </c>
      <c r="P1769" s="106" t="s">
        <v>7557</v>
      </c>
    </row>
    <row r="1770" spans="1:16" outlineLevel="2" x14ac:dyDescent="0.3">
      <c r="A1770" s="105" t="s">
        <v>7558</v>
      </c>
      <c r="B1770" s="106"/>
      <c r="C1770" s="106"/>
      <c r="D1770" s="106"/>
      <c r="E1770" s="106" t="s">
        <v>7559</v>
      </c>
      <c r="F1770" s="106" t="s">
        <v>7560</v>
      </c>
      <c r="G1770" s="105">
        <v>4</v>
      </c>
      <c r="H1770" s="106" t="s">
        <v>7</v>
      </c>
      <c r="I1770" s="105" t="s">
        <v>39</v>
      </c>
      <c r="J1770" s="105"/>
      <c r="K1770" s="105"/>
      <c r="L1770" s="105"/>
      <c r="M1770" s="106" t="s">
        <v>7561</v>
      </c>
      <c r="N1770" s="106" t="s">
        <v>40</v>
      </c>
      <c r="O1770" s="107"/>
      <c r="P1770" s="106" t="s">
        <v>7562</v>
      </c>
    </row>
    <row r="1771" spans="1:16" outlineLevel="2" x14ac:dyDescent="0.3">
      <c r="A1771" s="105" t="s">
        <v>7563</v>
      </c>
      <c r="B1771" s="106"/>
      <c r="C1771" s="106"/>
      <c r="D1771" s="106"/>
      <c r="E1771" s="106" t="s">
        <v>7564</v>
      </c>
      <c r="F1771" s="106" t="s">
        <v>13</v>
      </c>
      <c r="G1771" s="105">
        <v>4</v>
      </c>
      <c r="H1771" s="106" t="s">
        <v>7</v>
      </c>
      <c r="I1771" s="105"/>
      <c r="J1771" s="105"/>
      <c r="K1771" s="105"/>
      <c r="L1771" s="105"/>
      <c r="M1771" s="106"/>
      <c r="N1771" s="106" t="s">
        <v>40</v>
      </c>
      <c r="O1771" s="107" t="s">
        <v>447</v>
      </c>
      <c r="P1771" s="106" t="s">
        <v>7565</v>
      </c>
    </row>
    <row r="1772" spans="1:16" outlineLevel="2" x14ac:dyDescent="0.3">
      <c r="A1772" s="105" t="s">
        <v>7566</v>
      </c>
      <c r="B1772" s="106"/>
      <c r="C1772" s="106"/>
      <c r="D1772" s="106"/>
      <c r="E1772" s="106" t="s">
        <v>7567</v>
      </c>
      <c r="F1772" s="106" t="s">
        <v>7568</v>
      </c>
      <c r="G1772" s="105">
        <v>4</v>
      </c>
      <c r="H1772" s="106" t="s">
        <v>7</v>
      </c>
      <c r="I1772" s="105" t="s">
        <v>39</v>
      </c>
      <c r="J1772" s="105"/>
      <c r="K1772" s="105"/>
      <c r="L1772" s="105"/>
      <c r="M1772" s="106" t="s">
        <v>7569</v>
      </c>
      <c r="N1772" s="106" t="s">
        <v>40</v>
      </c>
      <c r="O1772" s="107"/>
      <c r="P1772" s="106" t="s">
        <v>7570</v>
      </c>
    </row>
    <row r="1773" spans="1:16" outlineLevel="2" x14ac:dyDescent="0.3">
      <c r="A1773" s="105" t="s">
        <v>7571</v>
      </c>
      <c r="B1773" s="106"/>
      <c r="C1773" s="106"/>
      <c r="D1773" s="106"/>
      <c r="E1773" s="106" t="s">
        <v>7572</v>
      </c>
      <c r="F1773" s="106" t="s">
        <v>7573</v>
      </c>
      <c r="G1773" s="105">
        <v>4</v>
      </c>
      <c r="H1773" s="106" t="s">
        <v>7</v>
      </c>
      <c r="I1773" s="105" t="s">
        <v>39</v>
      </c>
      <c r="J1773" s="105"/>
      <c r="K1773" s="105"/>
      <c r="L1773" s="105"/>
      <c r="M1773" s="106" t="s">
        <v>7574</v>
      </c>
      <c r="N1773" s="106" t="s">
        <v>40</v>
      </c>
      <c r="O1773" s="107"/>
      <c r="P1773" s="106" t="s">
        <v>7575</v>
      </c>
    </row>
    <row r="1774" spans="1:16" outlineLevel="2" x14ac:dyDescent="0.3">
      <c r="A1774" s="105" t="s">
        <v>7576</v>
      </c>
      <c r="B1774" s="106"/>
      <c r="C1774" s="106"/>
      <c r="D1774" s="106"/>
      <c r="E1774" s="106" t="s">
        <v>7577</v>
      </c>
      <c r="F1774" s="106" t="s">
        <v>7578</v>
      </c>
      <c r="G1774" s="105">
        <v>4</v>
      </c>
      <c r="H1774" s="106" t="s">
        <v>7</v>
      </c>
      <c r="I1774" s="105" t="s">
        <v>39</v>
      </c>
      <c r="J1774" s="105"/>
      <c r="K1774" s="105"/>
      <c r="L1774" s="105"/>
      <c r="M1774" s="106" t="s">
        <v>7579</v>
      </c>
      <c r="N1774" s="106" t="s">
        <v>40</v>
      </c>
      <c r="O1774" s="107"/>
      <c r="P1774" s="106" t="s">
        <v>7580</v>
      </c>
    </row>
    <row r="1775" spans="1:16" outlineLevel="2" x14ac:dyDescent="0.3">
      <c r="A1775" s="105" t="s">
        <v>7581</v>
      </c>
      <c r="B1775" s="106"/>
      <c r="C1775" s="106"/>
      <c r="D1775" s="106"/>
      <c r="E1775" s="106" t="s">
        <v>7582</v>
      </c>
      <c r="F1775" s="106" t="s">
        <v>7583</v>
      </c>
      <c r="G1775" s="105">
        <v>4</v>
      </c>
      <c r="H1775" s="106" t="s">
        <v>7</v>
      </c>
      <c r="I1775" s="105" t="s">
        <v>39</v>
      </c>
      <c r="J1775" s="105"/>
      <c r="K1775" s="105"/>
      <c r="L1775" s="105"/>
      <c r="M1775" s="106" t="s">
        <v>7584</v>
      </c>
      <c r="N1775" s="106" t="s">
        <v>40</v>
      </c>
      <c r="O1775" s="107"/>
      <c r="P1775" s="106" t="s">
        <v>7585</v>
      </c>
    </row>
    <row r="1776" spans="1:16" outlineLevel="2" x14ac:dyDescent="0.3">
      <c r="A1776" s="105" t="s">
        <v>7586</v>
      </c>
      <c r="B1776" s="106"/>
      <c r="C1776" s="106"/>
      <c r="D1776" s="106"/>
      <c r="E1776" s="106" t="s">
        <v>7587</v>
      </c>
      <c r="F1776" s="106" t="s">
        <v>7588</v>
      </c>
      <c r="G1776" s="105">
        <v>4</v>
      </c>
      <c r="H1776" s="106" t="s">
        <v>7</v>
      </c>
      <c r="I1776" s="105" t="s">
        <v>39</v>
      </c>
      <c r="J1776" s="105"/>
      <c r="K1776" s="105"/>
      <c r="L1776" s="105"/>
      <c r="M1776" s="106" t="s">
        <v>7589</v>
      </c>
      <c r="N1776" s="106" t="s">
        <v>40</v>
      </c>
      <c r="O1776" s="107"/>
      <c r="P1776" s="106" t="s">
        <v>7590</v>
      </c>
    </row>
    <row r="1777" spans="1:16" outlineLevel="2" x14ac:dyDescent="0.3">
      <c r="A1777" s="105" t="s">
        <v>7591</v>
      </c>
      <c r="B1777" s="106"/>
      <c r="C1777" s="106"/>
      <c r="D1777" s="106"/>
      <c r="E1777" s="106" t="s">
        <v>7592</v>
      </c>
      <c r="F1777" s="106" t="s">
        <v>13</v>
      </c>
      <c r="G1777" s="105">
        <v>4</v>
      </c>
      <c r="H1777" s="106" t="s">
        <v>7</v>
      </c>
      <c r="I1777" s="105"/>
      <c r="J1777" s="105"/>
      <c r="K1777" s="105"/>
      <c r="L1777" s="105"/>
      <c r="M1777" s="106" t="s">
        <v>7593</v>
      </c>
      <c r="N1777" s="106" t="s">
        <v>40</v>
      </c>
      <c r="O1777" s="107" t="s">
        <v>447</v>
      </c>
      <c r="P1777" s="106" t="s">
        <v>7594</v>
      </c>
    </row>
    <row r="1778" spans="1:16" outlineLevel="2" x14ac:dyDescent="0.3">
      <c r="A1778" s="105" t="s">
        <v>7595</v>
      </c>
      <c r="B1778" s="106"/>
      <c r="C1778" s="106"/>
      <c r="D1778" s="106"/>
      <c r="E1778" s="106" t="s">
        <v>7596</v>
      </c>
      <c r="F1778" s="106" t="s">
        <v>7597</v>
      </c>
      <c r="G1778" s="105">
        <v>4</v>
      </c>
      <c r="H1778" s="106" t="s">
        <v>7</v>
      </c>
      <c r="I1778" s="105" t="s">
        <v>39</v>
      </c>
      <c r="J1778" s="105"/>
      <c r="K1778" s="105"/>
      <c r="L1778" s="105"/>
      <c r="M1778" s="106" t="s">
        <v>7598</v>
      </c>
      <c r="N1778" s="106" t="s">
        <v>40</v>
      </c>
      <c r="O1778" s="107"/>
      <c r="P1778" s="106" t="s">
        <v>7599</v>
      </c>
    </row>
    <row r="1779" spans="1:16" outlineLevel="2" x14ac:dyDescent="0.3">
      <c r="A1779" s="105" t="s">
        <v>7600</v>
      </c>
      <c r="B1779" s="106"/>
      <c r="C1779" s="106"/>
      <c r="D1779" s="106"/>
      <c r="E1779" s="106" t="s">
        <v>7601</v>
      </c>
      <c r="F1779" s="106" t="s">
        <v>7602</v>
      </c>
      <c r="G1779" s="105">
        <v>4</v>
      </c>
      <c r="H1779" s="106" t="s">
        <v>7</v>
      </c>
      <c r="I1779" s="105" t="s">
        <v>39</v>
      </c>
      <c r="J1779" s="105"/>
      <c r="K1779" s="105"/>
      <c r="L1779" s="105"/>
      <c r="M1779" s="106" t="s">
        <v>7603</v>
      </c>
      <c r="N1779" s="106" t="s">
        <v>40</v>
      </c>
      <c r="O1779" s="107"/>
      <c r="P1779" s="106" t="s">
        <v>7604</v>
      </c>
    </row>
    <row r="1780" spans="1:16" outlineLevel="2" x14ac:dyDescent="0.3">
      <c r="A1780" s="105" t="s">
        <v>7605</v>
      </c>
      <c r="B1780" s="106"/>
      <c r="C1780" s="106"/>
      <c r="D1780" s="106"/>
      <c r="E1780" s="106" t="s">
        <v>7606</v>
      </c>
      <c r="F1780" s="106" t="s">
        <v>7607</v>
      </c>
      <c r="G1780" s="105">
        <v>4</v>
      </c>
      <c r="H1780" s="106" t="s">
        <v>7</v>
      </c>
      <c r="I1780" s="105" t="s">
        <v>39</v>
      </c>
      <c r="J1780" s="105"/>
      <c r="K1780" s="105"/>
      <c r="L1780" s="105"/>
      <c r="M1780" s="106" t="s">
        <v>7608</v>
      </c>
      <c r="N1780" s="106" t="s">
        <v>40</v>
      </c>
      <c r="O1780" s="107"/>
      <c r="P1780" s="106" t="s">
        <v>7609</v>
      </c>
    </row>
    <row r="1781" spans="1:16" outlineLevel="2" x14ac:dyDescent="0.3">
      <c r="A1781" s="105" t="s">
        <v>7610</v>
      </c>
      <c r="B1781" s="106"/>
      <c r="C1781" s="106"/>
      <c r="D1781" s="106"/>
      <c r="E1781" s="106" t="s">
        <v>7611</v>
      </c>
      <c r="F1781" s="106" t="s">
        <v>7612</v>
      </c>
      <c r="G1781" s="105">
        <v>4</v>
      </c>
      <c r="H1781" s="106" t="s">
        <v>7</v>
      </c>
      <c r="I1781" s="105" t="s">
        <v>39</v>
      </c>
      <c r="J1781" s="105"/>
      <c r="K1781" s="105"/>
      <c r="L1781" s="105"/>
      <c r="M1781" s="106" t="s">
        <v>7613</v>
      </c>
      <c r="N1781" s="106" t="s">
        <v>40</v>
      </c>
      <c r="O1781" s="107"/>
      <c r="P1781" s="106" t="s">
        <v>7614</v>
      </c>
    </row>
    <row r="1782" spans="1:16" outlineLevel="2" x14ac:dyDescent="0.3">
      <c r="A1782" s="105" t="s">
        <v>7615</v>
      </c>
      <c r="B1782" s="106"/>
      <c r="C1782" s="106"/>
      <c r="D1782" s="106"/>
      <c r="E1782" s="106" t="s">
        <v>7616</v>
      </c>
      <c r="F1782" s="106" t="s">
        <v>7617</v>
      </c>
      <c r="G1782" s="105">
        <v>4</v>
      </c>
      <c r="H1782" s="106" t="s">
        <v>7</v>
      </c>
      <c r="I1782" s="105" t="s">
        <v>39</v>
      </c>
      <c r="J1782" s="105"/>
      <c r="K1782" s="105"/>
      <c r="L1782" s="105"/>
      <c r="M1782" s="106" t="s">
        <v>7618</v>
      </c>
      <c r="N1782" s="106" t="s">
        <v>40</v>
      </c>
      <c r="O1782" s="107"/>
      <c r="P1782" s="106" t="s">
        <v>7619</v>
      </c>
    </row>
    <row r="1783" spans="1:16" outlineLevel="2" x14ac:dyDescent="0.3">
      <c r="A1783" s="105" t="s">
        <v>7620</v>
      </c>
      <c r="B1783" s="106"/>
      <c r="C1783" s="106"/>
      <c r="D1783" s="106"/>
      <c r="E1783" s="106" t="s">
        <v>7621</v>
      </c>
      <c r="F1783" s="106" t="s">
        <v>7622</v>
      </c>
      <c r="G1783" s="105">
        <v>4</v>
      </c>
      <c r="H1783" s="106" t="s">
        <v>7</v>
      </c>
      <c r="I1783" s="105" t="s">
        <v>39</v>
      </c>
      <c r="J1783" s="105"/>
      <c r="K1783" s="105"/>
      <c r="L1783" s="105"/>
      <c r="M1783" s="106" t="s">
        <v>7623</v>
      </c>
      <c r="N1783" s="106" t="s">
        <v>40</v>
      </c>
      <c r="O1783" s="107"/>
      <c r="P1783" s="106" t="s">
        <v>7624</v>
      </c>
    </row>
    <row r="1784" spans="1:16" outlineLevel="2" x14ac:dyDescent="0.3">
      <c r="A1784" s="105" t="s">
        <v>7625</v>
      </c>
      <c r="B1784" s="106"/>
      <c r="C1784" s="106"/>
      <c r="D1784" s="106"/>
      <c r="E1784" s="106" t="s">
        <v>7626</v>
      </c>
      <c r="F1784" s="106" t="s">
        <v>7627</v>
      </c>
      <c r="G1784" s="105">
        <v>4</v>
      </c>
      <c r="H1784" s="106" t="s">
        <v>7</v>
      </c>
      <c r="I1784" s="105" t="s">
        <v>39</v>
      </c>
      <c r="J1784" s="105"/>
      <c r="K1784" s="105"/>
      <c r="L1784" s="105"/>
      <c r="M1784" s="106" t="s">
        <v>7628</v>
      </c>
      <c r="N1784" s="106" t="s">
        <v>40</v>
      </c>
      <c r="O1784" s="107"/>
      <c r="P1784" s="106" t="s">
        <v>7629</v>
      </c>
    </row>
    <row r="1785" spans="1:16" outlineLevel="2" x14ac:dyDescent="0.3">
      <c r="A1785" s="105" t="s">
        <v>7630</v>
      </c>
      <c r="B1785" s="106"/>
      <c r="C1785" s="106"/>
      <c r="D1785" s="106"/>
      <c r="E1785" s="106" t="s">
        <v>7631</v>
      </c>
      <c r="F1785" s="106" t="s">
        <v>7632</v>
      </c>
      <c r="G1785" s="105">
        <v>4</v>
      </c>
      <c r="H1785" s="106" t="s">
        <v>7</v>
      </c>
      <c r="I1785" s="105" t="s">
        <v>39</v>
      </c>
      <c r="J1785" s="105"/>
      <c r="K1785" s="105"/>
      <c r="L1785" s="105"/>
      <c r="M1785" s="106" t="s">
        <v>7633</v>
      </c>
      <c r="N1785" s="106" t="s">
        <v>40</v>
      </c>
      <c r="O1785" s="107"/>
      <c r="P1785" s="106" t="s">
        <v>7634</v>
      </c>
    </row>
    <row r="1786" spans="1:16" outlineLevel="2" x14ac:dyDescent="0.3">
      <c r="A1786" s="105" t="s">
        <v>7635</v>
      </c>
      <c r="B1786" s="106"/>
      <c r="C1786" s="106"/>
      <c r="D1786" s="106"/>
      <c r="E1786" s="106" t="s">
        <v>7636</v>
      </c>
      <c r="F1786" s="106" t="s">
        <v>7637</v>
      </c>
      <c r="G1786" s="105">
        <v>4</v>
      </c>
      <c r="H1786" s="106" t="s">
        <v>7</v>
      </c>
      <c r="I1786" s="105" t="s">
        <v>39</v>
      </c>
      <c r="J1786" s="105"/>
      <c r="K1786" s="105"/>
      <c r="L1786" s="105"/>
      <c r="M1786" s="106" t="s">
        <v>7638</v>
      </c>
      <c r="N1786" s="106" t="s">
        <v>40</v>
      </c>
      <c r="O1786" s="107"/>
      <c r="P1786" s="106" t="s">
        <v>7639</v>
      </c>
    </row>
    <row r="1787" spans="1:16" outlineLevel="2" x14ac:dyDescent="0.3">
      <c r="A1787" s="105" t="s">
        <v>7640</v>
      </c>
      <c r="B1787" s="106"/>
      <c r="C1787" s="106"/>
      <c r="D1787" s="106"/>
      <c r="E1787" s="106" t="s">
        <v>2172</v>
      </c>
      <c r="F1787" s="106" t="s">
        <v>2173</v>
      </c>
      <c r="G1787" s="105">
        <v>4</v>
      </c>
      <c r="H1787" s="106" t="s">
        <v>7</v>
      </c>
      <c r="I1787" s="105" t="s">
        <v>39</v>
      </c>
      <c r="J1787" s="105"/>
      <c r="K1787" s="105"/>
      <c r="L1787" s="105"/>
      <c r="M1787" s="106" t="s">
        <v>7641</v>
      </c>
      <c r="N1787" s="106" t="s">
        <v>223</v>
      </c>
      <c r="O1787" s="107"/>
      <c r="P1787" s="106" t="s">
        <v>7642</v>
      </c>
    </row>
    <row r="1788" spans="1:16" outlineLevel="2" x14ac:dyDescent="0.3">
      <c r="A1788" s="105" t="s">
        <v>7643</v>
      </c>
      <c r="B1788" s="106"/>
      <c r="C1788" s="106"/>
      <c r="D1788" s="106"/>
      <c r="E1788" s="106" t="s">
        <v>7644</v>
      </c>
      <c r="F1788" s="106" t="s">
        <v>7645</v>
      </c>
      <c r="G1788" s="105">
        <v>4</v>
      </c>
      <c r="H1788" s="106" t="s">
        <v>7</v>
      </c>
      <c r="I1788" s="105" t="s">
        <v>39</v>
      </c>
      <c r="J1788" s="105"/>
      <c r="K1788" s="105"/>
      <c r="L1788" s="105"/>
      <c r="M1788" s="106" t="s">
        <v>7646</v>
      </c>
      <c r="N1788" s="106" t="s">
        <v>40</v>
      </c>
      <c r="O1788" s="107"/>
      <c r="P1788" s="106" t="s">
        <v>7647</v>
      </c>
    </row>
    <row r="1789" spans="1:16" outlineLevel="2" x14ac:dyDescent="0.3">
      <c r="A1789" s="105" t="s">
        <v>7648</v>
      </c>
      <c r="B1789" s="106"/>
      <c r="C1789" s="106"/>
      <c r="D1789" s="106"/>
      <c r="E1789" s="106" t="s">
        <v>7649</v>
      </c>
      <c r="F1789" s="106" t="s">
        <v>7650</v>
      </c>
      <c r="G1789" s="105">
        <v>4</v>
      </c>
      <c r="H1789" s="106" t="s">
        <v>7</v>
      </c>
      <c r="I1789" s="105" t="s">
        <v>39</v>
      </c>
      <c r="J1789" s="105"/>
      <c r="K1789" s="105"/>
      <c r="L1789" s="105"/>
      <c r="M1789" s="106" t="s">
        <v>7651</v>
      </c>
      <c r="N1789" s="106" t="s">
        <v>40</v>
      </c>
      <c r="O1789" s="107"/>
      <c r="P1789" s="106" t="s">
        <v>7652</v>
      </c>
    </row>
    <row r="1790" spans="1:16" outlineLevel="2" x14ac:dyDescent="0.3">
      <c r="A1790" s="105" t="s">
        <v>7653</v>
      </c>
      <c r="B1790" s="106"/>
      <c r="C1790" s="106"/>
      <c r="D1790" s="106"/>
      <c r="E1790" s="106" t="s">
        <v>7654</v>
      </c>
      <c r="F1790" s="106" t="s">
        <v>7655</v>
      </c>
      <c r="G1790" s="105">
        <v>4</v>
      </c>
      <c r="H1790" s="106" t="s">
        <v>7</v>
      </c>
      <c r="I1790" s="105" t="s">
        <v>39</v>
      </c>
      <c r="J1790" s="105"/>
      <c r="K1790" s="105"/>
      <c r="L1790" s="105"/>
      <c r="M1790" s="106" t="s">
        <v>7656</v>
      </c>
      <c r="N1790" s="106" t="s">
        <v>40</v>
      </c>
      <c r="O1790" s="107"/>
      <c r="P1790" s="106" t="s">
        <v>7657</v>
      </c>
    </row>
    <row r="1791" spans="1:16" outlineLevel="2" x14ac:dyDescent="0.3">
      <c r="A1791" s="105" t="s">
        <v>7658</v>
      </c>
      <c r="B1791" s="106"/>
      <c r="C1791" s="106"/>
      <c r="D1791" s="106"/>
      <c r="E1791" s="106" t="s">
        <v>7659</v>
      </c>
      <c r="F1791" s="106" t="s">
        <v>7660</v>
      </c>
      <c r="G1791" s="105">
        <v>4</v>
      </c>
      <c r="H1791" s="106" t="s">
        <v>7</v>
      </c>
      <c r="I1791" s="105" t="s">
        <v>39</v>
      </c>
      <c r="J1791" s="105"/>
      <c r="K1791" s="105"/>
      <c r="L1791" s="105"/>
      <c r="M1791" s="106" t="s">
        <v>7661</v>
      </c>
      <c r="N1791" s="106" t="s">
        <v>40</v>
      </c>
      <c r="O1791" s="107"/>
      <c r="P1791" s="106" t="s">
        <v>7662</v>
      </c>
    </row>
    <row r="1792" spans="1:16" outlineLevel="2" x14ac:dyDescent="0.3">
      <c r="A1792" s="105" t="s">
        <v>7663</v>
      </c>
      <c r="B1792" s="106"/>
      <c r="C1792" s="106"/>
      <c r="D1792" s="106"/>
      <c r="E1792" s="106" t="s">
        <v>7664</v>
      </c>
      <c r="F1792" s="106" t="s">
        <v>7665</v>
      </c>
      <c r="G1792" s="105">
        <v>4</v>
      </c>
      <c r="H1792" s="106" t="s">
        <v>7</v>
      </c>
      <c r="I1792" s="105" t="s">
        <v>39</v>
      </c>
      <c r="J1792" s="105"/>
      <c r="K1792" s="105"/>
      <c r="L1792" s="105"/>
      <c r="M1792" s="106" t="s">
        <v>7666</v>
      </c>
      <c r="N1792" s="106" t="s">
        <v>40</v>
      </c>
      <c r="O1792" s="107"/>
      <c r="P1792" s="106" t="s">
        <v>7667</v>
      </c>
    </row>
    <row r="1793" spans="1:16" outlineLevel="2" x14ac:dyDescent="0.3">
      <c r="A1793" s="105" t="s">
        <v>7668</v>
      </c>
      <c r="B1793" s="106"/>
      <c r="C1793" s="106"/>
      <c r="D1793" s="106"/>
      <c r="E1793" s="106" t="s">
        <v>7669</v>
      </c>
      <c r="F1793" s="106" t="s">
        <v>7670</v>
      </c>
      <c r="G1793" s="105">
        <v>4</v>
      </c>
      <c r="H1793" s="106" t="s">
        <v>7</v>
      </c>
      <c r="I1793" s="105" t="s">
        <v>39</v>
      </c>
      <c r="J1793" s="105"/>
      <c r="K1793" s="105"/>
      <c r="L1793" s="105"/>
      <c r="M1793" s="106" t="s">
        <v>7671</v>
      </c>
      <c r="N1793" s="106" t="s">
        <v>40</v>
      </c>
      <c r="O1793" s="107" t="s">
        <v>332</v>
      </c>
      <c r="P1793" s="106" t="s">
        <v>7672</v>
      </c>
    </row>
    <row r="1794" spans="1:16" outlineLevel="2" x14ac:dyDescent="0.3">
      <c r="A1794" s="105" t="s">
        <v>7673</v>
      </c>
      <c r="B1794" s="106"/>
      <c r="C1794" s="106"/>
      <c r="D1794" s="106"/>
      <c r="E1794" s="106" t="s">
        <v>7674</v>
      </c>
      <c r="F1794" s="106" t="s">
        <v>13</v>
      </c>
      <c r="G1794" s="105">
        <v>4</v>
      </c>
      <c r="H1794" s="106" t="s">
        <v>7</v>
      </c>
      <c r="I1794" s="105"/>
      <c r="J1794" s="105"/>
      <c r="K1794" s="105"/>
      <c r="L1794" s="105"/>
      <c r="M1794" s="106"/>
      <c r="N1794" s="106" t="s">
        <v>40</v>
      </c>
      <c r="O1794" s="107" t="s">
        <v>447</v>
      </c>
      <c r="P1794" s="106" t="s">
        <v>7675</v>
      </c>
    </row>
    <row r="1795" spans="1:16" outlineLevel="2" x14ac:dyDescent="0.3">
      <c r="A1795" s="105" t="s">
        <v>7676</v>
      </c>
      <c r="B1795" s="106"/>
      <c r="C1795" s="106"/>
      <c r="D1795" s="106"/>
      <c r="E1795" s="106" t="s">
        <v>7677</v>
      </c>
      <c r="F1795" s="106" t="s">
        <v>13</v>
      </c>
      <c r="G1795" s="105">
        <v>4</v>
      </c>
      <c r="H1795" s="106" t="s">
        <v>7</v>
      </c>
      <c r="I1795" s="105"/>
      <c r="J1795" s="105"/>
      <c r="K1795" s="105"/>
      <c r="L1795" s="105"/>
      <c r="M1795" s="106"/>
      <c r="N1795" s="106" t="s">
        <v>40</v>
      </c>
      <c r="O1795" s="107" t="s">
        <v>447</v>
      </c>
      <c r="P1795" s="106" t="s">
        <v>7678</v>
      </c>
    </row>
    <row r="1796" spans="1:16" outlineLevel="2" x14ac:dyDescent="0.3">
      <c r="A1796" s="105" t="s">
        <v>7679</v>
      </c>
      <c r="B1796" s="106"/>
      <c r="C1796" s="106"/>
      <c r="D1796" s="106"/>
      <c r="E1796" s="106" t="s">
        <v>7680</v>
      </c>
      <c r="F1796" s="106" t="s">
        <v>7681</v>
      </c>
      <c r="G1796" s="105">
        <v>4</v>
      </c>
      <c r="H1796" s="106" t="s">
        <v>7</v>
      </c>
      <c r="I1796" s="105" t="s">
        <v>39</v>
      </c>
      <c r="J1796" s="105"/>
      <c r="K1796" s="105"/>
      <c r="L1796" s="105"/>
      <c r="M1796" s="106" t="s">
        <v>7682</v>
      </c>
      <c r="N1796" s="106" t="s">
        <v>40</v>
      </c>
      <c r="O1796" s="107"/>
      <c r="P1796" s="106" t="s">
        <v>7683</v>
      </c>
    </row>
    <row r="1797" spans="1:16" outlineLevel="2" x14ac:dyDescent="0.3">
      <c r="A1797" s="105" t="s">
        <v>7684</v>
      </c>
      <c r="B1797" s="106"/>
      <c r="C1797" s="106"/>
      <c r="D1797" s="106"/>
      <c r="E1797" s="106" t="s">
        <v>7685</v>
      </c>
      <c r="F1797" s="106" t="s">
        <v>7686</v>
      </c>
      <c r="G1797" s="105">
        <v>4</v>
      </c>
      <c r="H1797" s="106" t="s">
        <v>7</v>
      </c>
      <c r="I1797" s="105" t="s">
        <v>39</v>
      </c>
      <c r="J1797" s="105"/>
      <c r="K1797" s="105"/>
      <c r="L1797" s="105"/>
      <c r="M1797" s="106" t="s">
        <v>7687</v>
      </c>
      <c r="N1797" s="106" t="s">
        <v>40</v>
      </c>
      <c r="O1797" s="107" t="s">
        <v>332</v>
      </c>
      <c r="P1797" s="106" t="s">
        <v>7688</v>
      </c>
    </row>
    <row r="1798" spans="1:16" outlineLevel="2" x14ac:dyDescent="0.3">
      <c r="A1798" s="105" t="s">
        <v>7689</v>
      </c>
      <c r="B1798" s="106"/>
      <c r="C1798" s="106"/>
      <c r="D1798" s="106"/>
      <c r="E1798" s="106" t="s">
        <v>7690</v>
      </c>
      <c r="F1798" s="106" t="s">
        <v>7691</v>
      </c>
      <c r="G1798" s="105">
        <v>4</v>
      </c>
      <c r="H1798" s="106" t="s">
        <v>7</v>
      </c>
      <c r="I1798" s="105" t="s">
        <v>39</v>
      </c>
      <c r="J1798" s="105"/>
      <c r="K1798" s="105"/>
      <c r="L1798" s="105"/>
      <c r="M1798" s="106" t="s">
        <v>7692</v>
      </c>
      <c r="N1798" s="106" t="s">
        <v>40</v>
      </c>
      <c r="O1798" s="107"/>
      <c r="P1798" s="106" t="s">
        <v>7693</v>
      </c>
    </row>
    <row r="1799" spans="1:16" outlineLevel="2" x14ac:dyDescent="0.3">
      <c r="A1799" s="105" t="s">
        <v>7694</v>
      </c>
      <c r="B1799" s="106"/>
      <c r="C1799" s="106"/>
      <c r="D1799" s="106"/>
      <c r="E1799" s="106" t="s">
        <v>7695</v>
      </c>
      <c r="F1799" s="106" t="s">
        <v>13</v>
      </c>
      <c r="G1799" s="105">
        <v>4</v>
      </c>
      <c r="H1799" s="106" t="s">
        <v>7</v>
      </c>
      <c r="I1799" s="105"/>
      <c r="J1799" s="105"/>
      <c r="K1799" s="105"/>
      <c r="L1799" s="105"/>
      <c r="M1799" s="106"/>
      <c r="N1799" s="106" t="s">
        <v>40</v>
      </c>
      <c r="O1799" s="107" t="s">
        <v>447</v>
      </c>
      <c r="P1799" s="106" t="s">
        <v>7696</v>
      </c>
    </row>
    <row r="1800" spans="1:16" outlineLevel="2" x14ac:dyDescent="0.3">
      <c r="A1800" s="105" t="s">
        <v>7697</v>
      </c>
      <c r="B1800" s="106"/>
      <c r="C1800" s="106"/>
      <c r="D1800" s="106"/>
      <c r="E1800" s="106" t="s">
        <v>7698</v>
      </c>
      <c r="F1800" s="106" t="s">
        <v>13</v>
      </c>
      <c r="G1800" s="105">
        <v>4</v>
      </c>
      <c r="H1800" s="106" t="s">
        <v>7</v>
      </c>
      <c r="I1800" s="105"/>
      <c r="J1800" s="105"/>
      <c r="K1800" s="105"/>
      <c r="L1800" s="105"/>
      <c r="M1800" s="106"/>
      <c r="N1800" s="106" t="s">
        <v>40</v>
      </c>
      <c r="O1800" s="107" t="s">
        <v>447</v>
      </c>
      <c r="P1800" s="106" t="s">
        <v>7699</v>
      </c>
    </row>
    <row r="1801" spans="1:16" outlineLevel="2" x14ac:dyDescent="0.3">
      <c r="A1801" s="105" t="s">
        <v>7700</v>
      </c>
      <c r="B1801" s="106"/>
      <c r="C1801" s="106"/>
      <c r="D1801" s="106"/>
      <c r="E1801" s="106" t="s">
        <v>7701</v>
      </c>
      <c r="F1801" s="106" t="s">
        <v>7702</v>
      </c>
      <c r="G1801" s="105">
        <v>4</v>
      </c>
      <c r="H1801" s="106" t="s">
        <v>7</v>
      </c>
      <c r="I1801" s="105" t="s">
        <v>39</v>
      </c>
      <c r="J1801" s="105"/>
      <c r="K1801" s="105"/>
      <c r="L1801" s="105"/>
      <c r="M1801" s="106" t="s">
        <v>7703</v>
      </c>
      <c r="N1801" s="106" t="s">
        <v>40</v>
      </c>
      <c r="O1801" s="107"/>
      <c r="P1801" s="106" t="s">
        <v>7704</v>
      </c>
    </row>
    <row r="1802" spans="1:16" outlineLevel="2" x14ac:dyDescent="0.3">
      <c r="A1802" s="105" t="s">
        <v>7705</v>
      </c>
      <c r="B1802" s="106"/>
      <c r="C1802" s="106"/>
      <c r="D1802" s="106"/>
      <c r="E1802" s="106" t="s">
        <v>7706</v>
      </c>
      <c r="F1802" s="106" t="s">
        <v>7707</v>
      </c>
      <c r="G1802" s="105">
        <v>4</v>
      </c>
      <c r="H1802" s="106" t="s">
        <v>7</v>
      </c>
      <c r="I1802" s="105" t="s">
        <v>39</v>
      </c>
      <c r="J1802" s="105"/>
      <c r="K1802" s="105"/>
      <c r="L1802" s="105"/>
      <c r="M1802" s="106" t="s">
        <v>7708</v>
      </c>
      <c r="N1802" s="106" t="s">
        <v>40</v>
      </c>
      <c r="O1802" s="107"/>
      <c r="P1802" s="106" t="s">
        <v>7709</v>
      </c>
    </row>
    <row r="1803" spans="1:16" outlineLevel="2" x14ac:dyDescent="0.3">
      <c r="A1803" s="105" t="s">
        <v>7710</v>
      </c>
      <c r="B1803" s="106"/>
      <c r="C1803" s="106"/>
      <c r="D1803" s="106"/>
      <c r="E1803" s="106" t="s">
        <v>7711</v>
      </c>
      <c r="F1803" s="106" t="s">
        <v>7712</v>
      </c>
      <c r="G1803" s="105">
        <v>4</v>
      </c>
      <c r="H1803" s="106" t="s">
        <v>7</v>
      </c>
      <c r="I1803" s="105" t="s">
        <v>39</v>
      </c>
      <c r="J1803" s="105"/>
      <c r="K1803" s="105"/>
      <c r="L1803" s="105"/>
      <c r="M1803" s="106" t="s">
        <v>7713</v>
      </c>
      <c r="N1803" s="106" t="s">
        <v>40</v>
      </c>
      <c r="O1803" s="107"/>
      <c r="P1803" s="106" t="s">
        <v>7714</v>
      </c>
    </row>
    <row r="1804" spans="1:16" outlineLevel="2" x14ac:dyDescent="0.3">
      <c r="A1804" s="105" t="s">
        <v>7715</v>
      </c>
      <c r="B1804" s="106"/>
      <c r="C1804" s="106"/>
      <c r="D1804" s="106"/>
      <c r="E1804" s="106" t="s">
        <v>7716</v>
      </c>
      <c r="F1804" s="106" t="s">
        <v>7717</v>
      </c>
      <c r="G1804" s="105">
        <v>4</v>
      </c>
      <c r="H1804" s="106" t="s">
        <v>7</v>
      </c>
      <c r="I1804" s="105" t="s">
        <v>39</v>
      </c>
      <c r="J1804" s="105"/>
      <c r="K1804" s="105"/>
      <c r="L1804" s="105"/>
      <c r="M1804" s="106" t="s">
        <v>7718</v>
      </c>
      <c r="N1804" s="106" t="s">
        <v>40</v>
      </c>
      <c r="O1804" s="107" t="s">
        <v>332</v>
      </c>
      <c r="P1804" s="106" t="s">
        <v>7719</v>
      </c>
    </row>
    <row r="1805" spans="1:16" outlineLevel="2" x14ac:dyDescent="0.3">
      <c r="A1805" s="105" t="s">
        <v>7720</v>
      </c>
      <c r="B1805" s="106"/>
      <c r="C1805" s="106"/>
      <c r="D1805" s="106"/>
      <c r="E1805" s="106" t="s">
        <v>7721</v>
      </c>
      <c r="F1805" s="106" t="s">
        <v>7722</v>
      </c>
      <c r="G1805" s="105">
        <v>4</v>
      </c>
      <c r="H1805" s="106" t="s">
        <v>7</v>
      </c>
      <c r="I1805" s="105" t="s">
        <v>39</v>
      </c>
      <c r="J1805" s="105"/>
      <c r="K1805" s="105"/>
      <c r="L1805" s="105"/>
      <c r="M1805" s="106" t="s">
        <v>7723</v>
      </c>
      <c r="N1805" s="106" t="s">
        <v>40</v>
      </c>
      <c r="O1805" s="107"/>
      <c r="P1805" s="106" t="s">
        <v>7724</v>
      </c>
    </row>
    <row r="1806" spans="1:16" outlineLevel="2" x14ac:dyDescent="0.3">
      <c r="A1806" s="105" t="s">
        <v>7725</v>
      </c>
      <c r="B1806" s="106"/>
      <c r="C1806" s="106"/>
      <c r="D1806" s="106"/>
      <c r="E1806" s="106" t="s">
        <v>7726</v>
      </c>
      <c r="F1806" s="106" t="s">
        <v>7727</v>
      </c>
      <c r="G1806" s="105">
        <v>4</v>
      </c>
      <c r="H1806" s="106" t="s">
        <v>7</v>
      </c>
      <c r="I1806" s="105" t="s">
        <v>39</v>
      </c>
      <c r="J1806" s="105"/>
      <c r="K1806" s="105"/>
      <c r="L1806" s="105"/>
      <c r="M1806" s="106" t="s">
        <v>7728</v>
      </c>
      <c r="N1806" s="106" t="s">
        <v>40</v>
      </c>
      <c r="O1806" s="107"/>
      <c r="P1806" s="106" t="s">
        <v>7729</v>
      </c>
    </row>
    <row r="1807" spans="1:16" outlineLevel="2" x14ac:dyDescent="0.3">
      <c r="A1807" s="105" t="s">
        <v>7730</v>
      </c>
      <c r="B1807" s="106"/>
      <c r="C1807" s="106"/>
      <c r="D1807" s="106"/>
      <c r="E1807" s="106" t="s">
        <v>7731</v>
      </c>
      <c r="F1807" s="106" t="s">
        <v>7732</v>
      </c>
      <c r="G1807" s="105">
        <v>4</v>
      </c>
      <c r="H1807" s="106" t="s">
        <v>7</v>
      </c>
      <c r="I1807" s="105" t="s">
        <v>39</v>
      </c>
      <c r="J1807" s="105"/>
      <c r="K1807" s="105"/>
      <c r="L1807" s="105"/>
      <c r="M1807" s="106" t="s">
        <v>7733</v>
      </c>
      <c r="N1807" s="106" t="s">
        <v>40</v>
      </c>
      <c r="O1807" s="107"/>
      <c r="P1807" s="106" t="s">
        <v>7734</v>
      </c>
    </row>
    <row r="1808" spans="1:16" outlineLevel="2" x14ac:dyDescent="0.3">
      <c r="A1808" s="105" t="s">
        <v>7735</v>
      </c>
      <c r="B1808" s="106"/>
      <c r="C1808" s="106"/>
      <c r="D1808" s="106"/>
      <c r="E1808" s="106" t="s">
        <v>7736</v>
      </c>
      <c r="F1808" s="106" t="s">
        <v>7737</v>
      </c>
      <c r="G1808" s="105">
        <v>4</v>
      </c>
      <c r="H1808" s="106" t="s">
        <v>7</v>
      </c>
      <c r="I1808" s="105" t="s">
        <v>39</v>
      </c>
      <c r="J1808" s="105"/>
      <c r="K1808" s="105"/>
      <c r="L1808" s="105"/>
      <c r="M1808" s="106" t="s">
        <v>7738</v>
      </c>
      <c r="N1808" s="106" t="s">
        <v>40</v>
      </c>
      <c r="O1808" s="107"/>
      <c r="P1808" s="106" t="s">
        <v>7739</v>
      </c>
    </row>
    <row r="1809" spans="1:16" outlineLevel="2" x14ac:dyDescent="0.3">
      <c r="A1809" s="105" t="s">
        <v>7740</v>
      </c>
      <c r="B1809" s="106"/>
      <c r="C1809" s="106"/>
      <c r="D1809" s="106"/>
      <c r="E1809" s="106" t="s">
        <v>7741</v>
      </c>
      <c r="F1809" s="106" t="s">
        <v>7742</v>
      </c>
      <c r="G1809" s="105">
        <v>4</v>
      </c>
      <c r="H1809" s="106" t="s">
        <v>7</v>
      </c>
      <c r="I1809" s="105" t="s">
        <v>39</v>
      </c>
      <c r="J1809" s="105"/>
      <c r="K1809" s="105"/>
      <c r="L1809" s="105"/>
      <c r="M1809" s="106" t="s">
        <v>7743</v>
      </c>
      <c r="N1809" s="106" t="s">
        <v>40</v>
      </c>
      <c r="O1809" s="107"/>
      <c r="P1809" s="106" t="s">
        <v>7744</v>
      </c>
    </row>
    <row r="1810" spans="1:16" outlineLevel="2" x14ac:dyDescent="0.3">
      <c r="A1810" s="105" t="s">
        <v>7745</v>
      </c>
      <c r="B1810" s="106"/>
      <c r="C1810" s="106"/>
      <c r="D1810" s="106"/>
      <c r="E1810" s="106" t="s">
        <v>7746</v>
      </c>
      <c r="F1810" s="106" t="s">
        <v>7747</v>
      </c>
      <c r="G1810" s="105">
        <v>4</v>
      </c>
      <c r="H1810" s="106" t="s">
        <v>7</v>
      </c>
      <c r="I1810" s="105" t="s">
        <v>39</v>
      </c>
      <c r="J1810" s="105"/>
      <c r="K1810" s="105"/>
      <c r="L1810" s="105"/>
      <c r="M1810" s="106" t="s">
        <v>7748</v>
      </c>
      <c r="N1810" s="106" t="s">
        <v>40</v>
      </c>
      <c r="O1810" s="107"/>
      <c r="P1810" s="106" t="s">
        <v>7749</v>
      </c>
    </row>
    <row r="1811" spans="1:16" outlineLevel="2" x14ac:dyDescent="0.3">
      <c r="A1811" s="105" t="s">
        <v>7750</v>
      </c>
      <c r="B1811" s="106"/>
      <c r="C1811" s="106"/>
      <c r="D1811" s="106"/>
      <c r="E1811" s="106" t="s">
        <v>7751</v>
      </c>
      <c r="F1811" s="106" t="s">
        <v>7752</v>
      </c>
      <c r="G1811" s="105">
        <v>4</v>
      </c>
      <c r="H1811" s="106" t="s">
        <v>7</v>
      </c>
      <c r="I1811" s="105" t="s">
        <v>39</v>
      </c>
      <c r="J1811" s="105"/>
      <c r="K1811" s="105"/>
      <c r="L1811" s="105"/>
      <c r="M1811" s="106" t="s">
        <v>7753</v>
      </c>
      <c r="N1811" s="106" t="s">
        <v>40</v>
      </c>
      <c r="O1811" s="107"/>
      <c r="P1811" s="106" t="s">
        <v>7754</v>
      </c>
    </row>
    <row r="1812" spans="1:16" outlineLevel="2" x14ac:dyDescent="0.3">
      <c r="A1812" s="105" t="s">
        <v>7755</v>
      </c>
      <c r="B1812" s="106"/>
      <c r="C1812" s="106"/>
      <c r="D1812" s="106"/>
      <c r="E1812" s="106" t="s">
        <v>7756</v>
      </c>
      <c r="F1812" s="106" t="s">
        <v>13</v>
      </c>
      <c r="G1812" s="105">
        <v>4</v>
      </c>
      <c r="H1812" s="106" t="s">
        <v>7</v>
      </c>
      <c r="I1812" s="105"/>
      <c r="J1812" s="105"/>
      <c r="K1812" s="105"/>
      <c r="L1812" s="105"/>
      <c r="M1812" s="106"/>
      <c r="N1812" s="106" t="s">
        <v>40</v>
      </c>
      <c r="O1812" s="107" t="s">
        <v>447</v>
      </c>
      <c r="P1812" s="106" t="s">
        <v>7757</v>
      </c>
    </row>
    <row r="1813" spans="1:16" outlineLevel="2" x14ac:dyDescent="0.3">
      <c r="A1813" s="105" t="s">
        <v>7758</v>
      </c>
      <c r="B1813" s="106"/>
      <c r="C1813" s="106"/>
      <c r="D1813" s="106"/>
      <c r="E1813" s="106" t="s">
        <v>7759</v>
      </c>
      <c r="F1813" s="106" t="s">
        <v>7760</v>
      </c>
      <c r="G1813" s="105">
        <v>4</v>
      </c>
      <c r="H1813" s="106" t="s">
        <v>7</v>
      </c>
      <c r="I1813" s="105" t="s">
        <v>39</v>
      </c>
      <c r="J1813" s="105"/>
      <c r="K1813" s="105"/>
      <c r="L1813" s="105"/>
      <c r="M1813" s="106" t="s">
        <v>7761</v>
      </c>
      <c r="N1813" s="106" t="s">
        <v>40</v>
      </c>
      <c r="O1813" s="107"/>
      <c r="P1813" s="106" t="s">
        <v>7762</v>
      </c>
    </row>
    <row r="1814" spans="1:16" outlineLevel="2" x14ac:dyDescent="0.3">
      <c r="A1814" s="105" t="s">
        <v>7763</v>
      </c>
      <c r="B1814" s="106"/>
      <c r="C1814" s="106"/>
      <c r="D1814" s="106"/>
      <c r="E1814" s="106" t="s">
        <v>7764</v>
      </c>
      <c r="F1814" s="106" t="s">
        <v>7765</v>
      </c>
      <c r="G1814" s="105">
        <v>4</v>
      </c>
      <c r="H1814" s="106" t="s">
        <v>7</v>
      </c>
      <c r="I1814" s="105" t="s">
        <v>39</v>
      </c>
      <c r="J1814" s="105"/>
      <c r="K1814" s="105"/>
      <c r="L1814" s="105"/>
      <c r="M1814" s="106" t="s">
        <v>7766</v>
      </c>
      <c r="N1814" s="106" t="s">
        <v>40</v>
      </c>
      <c r="O1814" s="107"/>
      <c r="P1814" s="106" t="s">
        <v>7767</v>
      </c>
    </row>
    <row r="1815" spans="1:16" outlineLevel="2" x14ac:dyDescent="0.3">
      <c r="A1815" s="105" t="s">
        <v>7768</v>
      </c>
      <c r="B1815" s="106"/>
      <c r="C1815" s="106"/>
      <c r="D1815" s="106"/>
      <c r="E1815" s="106" t="s">
        <v>7769</v>
      </c>
      <c r="F1815" s="106" t="s">
        <v>7770</v>
      </c>
      <c r="G1815" s="105">
        <v>4</v>
      </c>
      <c r="H1815" s="106" t="s">
        <v>7</v>
      </c>
      <c r="I1815" s="105" t="s">
        <v>39</v>
      </c>
      <c r="J1815" s="105"/>
      <c r="K1815" s="105"/>
      <c r="L1815" s="105"/>
      <c r="M1815" s="106" t="s">
        <v>7771</v>
      </c>
      <c r="N1815" s="106" t="s">
        <v>40</v>
      </c>
      <c r="O1815" s="107"/>
      <c r="P1815" s="106" t="s">
        <v>7772</v>
      </c>
    </row>
    <row r="1816" spans="1:16" outlineLevel="2" x14ac:dyDescent="0.3">
      <c r="A1816" s="105" t="s">
        <v>7773</v>
      </c>
      <c r="B1816" s="106"/>
      <c r="C1816" s="106"/>
      <c r="D1816" s="106"/>
      <c r="E1816" s="106" t="s">
        <v>7774</v>
      </c>
      <c r="F1816" s="106" t="s">
        <v>13</v>
      </c>
      <c r="G1816" s="105">
        <v>4</v>
      </c>
      <c r="H1816" s="106" t="s">
        <v>7</v>
      </c>
      <c r="I1816" s="105"/>
      <c r="J1816" s="105"/>
      <c r="K1816" s="105"/>
      <c r="L1816" s="105"/>
      <c r="M1816" s="106"/>
      <c r="N1816" s="106" t="s">
        <v>40</v>
      </c>
      <c r="O1816" s="107" t="s">
        <v>447</v>
      </c>
      <c r="P1816" s="106" t="s">
        <v>7775</v>
      </c>
    </row>
    <row r="1817" spans="1:16" outlineLevel="2" x14ac:dyDescent="0.3">
      <c r="A1817" s="105" t="s">
        <v>7776</v>
      </c>
      <c r="B1817" s="106"/>
      <c r="C1817" s="106"/>
      <c r="D1817" s="106"/>
      <c r="E1817" s="106" t="s">
        <v>7777</v>
      </c>
      <c r="F1817" s="106" t="s">
        <v>7778</v>
      </c>
      <c r="G1817" s="105">
        <v>4</v>
      </c>
      <c r="H1817" s="106" t="s">
        <v>7</v>
      </c>
      <c r="I1817" s="105" t="s">
        <v>39</v>
      </c>
      <c r="J1817" s="105"/>
      <c r="K1817" s="105"/>
      <c r="L1817" s="105"/>
      <c r="M1817" s="106" t="s">
        <v>7779</v>
      </c>
      <c r="N1817" s="106" t="s">
        <v>40</v>
      </c>
      <c r="O1817" s="107"/>
      <c r="P1817" s="106" t="s">
        <v>7780</v>
      </c>
    </row>
    <row r="1818" spans="1:16" outlineLevel="2" x14ac:dyDescent="0.3">
      <c r="A1818" s="105" t="s">
        <v>7781</v>
      </c>
      <c r="B1818" s="106"/>
      <c r="C1818" s="106"/>
      <c r="D1818" s="106"/>
      <c r="E1818" s="106" t="s">
        <v>7782</v>
      </c>
      <c r="F1818" s="106" t="s">
        <v>7783</v>
      </c>
      <c r="G1818" s="105">
        <v>4</v>
      </c>
      <c r="H1818" s="106" t="s">
        <v>7</v>
      </c>
      <c r="I1818" s="105" t="s">
        <v>39</v>
      </c>
      <c r="J1818" s="105"/>
      <c r="K1818" s="105"/>
      <c r="L1818" s="105"/>
      <c r="M1818" s="106" t="s">
        <v>7784</v>
      </c>
      <c r="N1818" s="106" t="s">
        <v>223</v>
      </c>
      <c r="O1818" s="107"/>
      <c r="P1818" s="106" t="s">
        <v>7785</v>
      </c>
    </row>
    <row r="1819" spans="1:16" outlineLevel="2" x14ac:dyDescent="0.3">
      <c r="A1819" s="105" t="s">
        <v>7786</v>
      </c>
      <c r="B1819" s="106"/>
      <c r="C1819" s="106"/>
      <c r="D1819" s="106"/>
      <c r="E1819" s="106" t="s">
        <v>7787</v>
      </c>
      <c r="F1819" s="106" t="s">
        <v>7788</v>
      </c>
      <c r="G1819" s="105">
        <v>4</v>
      </c>
      <c r="H1819" s="106" t="s">
        <v>7</v>
      </c>
      <c r="I1819" s="105" t="s">
        <v>39</v>
      </c>
      <c r="J1819" s="105"/>
      <c r="K1819" s="105"/>
      <c r="L1819" s="105"/>
      <c r="M1819" s="106" t="s">
        <v>7789</v>
      </c>
      <c r="N1819" s="106" t="s">
        <v>40</v>
      </c>
      <c r="O1819" s="107"/>
      <c r="P1819" s="106" t="s">
        <v>7790</v>
      </c>
    </row>
    <row r="1820" spans="1:16" outlineLevel="2" x14ac:dyDescent="0.3">
      <c r="A1820" s="105" t="s">
        <v>7791</v>
      </c>
      <c r="B1820" s="106"/>
      <c r="C1820" s="106"/>
      <c r="D1820" s="106"/>
      <c r="E1820" s="106" t="s">
        <v>7792</v>
      </c>
      <c r="F1820" s="106" t="s">
        <v>13</v>
      </c>
      <c r="G1820" s="105">
        <v>4</v>
      </c>
      <c r="H1820" s="106" t="s">
        <v>7</v>
      </c>
      <c r="I1820" s="105"/>
      <c r="J1820" s="105"/>
      <c r="K1820" s="105"/>
      <c r="L1820" s="105"/>
      <c r="M1820" s="106"/>
      <c r="N1820" s="106" t="s">
        <v>40</v>
      </c>
      <c r="O1820" s="107" t="s">
        <v>447</v>
      </c>
      <c r="P1820" s="106" t="s">
        <v>7793</v>
      </c>
    </row>
    <row r="1821" spans="1:16" outlineLevel="2" x14ac:dyDescent="0.3">
      <c r="A1821" s="105" t="s">
        <v>7794</v>
      </c>
      <c r="B1821" s="106"/>
      <c r="C1821" s="106"/>
      <c r="D1821" s="106"/>
      <c r="E1821" s="106" t="s">
        <v>7795</v>
      </c>
      <c r="F1821" s="106" t="s">
        <v>13</v>
      </c>
      <c r="G1821" s="105">
        <v>4</v>
      </c>
      <c r="H1821" s="106" t="s">
        <v>7</v>
      </c>
      <c r="I1821" s="105"/>
      <c r="J1821" s="105"/>
      <c r="K1821" s="105"/>
      <c r="L1821" s="105"/>
      <c r="M1821" s="106"/>
      <c r="N1821" s="106" t="s">
        <v>40</v>
      </c>
      <c r="O1821" s="107" t="s">
        <v>447</v>
      </c>
      <c r="P1821" s="106" t="s">
        <v>7796</v>
      </c>
    </row>
    <row r="1822" spans="1:16" outlineLevel="2" x14ac:dyDescent="0.3">
      <c r="A1822" s="105" t="s">
        <v>7797</v>
      </c>
      <c r="B1822" s="106"/>
      <c r="C1822" s="106"/>
      <c r="D1822" s="106"/>
      <c r="E1822" s="106" t="s">
        <v>7798</v>
      </c>
      <c r="F1822" s="106" t="s">
        <v>13</v>
      </c>
      <c r="G1822" s="105">
        <v>4</v>
      </c>
      <c r="H1822" s="106" t="s">
        <v>7</v>
      </c>
      <c r="I1822" s="105"/>
      <c r="J1822" s="105"/>
      <c r="K1822" s="105"/>
      <c r="L1822" s="105"/>
      <c r="M1822" s="106"/>
      <c r="N1822" s="106" t="s">
        <v>40</v>
      </c>
      <c r="O1822" s="107" t="s">
        <v>447</v>
      </c>
      <c r="P1822" s="106" t="s">
        <v>7799</v>
      </c>
    </row>
    <row r="1823" spans="1:16" outlineLevel="2" x14ac:dyDescent="0.3">
      <c r="A1823" s="105" t="s">
        <v>7800</v>
      </c>
      <c r="B1823" s="106"/>
      <c r="C1823" s="106"/>
      <c r="D1823" s="106"/>
      <c r="E1823" s="106" t="s">
        <v>7801</v>
      </c>
      <c r="F1823" s="106" t="s">
        <v>13</v>
      </c>
      <c r="G1823" s="105">
        <v>4</v>
      </c>
      <c r="H1823" s="106" t="s">
        <v>7</v>
      </c>
      <c r="I1823" s="105"/>
      <c r="J1823" s="105"/>
      <c r="K1823" s="105"/>
      <c r="L1823" s="105"/>
      <c r="M1823" s="106"/>
      <c r="N1823" s="106" t="s">
        <v>40</v>
      </c>
      <c r="O1823" s="107" t="s">
        <v>447</v>
      </c>
      <c r="P1823" s="106" t="s">
        <v>7802</v>
      </c>
    </row>
    <row r="1824" spans="1:16" outlineLevel="2" x14ac:dyDescent="0.3">
      <c r="A1824" s="105" t="s">
        <v>7803</v>
      </c>
      <c r="B1824" s="106"/>
      <c r="C1824" s="106"/>
      <c r="D1824" s="106"/>
      <c r="E1824" s="106" t="s">
        <v>7804</v>
      </c>
      <c r="F1824" s="106" t="s">
        <v>7805</v>
      </c>
      <c r="G1824" s="105">
        <v>4</v>
      </c>
      <c r="H1824" s="106" t="s">
        <v>7</v>
      </c>
      <c r="I1824" s="105" t="s">
        <v>39</v>
      </c>
      <c r="J1824" s="105"/>
      <c r="K1824" s="105"/>
      <c r="L1824" s="105"/>
      <c r="M1824" s="106" t="s">
        <v>7806</v>
      </c>
      <c r="N1824" s="106" t="s">
        <v>40</v>
      </c>
      <c r="O1824" s="107"/>
      <c r="P1824" s="106" t="s">
        <v>7807</v>
      </c>
    </row>
    <row r="1825" spans="1:16" outlineLevel="2" x14ac:dyDescent="0.3">
      <c r="A1825" s="105" t="s">
        <v>7808</v>
      </c>
      <c r="B1825" s="106"/>
      <c r="C1825" s="106"/>
      <c r="D1825" s="106"/>
      <c r="E1825" s="106" t="s">
        <v>7809</v>
      </c>
      <c r="F1825" s="106" t="s">
        <v>7810</v>
      </c>
      <c r="G1825" s="105">
        <v>4</v>
      </c>
      <c r="H1825" s="106" t="s">
        <v>7</v>
      </c>
      <c r="I1825" s="105" t="s">
        <v>39</v>
      </c>
      <c r="J1825" s="105"/>
      <c r="K1825" s="105"/>
      <c r="L1825" s="105"/>
      <c r="M1825" s="106" t="s">
        <v>7811</v>
      </c>
      <c r="N1825" s="106" t="s">
        <v>40</v>
      </c>
      <c r="O1825" s="107"/>
      <c r="P1825" s="106" t="s">
        <v>7812</v>
      </c>
    </row>
    <row r="1826" spans="1:16" outlineLevel="2" x14ac:dyDescent="0.3">
      <c r="A1826" s="105" t="s">
        <v>7813</v>
      </c>
      <c r="B1826" s="106"/>
      <c r="C1826" s="106"/>
      <c r="D1826" s="106"/>
      <c r="E1826" s="106" t="s">
        <v>7814</v>
      </c>
      <c r="F1826" s="106" t="s">
        <v>7815</v>
      </c>
      <c r="G1826" s="105">
        <v>4</v>
      </c>
      <c r="H1826" s="106" t="s">
        <v>7</v>
      </c>
      <c r="I1826" s="105" t="s">
        <v>39</v>
      </c>
      <c r="J1826" s="105"/>
      <c r="K1826" s="105"/>
      <c r="L1826" s="105"/>
      <c r="M1826" s="106" t="s">
        <v>7816</v>
      </c>
      <c r="N1826" s="106" t="s">
        <v>40</v>
      </c>
      <c r="O1826" s="107"/>
      <c r="P1826" s="106" t="s">
        <v>7817</v>
      </c>
    </row>
    <row r="1827" spans="1:16" outlineLevel="2" x14ac:dyDescent="0.3">
      <c r="A1827" s="105" t="s">
        <v>7818</v>
      </c>
      <c r="B1827" s="106"/>
      <c r="C1827" s="106"/>
      <c r="D1827" s="106"/>
      <c r="E1827" s="106" t="s">
        <v>7819</v>
      </c>
      <c r="F1827" s="106" t="s">
        <v>13</v>
      </c>
      <c r="G1827" s="105">
        <v>4</v>
      </c>
      <c r="H1827" s="106" t="s">
        <v>7</v>
      </c>
      <c r="I1827" s="105"/>
      <c r="J1827" s="105"/>
      <c r="K1827" s="105"/>
      <c r="L1827" s="105"/>
      <c r="M1827" s="106"/>
      <c r="N1827" s="106" t="s">
        <v>40</v>
      </c>
      <c r="O1827" s="107" t="s">
        <v>447</v>
      </c>
      <c r="P1827" s="106" t="s">
        <v>7820</v>
      </c>
    </row>
    <row r="1828" spans="1:16" outlineLevel="2" x14ac:dyDescent="0.3">
      <c r="A1828" s="105" t="s">
        <v>7821</v>
      </c>
      <c r="B1828" s="106"/>
      <c r="C1828" s="106"/>
      <c r="D1828" s="106"/>
      <c r="E1828" s="106" t="s">
        <v>7822</v>
      </c>
      <c r="F1828" s="106" t="s">
        <v>7823</v>
      </c>
      <c r="G1828" s="105">
        <v>4</v>
      </c>
      <c r="H1828" s="106" t="s">
        <v>7</v>
      </c>
      <c r="I1828" s="105" t="s">
        <v>39</v>
      </c>
      <c r="J1828" s="105"/>
      <c r="K1828" s="105"/>
      <c r="L1828" s="105"/>
      <c r="M1828" s="106" t="s">
        <v>7824</v>
      </c>
      <c r="N1828" s="106" t="s">
        <v>40</v>
      </c>
      <c r="O1828" s="107"/>
      <c r="P1828" s="106" t="s">
        <v>7825</v>
      </c>
    </row>
    <row r="1829" spans="1:16" outlineLevel="2" x14ac:dyDescent="0.3">
      <c r="A1829" s="105" t="s">
        <v>7826</v>
      </c>
      <c r="B1829" s="106"/>
      <c r="C1829" s="106"/>
      <c r="D1829" s="106"/>
      <c r="E1829" s="106" t="s">
        <v>7827</v>
      </c>
      <c r="F1829" s="106" t="s">
        <v>13</v>
      </c>
      <c r="G1829" s="105">
        <v>4</v>
      </c>
      <c r="H1829" s="106" t="s">
        <v>7</v>
      </c>
      <c r="I1829" s="105"/>
      <c r="J1829" s="105"/>
      <c r="K1829" s="105"/>
      <c r="L1829" s="105"/>
      <c r="M1829" s="106"/>
      <c r="N1829" s="106" t="s">
        <v>40</v>
      </c>
      <c r="O1829" s="107" t="s">
        <v>447</v>
      </c>
      <c r="P1829" s="106" t="s">
        <v>7828</v>
      </c>
    </row>
    <row r="1830" spans="1:16" outlineLevel="2" x14ac:dyDescent="0.3">
      <c r="A1830" s="105" t="s">
        <v>7829</v>
      </c>
      <c r="B1830" s="106"/>
      <c r="C1830" s="106"/>
      <c r="D1830" s="106"/>
      <c r="E1830" s="106" t="s">
        <v>7830</v>
      </c>
      <c r="F1830" s="106" t="s">
        <v>7831</v>
      </c>
      <c r="G1830" s="105">
        <v>4</v>
      </c>
      <c r="H1830" s="106" t="s">
        <v>7</v>
      </c>
      <c r="I1830" s="105" t="s">
        <v>39</v>
      </c>
      <c r="J1830" s="105"/>
      <c r="K1830" s="105"/>
      <c r="L1830" s="105"/>
      <c r="M1830" s="106" t="s">
        <v>7832</v>
      </c>
      <c r="N1830" s="106" t="s">
        <v>40</v>
      </c>
      <c r="O1830" s="107"/>
      <c r="P1830" s="106" t="s">
        <v>7833</v>
      </c>
    </row>
    <row r="1831" spans="1:16" outlineLevel="2" x14ac:dyDescent="0.3">
      <c r="A1831" s="105" t="s">
        <v>7834</v>
      </c>
      <c r="B1831" s="106"/>
      <c r="C1831" s="106"/>
      <c r="D1831" s="106"/>
      <c r="E1831" s="106" t="s">
        <v>7835</v>
      </c>
      <c r="F1831" s="106" t="s">
        <v>7836</v>
      </c>
      <c r="G1831" s="105">
        <v>4</v>
      </c>
      <c r="H1831" s="106" t="s">
        <v>7</v>
      </c>
      <c r="I1831" s="105" t="s">
        <v>39</v>
      </c>
      <c r="J1831" s="105"/>
      <c r="K1831" s="105"/>
      <c r="L1831" s="105"/>
      <c r="M1831" s="106" t="s">
        <v>7837</v>
      </c>
      <c r="N1831" s="106" t="s">
        <v>40</v>
      </c>
      <c r="O1831" s="107"/>
      <c r="P1831" s="106" t="s">
        <v>7838</v>
      </c>
    </row>
    <row r="1832" spans="1:16" ht="27.6" outlineLevel="1" x14ac:dyDescent="0.3">
      <c r="A1832" s="301" t="s">
        <v>7839</v>
      </c>
      <c r="B1832" s="302"/>
      <c r="C1832" s="303" t="s">
        <v>7840</v>
      </c>
      <c r="D1832" s="302"/>
      <c r="E1832" s="302"/>
      <c r="F1832" s="302"/>
      <c r="G1832" s="301">
        <v>2</v>
      </c>
      <c r="H1832" s="302" t="s">
        <v>25</v>
      </c>
      <c r="I1832" s="301" t="s">
        <v>39</v>
      </c>
      <c r="J1832" s="301">
        <v>4</v>
      </c>
      <c r="K1832" s="301">
        <v>1</v>
      </c>
      <c r="L1832" s="301">
        <v>5</v>
      </c>
      <c r="M1832" s="304" t="s">
        <v>7841</v>
      </c>
      <c r="N1832" s="304" t="s">
        <v>40</v>
      </c>
      <c r="O1832" s="305"/>
      <c r="P1832" s="304" t="s">
        <v>7842</v>
      </c>
    </row>
    <row r="1833" spans="1:16" outlineLevel="2" x14ac:dyDescent="0.3">
      <c r="A1833" s="105" t="s">
        <v>7843</v>
      </c>
      <c r="B1833" s="106"/>
      <c r="C1833" s="106"/>
      <c r="D1833" s="106"/>
      <c r="E1833" s="106" t="s">
        <v>7844</v>
      </c>
      <c r="F1833" s="106" t="s">
        <v>7845</v>
      </c>
      <c r="G1833" s="105">
        <v>4</v>
      </c>
      <c r="H1833" s="106" t="s">
        <v>7</v>
      </c>
      <c r="I1833" s="105" t="s">
        <v>39</v>
      </c>
      <c r="J1833" s="105"/>
      <c r="K1833" s="105"/>
      <c r="L1833" s="105"/>
      <c r="M1833" s="106" t="s">
        <v>7846</v>
      </c>
      <c r="N1833" s="106" t="s">
        <v>40</v>
      </c>
      <c r="O1833" s="107"/>
      <c r="P1833" s="106" t="s">
        <v>7847</v>
      </c>
    </row>
    <row r="1834" spans="1:16" outlineLevel="2" x14ac:dyDescent="0.3">
      <c r="A1834" s="105" t="s">
        <v>7848</v>
      </c>
      <c r="B1834" s="106"/>
      <c r="C1834" s="106"/>
      <c r="D1834" s="106"/>
      <c r="E1834" s="106" t="s">
        <v>7849</v>
      </c>
      <c r="F1834" s="106" t="s">
        <v>7850</v>
      </c>
      <c r="G1834" s="105">
        <v>4</v>
      </c>
      <c r="H1834" s="106" t="s">
        <v>7</v>
      </c>
      <c r="I1834" s="105" t="s">
        <v>39</v>
      </c>
      <c r="J1834" s="105"/>
      <c r="K1834" s="105"/>
      <c r="L1834" s="105"/>
      <c r="M1834" s="106" t="s">
        <v>7851</v>
      </c>
      <c r="N1834" s="106" t="s">
        <v>40</v>
      </c>
      <c r="O1834" s="107"/>
      <c r="P1834" s="106" t="s">
        <v>7852</v>
      </c>
    </row>
    <row r="1835" spans="1:16" outlineLevel="2" x14ac:dyDescent="0.3">
      <c r="A1835" s="105" t="s">
        <v>7853</v>
      </c>
      <c r="B1835" s="106"/>
      <c r="C1835" s="106"/>
      <c r="D1835" s="106"/>
      <c r="E1835" s="106" t="s">
        <v>7854</v>
      </c>
      <c r="F1835" s="106" t="s">
        <v>7855</v>
      </c>
      <c r="G1835" s="105">
        <v>4</v>
      </c>
      <c r="H1835" s="106" t="s">
        <v>7</v>
      </c>
      <c r="I1835" s="105" t="s">
        <v>39</v>
      </c>
      <c r="J1835" s="105"/>
      <c r="K1835" s="105"/>
      <c r="L1835" s="105"/>
      <c r="M1835" s="106" t="s">
        <v>7856</v>
      </c>
      <c r="N1835" s="106" t="s">
        <v>40</v>
      </c>
      <c r="O1835" s="107"/>
      <c r="P1835" s="106" t="s">
        <v>7857</v>
      </c>
    </row>
    <row r="1836" spans="1:16" outlineLevel="2" x14ac:dyDescent="0.3">
      <c r="A1836" s="105" t="s">
        <v>7858</v>
      </c>
      <c r="B1836" s="106"/>
      <c r="C1836" s="106"/>
      <c r="D1836" s="106"/>
      <c r="E1836" s="106" t="s">
        <v>7859</v>
      </c>
      <c r="F1836" s="106" t="s">
        <v>7860</v>
      </c>
      <c r="G1836" s="105">
        <v>4</v>
      </c>
      <c r="H1836" s="106" t="s">
        <v>7</v>
      </c>
      <c r="I1836" s="105" t="s">
        <v>39</v>
      </c>
      <c r="J1836" s="105"/>
      <c r="K1836" s="105"/>
      <c r="L1836" s="105"/>
      <c r="M1836" s="106" t="s">
        <v>7861</v>
      </c>
      <c r="N1836" s="106" t="s">
        <v>40</v>
      </c>
      <c r="O1836" s="107"/>
      <c r="P1836" s="106" t="s">
        <v>7862</v>
      </c>
    </row>
    <row r="1837" spans="1:16" outlineLevel="2" x14ac:dyDescent="0.3">
      <c r="A1837" s="105" t="s">
        <v>7863</v>
      </c>
      <c r="B1837" s="106"/>
      <c r="C1837" s="106"/>
      <c r="D1837" s="106"/>
      <c r="E1837" s="106" t="s">
        <v>7864</v>
      </c>
      <c r="F1837" s="106" t="s">
        <v>13</v>
      </c>
      <c r="G1837" s="105">
        <v>4</v>
      </c>
      <c r="H1837" s="106" t="s">
        <v>7</v>
      </c>
      <c r="I1837" s="105"/>
      <c r="J1837" s="105"/>
      <c r="K1837" s="105"/>
      <c r="L1837" s="105"/>
      <c r="M1837" s="106" t="s">
        <v>7865</v>
      </c>
      <c r="N1837" s="106" t="s">
        <v>40</v>
      </c>
      <c r="O1837" s="107" t="s">
        <v>447</v>
      </c>
      <c r="P1837" s="106" t="s">
        <v>7866</v>
      </c>
    </row>
    <row r="1838" spans="1:16" ht="27.6" x14ac:dyDescent="0.3">
      <c r="A1838" s="306" t="s">
        <v>7867</v>
      </c>
      <c r="B1838" s="307" t="s">
        <v>7868</v>
      </c>
      <c r="C1838" s="308" t="str">
        <f>COUNTIFS($G1839:$G1913,2)&amp;" subcapas"</f>
        <v>6 subcapas</v>
      </c>
      <c r="D1838" s="307"/>
      <c r="E1838" s="307"/>
      <c r="F1838" s="307"/>
      <c r="G1838" s="306">
        <v>1</v>
      </c>
      <c r="H1838" s="307" t="s">
        <v>2</v>
      </c>
      <c r="I1838" s="306"/>
      <c r="J1838" s="309">
        <f>SUMIFS(J1839:J1913,$G1839:$G1913,2)</f>
        <v>61</v>
      </c>
      <c r="K1838" s="309">
        <f>SUMIFS(K1839:K1913,$G1839:$G1913,2)</f>
        <v>8</v>
      </c>
      <c r="L1838" s="309">
        <f>SUMIFS(L1839:L1913,$G1839:$G1913,2)</f>
        <v>69</v>
      </c>
      <c r="M1838" s="310" t="s">
        <v>7869</v>
      </c>
      <c r="N1838" s="307"/>
      <c r="O1838" s="307"/>
      <c r="P1838" s="307" t="s">
        <v>7870</v>
      </c>
    </row>
    <row r="1839" spans="1:16" ht="69" outlineLevel="1" x14ac:dyDescent="0.3">
      <c r="A1839" s="311" t="s">
        <v>7871</v>
      </c>
      <c r="B1839" s="312"/>
      <c r="C1839" s="313" t="s">
        <v>7872</v>
      </c>
      <c r="D1839" s="312"/>
      <c r="E1839" s="312"/>
      <c r="F1839" s="312"/>
      <c r="G1839" s="311">
        <v>2</v>
      </c>
      <c r="H1839" s="312" t="s">
        <v>25</v>
      </c>
      <c r="I1839" s="311" t="s">
        <v>39</v>
      </c>
      <c r="J1839" s="311">
        <v>2</v>
      </c>
      <c r="K1839" s="311">
        <v>0</v>
      </c>
      <c r="L1839" s="311">
        <v>2</v>
      </c>
      <c r="M1839" s="314" t="s">
        <v>7873</v>
      </c>
      <c r="N1839" s="314" t="s">
        <v>40</v>
      </c>
      <c r="O1839" s="315"/>
      <c r="P1839" s="314" t="s">
        <v>7874</v>
      </c>
    </row>
    <row r="1840" spans="1:16" outlineLevel="2" x14ac:dyDescent="0.3">
      <c r="A1840" s="105" t="s">
        <v>7875</v>
      </c>
      <c r="B1840" s="106"/>
      <c r="C1840" s="106"/>
      <c r="D1840" s="106"/>
      <c r="E1840" s="106" t="s">
        <v>7876</v>
      </c>
      <c r="F1840" s="106" t="s">
        <v>7877</v>
      </c>
      <c r="G1840" s="105">
        <v>4</v>
      </c>
      <c r="H1840" s="106" t="s">
        <v>7</v>
      </c>
      <c r="I1840" s="105" t="s">
        <v>39</v>
      </c>
      <c r="J1840" s="105"/>
      <c r="K1840" s="105"/>
      <c r="L1840" s="105"/>
      <c r="M1840" s="106"/>
      <c r="N1840" s="106" t="s">
        <v>40</v>
      </c>
      <c r="O1840" s="107"/>
      <c r="P1840" s="106" t="s">
        <v>7878</v>
      </c>
    </row>
    <row r="1841" spans="1:16" outlineLevel="2" x14ac:dyDescent="0.3">
      <c r="A1841" s="105" t="s">
        <v>7879</v>
      </c>
      <c r="B1841" s="106"/>
      <c r="C1841" s="106"/>
      <c r="D1841" s="106"/>
      <c r="E1841" s="106" t="s">
        <v>7880</v>
      </c>
      <c r="F1841" s="106" t="s">
        <v>7881</v>
      </c>
      <c r="G1841" s="105">
        <v>4</v>
      </c>
      <c r="H1841" s="106" t="s">
        <v>7</v>
      </c>
      <c r="I1841" s="105" t="s">
        <v>39</v>
      </c>
      <c r="J1841" s="105"/>
      <c r="K1841" s="105"/>
      <c r="L1841" s="105"/>
      <c r="M1841" s="106"/>
      <c r="N1841" s="106" t="s">
        <v>40</v>
      </c>
      <c r="O1841" s="107"/>
      <c r="P1841" s="106" t="s">
        <v>7882</v>
      </c>
    </row>
    <row r="1842" spans="1:16" ht="27.6" outlineLevel="1" x14ac:dyDescent="0.3">
      <c r="A1842" s="311" t="s">
        <v>7883</v>
      </c>
      <c r="B1842" s="312"/>
      <c r="C1842" s="313" t="s">
        <v>7884</v>
      </c>
      <c r="D1842" s="312"/>
      <c r="E1842" s="312"/>
      <c r="F1842" s="312"/>
      <c r="G1842" s="311">
        <v>2</v>
      </c>
      <c r="H1842" s="312" t="s">
        <v>25</v>
      </c>
      <c r="I1842" s="311" t="s">
        <v>39</v>
      </c>
      <c r="J1842" s="311">
        <v>14</v>
      </c>
      <c r="K1842" s="311">
        <v>0</v>
      </c>
      <c r="L1842" s="311">
        <v>14</v>
      </c>
      <c r="M1842" s="314" t="s">
        <v>7885</v>
      </c>
      <c r="N1842" s="314" t="s">
        <v>40</v>
      </c>
      <c r="O1842" s="315"/>
      <c r="P1842" s="314" t="s">
        <v>7886</v>
      </c>
    </row>
    <row r="1843" spans="1:16" outlineLevel="2" x14ac:dyDescent="0.3">
      <c r="A1843" s="105" t="s">
        <v>7887</v>
      </c>
      <c r="B1843" s="106"/>
      <c r="C1843" s="106"/>
      <c r="D1843" s="106"/>
      <c r="E1843" s="106" t="s">
        <v>7888</v>
      </c>
      <c r="F1843" s="106" t="s">
        <v>7889</v>
      </c>
      <c r="G1843" s="105">
        <v>4</v>
      </c>
      <c r="H1843" s="106" t="s">
        <v>7</v>
      </c>
      <c r="I1843" s="105" t="s">
        <v>39</v>
      </c>
      <c r="J1843" s="105"/>
      <c r="K1843" s="105"/>
      <c r="L1843" s="105"/>
      <c r="M1843" s="106" t="s">
        <v>7890</v>
      </c>
      <c r="N1843" s="106" t="s">
        <v>40</v>
      </c>
      <c r="O1843" s="107"/>
      <c r="P1843" s="106" t="s">
        <v>7891</v>
      </c>
    </row>
    <row r="1844" spans="1:16" outlineLevel="2" x14ac:dyDescent="0.3">
      <c r="A1844" s="105" t="s">
        <v>7892</v>
      </c>
      <c r="B1844" s="106"/>
      <c r="C1844" s="106"/>
      <c r="D1844" s="106"/>
      <c r="E1844" s="106" t="s">
        <v>7893</v>
      </c>
      <c r="F1844" s="106" t="s">
        <v>7894</v>
      </c>
      <c r="G1844" s="105">
        <v>4</v>
      </c>
      <c r="H1844" s="106" t="s">
        <v>7</v>
      </c>
      <c r="I1844" s="105" t="s">
        <v>39</v>
      </c>
      <c r="J1844" s="105"/>
      <c r="K1844" s="105"/>
      <c r="L1844" s="105"/>
      <c r="M1844" s="106" t="s">
        <v>7895</v>
      </c>
      <c r="N1844" s="106" t="s">
        <v>40</v>
      </c>
      <c r="O1844" s="107"/>
      <c r="P1844" s="106" t="s">
        <v>7896</v>
      </c>
    </row>
    <row r="1845" spans="1:16" outlineLevel="2" x14ac:dyDescent="0.3">
      <c r="A1845" s="105" t="s">
        <v>7897</v>
      </c>
      <c r="B1845" s="106"/>
      <c r="C1845" s="106"/>
      <c r="D1845" s="106"/>
      <c r="E1845" s="106" t="s">
        <v>7898</v>
      </c>
      <c r="F1845" s="106" t="s">
        <v>3999</v>
      </c>
      <c r="G1845" s="105">
        <v>4</v>
      </c>
      <c r="H1845" s="106" t="s">
        <v>7</v>
      </c>
      <c r="I1845" s="105" t="s">
        <v>39</v>
      </c>
      <c r="J1845" s="105"/>
      <c r="K1845" s="105"/>
      <c r="L1845" s="105"/>
      <c r="M1845" s="106" t="s">
        <v>7899</v>
      </c>
      <c r="N1845" s="106" t="s">
        <v>40</v>
      </c>
      <c r="O1845" s="107"/>
      <c r="P1845" s="106" t="s">
        <v>7900</v>
      </c>
    </row>
    <row r="1846" spans="1:16" outlineLevel="2" x14ac:dyDescent="0.3">
      <c r="A1846" s="105" t="s">
        <v>7901</v>
      </c>
      <c r="B1846" s="106"/>
      <c r="C1846" s="106"/>
      <c r="D1846" s="106"/>
      <c r="E1846" s="106" t="s">
        <v>7902</v>
      </c>
      <c r="F1846" s="106" t="s">
        <v>7903</v>
      </c>
      <c r="G1846" s="105">
        <v>4</v>
      </c>
      <c r="H1846" s="106" t="s">
        <v>7</v>
      </c>
      <c r="I1846" s="105" t="s">
        <v>39</v>
      </c>
      <c r="J1846" s="105"/>
      <c r="K1846" s="105"/>
      <c r="L1846" s="105"/>
      <c r="M1846" s="106" t="s">
        <v>7904</v>
      </c>
      <c r="N1846" s="106" t="s">
        <v>40</v>
      </c>
      <c r="O1846" s="107"/>
      <c r="P1846" s="106" t="s">
        <v>7905</v>
      </c>
    </row>
    <row r="1847" spans="1:16" outlineLevel="2" x14ac:dyDescent="0.3">
      <c r="A1847" s="105" t="s">
        <v>7906</v>
      </c>
      <c r="B1847" s="106"/>
      <c r="C1847" s="106"/>
      <c r="D1847" s="106"/>
      <c r="E1847" s="106" t="s">
        <v>7907</v>
      </c>
      <c r="F1847" s="106" t="s">
        <v>7908</v>
      </c>
      <c r="G1847" s="105">
        <v>4</v>
      </c>
      <c r="H1847" s="106" t="s">
        <v>7</v>
      </c>
      <c r="I1847" s="105" t="s">
        <v>39</v>
      </c>
      <c r="J1847" s="105"/>
      <c r="K1847" s="105"/>
      <c r="L1847" s="105"/>
      <c r="M1847" s="106" t="s">
        <v>7909</v>
      </c>
      <c r="N1847" s="106" t="s">
        <v>40</v>
      </c>
      <c r="O1847" s="107"/>
      <c r="P1847" s="106" t="s">
        <v>7910</v>
      </c>
    </row>
    <row r="1848" spans="1:16" outlineLevel="2" x14ac:dyDescent="0.3">
      <c r="A1848" s="105" t="s">
        <v>7911</v>
      </c>
      <c r="B1848" s="106"/>
      <c r="C1848" s="106"/>
      <c r="D1848" s="106"/>
      <c r="E1848" s="106" t="s">
        <v>7912</v>
      </c>
      <c r="F1848" s="106" t="s">
        <v>7913</v>
      </c>
      <c r="G1848" s="105">
        <v>4</v>
      </c>
      <c r="H1848" s="106" t="s">
        <v>7</v>
      </c>
      <c r="I1848" s="105" t="s">
        <v>39</v>
      </c>
      <c r="J1848" s="105"/>
      <c r="K1848" s="105"/>
      <c r="L1848" s="105"/>
      <c r="M1848" s="106" t="s">
        <v>7914</v>
      </c>
      <c r="N1848" s="106" t="s">
        <v>40</v>
      </c>
      <c r="O1848" s="107"/>
      <c r="P1848" s="106" t="s">
        <v>7915</v>
      </c>
    </row>
    <row r="1849" spans="1:16" outlineLevel="2" x14ac:dyDescent="0.3">
      <c r="A1849" s="105" t="s">
        <v>7916</v>
      </c>
      <c r="B1849" s="106"/>
      <c r="C1849" s="106"/>
      <c r="D1849" s="106"/>
      <c r="E1849" s="106" t="s">
        <v>7917</v>
      </c>
      <c r="F1849" s="106" t="s">
        <v>7918</v>
      </c>
      <c r="G1849" s="105">
        <v>4</v>
      </c>
      <c r="H1849" s="106" t="s">
        <v>7</v>
      </c>
      <c r="I1849" s="105" t="s">
        <v>39</v>
      </c>
      <c r="J1849" s="105"/>
      <c r="K1849" s="105"/>
      <c r="L1849" s="105"/>
      <c r="M1849" s="106" t="s">
        <v>7919</v>
      </c>
      <c r="N1849" s="106" t="s">
        <v>40</v>
      </c>
      <c r="O1849" s="107"/>
      <c r="P1849" s="106" t="s">
        <v>7920</v>
      </c>
    </row>
    <row r="1850" spans="1:16" outlineLevel="2" x14ac:dyDescent="0.3">
      <c r="A1850" s="105" t="s">
        <v>7921</v>
      </c>
      <c r="B1850" s="106"/>
      <c r="C1850" s="106"/>
      <c r="D1850" s="106"/>
      <c r="E1850" s="106" t="s">
        <v>7922</v>
      </c>
      <c r="F1850" s="106" t="s">
        <v>7923</v>
      </c>
      <c r="G1850" s="105">
        <v>4</v>
      </c>
      <c r="H1850" s="106" t="s">
        <v>7</v>
      </c>
      <c r="I1850" s="105" t="s">
        <v>39</v>
      </c>
      <c r="J1850" s="105"/>
      <c r="K1850" s="105"/>
      <c r="L1850" s="105"/>
      <c r="M1850" s="106" t="s">
        <v>7924</v>
      </c>
      <c r="N1850" s="106" t="s">
        <v>40</v>
      </c>
      <c r="O1850" s="107"/>
      <c r="P1850" s="106" t="s">
        <v>7925</v>
      </c>
    </row>
    <row r="1851" spans="1:16" outlineLevel="2" x14ac:dyDescent="0.3">
      <c r="A1851" s="105" t="s">
        <v>7926</v>
      </c>
      <c r="B1851" s="106"/>
      <c r="C1851" s="106"/>
      <c r="D1851" s="106"/>
      <c r="E1851" s="106" t="s">
        <v>7927</v>
      </c>
      <c r="F1851" s="106" t="s">
        <v>7928</v>
      </c>
      <c r="G1851" s="105">
        <v>4</v>
      </c>
      <c r="H1851" s="106" t="s">
        <v>7</v>
      </c>
      <c r="I1851" s="105" t="s">
        <v>39</v>
      </c>
      <c r="J1851" s="105"/>
      <c r="K1851" s="105"/>
      <c r="L1851" s="105"/>
      <c r="M1851" s="106" t="s">
        <v>7929</v>
      </c>
      <c r="N1851" s="106" t="s">
        <v>40</v>
      </c>
      <c r="O1851" s="107"/>
      <c r="P1851" s="106" t="s">
        <v>7930</v>
      </c>
    </row>
    <row r="1852" spans="1:16" outlineLevel="2" x14ac:dyDescent="0.3">
      <c r="A1852" s="105" t="s">
        <v>7931</v>
      </c>
      <c r="B1852" s="106"/>
      <c r="C1852" s="106"/>
      <c r="D1852" s="106"/>
      <c r="E1852" s="106" t="s">
        <v>7932</v>
      </c>
      <c r="F1852" s="106" t="s">
        <v>7933</v>
      </c>
      <c r="G1852" s="105">
        <v>4</v>
      </c>
      <c r="H1852" s="106" t="s">
        <v>7</v>
      </c>
      <c r="I1852" s="105" t="s">
        <v>39</v>
      </c>
      <c r="J1852" s="105"/>
      <c r="K1852" s="105"/>
      <c r="L1852" s="105"/>
      <c r="M1852" s="106" t="s">
        <v>7934</v>
      </c>
      <c r="N1852" s="106" t="s">
        <v>40</v>
      </c>
      <c r="O1852" s="107"/>
      <c r="P1852" s="106" t="s">
        <v>7935</v>
      </c>
    </row>
    <row r="1853" spans="1:16" outlineLevel="2" x14ac:dyDescent="0.3">
      <c r="A1853" s="105" t="s">
        <v>7936</v>
      </c>
      <c r="B1853" s="106"/>
      <c r="C1853" s="106"/>
      <c r="D1853" s="106"/>
      <c r="E1853" s="106" t="s">
        <v>7937</v>
      </c>
      <c r="F1853" s="106" t="s">
        <v>7938</v>
      </c>
      <c r="G1853" s="105">
        <v>4</v>
      </c>
      <c r="H1853" s="106" t="s">
        <v>7</v>
      </c>
      <c r="I1853" s="105" t="s">
        <v>39</v>
      </c>
      <c r="J1853" s="105"/>
      <c r="K1853" s="105"/>
      <c r="L1853" s="105"/>
      <c r="M1853" s="106" t="s">
        <v>7939</v>
      </c>
      <c r="N1853" s="106" t="s">
        <v>40</v>
      </c>
      <c r="O1853" s="107"/>
      <c r="P1853" s="106" t="s">
        <v>7940</v>
      </c>
    </row>
    <row r="1854" spans="1:16" outlineLevel="2" x14ac:dyDescent="0.3">
      <c r="A1854" s="105" t="s">
        <v>7941</v>
      </c>
      <c r="B1854" s="106"/>
      <c r="C1854" s="106"/>
      <c r="D1854" s="106"/>
      <c r="E1854" s="106" t="s">
        <v>7942</v>
      </c>
      <c r="F1854" s="106" t="s">
        <v>7943</v>
      </c>
      <c r="G1854" s="105">
        <v>4</v>
      </c>
      <c r="H1854" s="106" t="s">
        <v>7</v>
      </c>
      <c r="I1854" s="105" t="s">
        <v>39</v>
      </c>
      <c r="J1854" s="105"/>
      <c r="K1854" s="105"/>
      <c r="L1854" s="105"/>
      <c r="M1854" s="106" t="s">
        <v>7944</v>
      </c>
      <c r="N1854" s="106" t="s">
        <v>40</v>
      </c>
      <c r="O1854" s="107"/>
      <c r="P1854" s="106" t="s">
        <v>7945</v>
      </c>
    </row>
    <row r="1855" spans="1:16" outlineLevel="2" x14ac:dyDescent="0.3">
      <c r="A1855" s="105" t="s">
        <v>7946</v>
      </c>
      <c r="B1855" s="106"/>
      <c r="C1855" s="106"/>
      <c r="D1855" s="106"/>
      <c r="E1855" s="106" t="s">
        <v>7947</v>
      </c>
      <c r="F1855" s="106" t="s">
        <v>7948</v>
      </c>
      <c r="G1855" s="105">
        <v>4</v>
      </c>
      <c r="H1855" s="106" t="s">
        <v>7</v>
      </c>
      <c r="I1855" s="105" t="s">
        <v>39</v>
      </c>
      <c r="J1855" s="105"/>
      <c r="K1855" s="105"/>
      <c r="L1855" s="105"/>
      <c r="M1855" s="106" t="s">
        <v>7949</v>
      </c>
      <c r="N1855" s="106" t="s">
        <v>40</v>
      </c>
      <c r="O1855" s="107"/>
      <c r="P1855" s="106" t="s">
        <v>7950</v>
      </c>
    </row>
    <row r="1856" spans="1:16" outlineLevel="2" x14ac:dyDescent="0.3">
      <c r="A1856" s="105" t="s">
        <v>7951</v>
      </c>
      <c r="B1856" s="106"/>
      <c r="C1856" s="106"/>
      <c r="D1856" s="106"/>
      <c r="E1856" s="106" t="s">
        <v>7952</v>
      </c>
      <c r="F1856" s="106" t="s">
        <v>7953</v>
      </c>
      <c r="G1856" s="105">
        <v>4</v>
      </c>
      <c r="H1856" s="106" t="s">
        <v>7</v>
      </c>
      <c r="I1856" s="105" t="s">
        <v>39</v>
      </c>
      <c r="J1856" s="105"/>
      <c r="K1856" s="105"/>
      <c r="L1856" s="105"/>
      <c r="M1856" s="106" t="s">
        <v>7954</v>
      </c>
      <c r="N1856" s="106" t="s">
        <v>40</v>
      </c>
      <c r="O1856" s="107"/>
      <c r="P1856" s="106" t="s">
        <v>7955</v>
      </c>
    </row>
    <row r="1857" spans="1:16" ht="27.6" outlineLevel="1" x14ac:dyDescent="0.3">
      <c r="A1857" s="311" t="s">
        <v>7956</v>
      </c>
      <c r="B1857" s="312"/>
      <c r="C1857" s="313" t="s">
        <v>7957</v>
      </c>
      <c r="D1857" s="312"/>
      <c r="E1857" s="312"/>
      <c r="F1857" s="312"/>
      <c r="G1857" s="311">
        <v>2</v>
      </c>
      <c r="H1857" s="312" t="s">
        <v>25</v>
      </c>
      <c r="I1857" s="311" t="s">
        <v>39</v>
      </c>
      <c r="J1857" s="311">
        <v>12</v>
      </c>
      <c r="K1857" s="311">
        <v>4</v>
      </c>
      <c r="L1857" s="311">
        <v>16</v>
      </c>
      <c r="M1857" s="314" t="s">
        <v>7958</v>
      </c>
      <c r="N1857" s="314" t="s">
        <v>40</v>
      </c>
      <c r="O1857" s="315"/>
      <c r="P1857" s="314" t="s">
        <v>7959</v>
      </c>
    </row>
    <row r="1858" spans="1:16" outlineLevel="2" x14ac:dyDescent="0.3">
      <c r="A1858" s="105" t="s">
        <v>7960</v>
      </c>
      <c r="B1858" s="106"/>
      <c r="C1858" s="106"/>
      <c r="D1858" s="106"/>
      <c r="E1858" s="106" t="s">
        <v>7961</v>
      </c>
      <c r="F1858" s="106" t="s">
        <v>7962</v>
      </c>
      <c r="G1858" s="105">
        <v>4</v>
      </c>
      <c r="H1858" s="106" t="s">
        <v>7</v>
      </c>
      <c r="I1858" s="105" t="s">
        <v>39</v>
      </c>
      <c r="J1858" s="105"/>
      <c r="K1858" s="105"/>
      <c r="L1858" s="105"/>
      <c r="M1858" s="106" t="s">
        <v>7963</v>
      </c>
      <c r="N1858" s="106" t="s">
        <v>40</v>
      </c>
      <c r="O1858" s="107"/>
      <c r="P1858" s="106" t="s">
        <v>7964</v>
      </c>
    </row>
    <row r="1859" spans="1:16" outlineLevel="2" x14ac:dyDescent="0.3">
      <c r="A1859" s="105" t="s">
        <v>7965</v>
      </c>
      <c r="B1859" s="106"/>
      <c r="C1859" s="106"/>
      <c r="D1859" s="106"/>
      <c r="E1859" s="106" t="s">
        <v>7966</v>
      </c>
      <c r="F1859" s="106" t="s">
        <v>7967</v>
      </c>
      <c r="G1859" s="105">
        <v>4</v>
      </c>
      <c r="H1859" s="106" t="s">
        <v>7</v>
      </c>
      <c r="I1859" s="105" t="s">
        <v>39</v>
      </c>
      <c r="J1859" s="105"/>
      <c r="K1859" s="105"/>
      <c r="L1859" s="105"/>
      <c r="M1859" s="106" t="s">
        <v>7968</v>
      </c>
      <c r="N1859" s="106" t="s">
        <v>40</v>
      </c>
      <c r="O1859" s="107"/>
      <c r="P1859" s="106" t="s">
        <v>7969</v>
      </c>
    </row>
    <row r="1860" spans="1:16" outlineLevel="2" x14ac:dyDescent="0.3">
      <c r="A1860" s="105" t="s">
        <v>7970</v>
      </c>
      <c r="B1860" s="106"/>
      <c r="C1860" s="106"/>
      <c r="D1860" s="106"/>
      <c r="E1860" s="106" t="s">
        <v>7971</v>
      </c>
      <c r="F1860" s="106" t="s">
        <v>13</v>
      </c>
      <c r="G1860" s="105">
        <v>4</v>
      </c>
      <c r="H1860" s="106" t="s">
        <v>7</v>
      </c>
      <c r="I1860" s="105"/>
      <c r="J1860" s="105"/>
      <c r="K1860" s="105"/>
      <c r="L1860" s="105"/>
      <c r="M1860" s="106"/>
      <c r="N1860" s="106" t="s">
        <v>40</v>
      </c>
      <c r="O1860" s="107" t="s">
        <v>447</v>
      </c>
      <c r="P1860" s="106" t="s">
        <v>7972</v>
      </c>
    </row>
    <row r="1861" spans="1:16" outlineLevel="2" x14ac:dyDescent="0.3">
      <c r="A1861" s="105" t="s">
        <v>7973</v>
      </c>
      <c r="B1861" s="106"/>
      <c r="C1861" s="106"/>
      <c r="D1861" s="106"/>
      <c r="E1861" s="106" t="s">
        <v>7974</v>
      </c>
      <c r="F1861" s="106" t="s">
        <v>13</v>
      </c>
      <c r="G1861" s="105">
        <v>4</v>
      </c>
      <c r="H1861" s="106" t="s">
        <v>7</v>
      </c>
      <c r="I1861" s="105"/>
      <c r="J1861" s="105"/>
      <c r="K1861" s="105"/>
      <c r="L1861" s="105"/>
      <c r="M1861" s="106"/>
      <c r="N1861" s="106" t="s">
        <v>40</v>
      </c>
      <c r="O1861" s="107" t="s">
        <v>447</v>
      </c>
      <c r="P1861" s="106" t="s">
        <v>7975</v>
      </c>
    </row>
    <row r="1862" spans="1:16" outlineLevel="2" x14ac:dyDescent="0.3">
      <c r="A1862" s="105" t="s">
        <v>7976</v>
      </c>
      <c r="B1862" s="106"/>
      <c r="C1862" s="106"/>
      <c r="D1862" s="106"/>
      <c r="E1862" s="106" t="s">
        <v>7977</v>
      </c>
      <c r="F1862" s="106" t="s">
        <v>13</v>
      </c>
      <c r="G1862" s="105">
        <v>4</v>
      </c>
      <c r="H1862" s="106" t="s">
        <v>7</v>
      </c>
      <c r="I1862" s="105"/>
      <c r="J1862" s="105"/>
      <c r="K1862" s="105"/>
      <c r="L1862" s="105"/>
      <c r="M1862" s="106"/>
      <c r="N1862" s="106" t="s">
        <v>40</v>
      </c>
      <c r="O1862" s="107" t="s">
        <v>447</v>
      </c>
      <c r="P1862" s="106" t="s">
        <v>7978</v>
      </c>
    </row>
    <row r="1863" spans="1:16" outlineLevel="2" x14ac:dyDescent="0.3">
      <c r="A1863" s="105" t="s">
        <v>7979</v>
      </c>
      <c r="B1863" s="106"/>
      <c r="C1863" s="106"/>
      <c r="D1863" s="106"/>
      <c r="E1863" s="106" t="s">
        <v>7980</v>
      </c>
      <c r="F1863" s="106" t="s">
        <v>7981</v>
      </c>
      <c r="G1863" s="105">
        <v>4</v>
      </c>
      <c r="H1863" s="106" t="s">
        <v>7</v>
      </c>
      <c r="I1863" s="105" t="s">
        <v>39</v>
      </c>
      <c r="J1863" s="105"/>
      <c r="K1863" s="105"/>
      <c r="L1863" s="105"/>
      <c r="M1863" s="106" t="s">
        <v>7982</v>
      </c>
      <c r="N1863" s="106" t="s">
        <v>40</v>
      </c>
      <c r="O1863" s="107"/>
      <c r="P1863" s="106" t="s">
        <v>7983</v>
      </c>
    </row>
    <row r="1864" spans="1:16" outlineLevel="2" x14ac:dyDescent="0.3">
      <c r="A1864" s="105" t="s">
        <v>7984</v>
      </c>
      <c r="B1864" s="106"/>
      <c r="C1864" s="106"/>
      <c r="D1864" s="106"/>
      <c r="E1864" s="106" t="s">
        <v>7985</v>
      </c>
      <c r="F1864" s="106" t="s">
        <v>7986</v>
      </c>
      <c r="G1864" s="105">
        <v>4</v>
      </c>
      <c r="H1864" s="106" t="s">
        <v>7</v>
      </c>
      <c r="I1864" s="105" t="s">
        <v>39</v>
      </c>
      <c r="J1864" s="105"/>
      <c r="K1864" s="105"/>
      <c r="L1864" s="105"/>
      <c r="M1864" s="106" t="s">
        <v>7987</v>
      </c>
      <c r="N1864" s="106" t="s">
        <v>40</v>
      </c>
      <c r="O1864" s="107"/>
      <c r="P1864" s="106" t="s">
        <v>7988</v>
      </c>
    </row>
    <row r="1865" spans="1:16" outlineLevel="2" x14ac:dyDescent="0.3">
      <c r="A1865" s="105" t="s">
        <v>7989</v>
      </c>
      <c r="B1865" s="106"/>
      <c r="C1865" s="106"/>
      <c r="D1865" s="106"/>
      <c r="E1865" s="106" t="s">
        <v>7990</v>
      </c>
      <c r="F1865" s="106" t="s">
        <v>7991</v>
      </c>
      <c r="G1865" s="105">
        <v>4</v>
      </c>
      <c r="H1865" s="106" t="s">
        <v>7</v>
      </c>
      <c r="I1865" s="105" t="s">
        <v>39</v>
      </c>
      <c r="J1865" s="105"/>
      <c r="K1865" s="105"/>
      <c r="L1865" s="105"/>
      <c r="M1865" s="106" t="s">
        <v>7992</v>
      </c>
      <c r="N1865" s="106" t="s">
        <v>40</v>
      </c>
      <c r="O1865" s="107"/>
      <c r="P1865" s="106" t="s">
        <v>7993</v>
      </c>
    </row>
    <row r="1866" spans="1:16" outlineLevel="2" x14ac:dyDescent="0.3">
      <c r="A1866" s="105" t="s">
        <v>7994</v>
      </c>
      <c r="B1866" s="106"/>
      <c r="C1866" s="106"/>
      <c r="D1866" s="106"/>
      <c r="E1866" s="106" t="s">
        <v>7995</v>
      </c>
      <c r="F1866" s="106" t="s">
        <v>13</v>
      </c>
      <c r="G1866" s="105">
        <v>4</v>
      </c>
      <c r="H1866" s="106" t="s">
        <v>7</v>
      </c>
      <c r="I1866" s="105"/>
      <c r="J1866" s="105"/>
      <c r="K1866" s="105"/>
      <c r="L1866" s="105"/>
      <c r="M1866" s="106"/>
      <c r="N1866" s="106" t="s">
        <v>40</v>
      </c>
      <c r="O1866" s="107" t="s">
        <v>447</v>
      </c>
      <c r="P1866" s="106" t="s">
        <v>7996</v>
      </c>
    </row>
    <row r="1867" spans="1:16" outlineLevel="2" x14ac:dyDescent="0.3">
      <c r="A1867" s="105" t="s">
        <v>7997</v>
      </c>
      <c r="B1867" s="106"/>
      <c r="C1867" s="106"/>
      <c r="D1867" s="106"/>
      <c r="E1867" s="106" t="s">
        <v>7998</v>
      </c>
      <c r="F1867" s="106" t="s">
        <v>7999</v>
      </c>
      <c r="G1867" s="105">
        <v>4</v>
      </c>
      <c r="H1867" s="106" t="s">
        <v>7</v>
      </c>
      <c r="I1867" s="105" t="s">
        <v>39</v>
      </c>
      <c r="J1867" s="105"/>
      <c r="K1867" s="105"/>
      <c r="L1867" s="105"/>
      <c r="M1867" s="106" t="s">
        <v>8000</v>
      </c>
      <c r="N1867" s="106" t="s">
        <v>40</v>
      </c>
      <c r="O1867" s="107"/>
      <c r="P1867" s="106" t="s">
        <v>8001</v>
      </c>
    </row>
    <row r="1868" spans="1:16" outlineLevel="2" x14ac:dyDescent="0.3">
      <c r="A1868" s="105" t="s">
        <v>8002</v>
      </c>
      <c r="B1868" s="106"/>
      <c r="C1868" s="106"/>
      <c r="D1868" s="106"/>
      <c r="E1868" s="106" t="s">
        <v>8003</v>
      </c>
      <c r="F1868" s="106" t="s">
        <v>8004</v>
      </c>
      <c r="G1868" s="105">
        <v>4</v>
      </c>
      <c r="H1868" s="106" t="s">
        <v>7</v>
      </c>
      <c r="I1868" s="105" t="s">
        <v>39</v>
      </c>
      <c r="J1868" s="105"/>
      <c r="K1868" s="105"/>
      <c r="L1868" s="105"/>
      <c r="M1868" s="106" t="s">
        <v>8005</v>
      </c>
      <c r="N1868" s="106" t="s">
        <v>40</v>
      </c>
      <c r="O1868" s="107"/>
      <c r="P1868" s="106" t="s">
        <v>8006</v>
      </c>
    </row>
    <row r="1869" spans="1:16" outlineLevel="2" x14ac:dyDescent="0.3">
      <c r="A1869" s="105" t="s">
        <v>8007</v>
      </c>
      <c r="B1869" s="106"/>
      <c r="C1869" s="106"/>
      <c r="D1869" s="106"/>
      <c r="E1869" s="106" t="s">
        <v>8008</v>
      </c>
      <c r="F1869" s="106" t="s">
        <v>8009</v>
      </c>
      <c r="G1869" s="105">
        <v>4</v>
      </c>
      <c r="H1869" s="106" t="s">
        <v>7</v>
      </c>
      <c r="I1869" s="105" t="s">
        <v>39</v>
      </c>
      <c r="J1869" s="105"/>
      <c r="K1869" s="105"/>
      <c r="L1869" s="105"/>
      <c r="M1869" s="106" t="s">
        <v>8010</v>
      </c>
      <c r="N1869" s="106" t="s">
        <v>40</v>
      </c>
      <c r="O1869" s="107"/>
      <c r="P1869" s="106" t="s">
        <v>8011</v>
      </c>
    </row>
    <row r="1870" spans="1:16" outlineLevel="2" x14ac:dyDescent="0.3">
      <c r="A1870" s="105" t="s">
        <v>8012</v>
      </c>
      <c r="B1870" s="106"/>
      <c r="C1870" s="106"/>
      <c r="D1870" s="106"/>
      <c r="E1870" s="106" t="s">
        <v>8013</v>
      </c>
      <c r="F1870" s="106" t="s">
        <v>8014</v>
      </c>
      <c r="G1870" s="105">
        <v>4</v>
      </c>
      <c r="H1870" s="106" t="s">
        <v>7</v>
      </c>
      <c r="I1870" s="105" t="s">
        <v>39</v>
      </c>
      <c r="J1870" s="105"/>
      <c r="K1870" s="105"/>
      <c r="L1870" s="105"/>
      <c r="M1870" s="106" t="s">
        <v>8015</v>
      </c>
      <c r="N1870" s="106" t="s">
        <v>40</v>
      </c>
      <c r="O1870" s="107"/>
      <c r="P1870" s="106" t="s">
        <v>8016</v>
      </c>
    </row>
    <row r="1871" spans="1:16" outlineLevel="2" x14ac:dyDescent="0.3">
      <c r="A1871" s="105" t="s">
        <v>8017</v>
      </c>
      <c r="B1871" s="106"/>
      <c r="C1871" s="106"/>
      <c r="D1871" s="106"/>
      <c r="E1871" s="106" t="s">
        <v>8018</v>
      </c>
      <c r="F1871" s="106" t="s">
        <v>8019</v>
      </c>
      <c r="G1871" s="105">
        <v>4</v>
      </c>
      <c r="H1871" s="106" t="s">
        <v>7</v>
      </c>
      <c r="I1871" s="105" t="s">
        <v>39</v>
      </c>
      <c r="J1871" s="105"/>
      <c r="K1871" s="105"/>
      <c r="L1871" s="105"/>
      <c r="M1871" s="106" t="s">
        <v>8020</v>
      </c>
      <c r="N1871" s="106" t="s">
        <v>40</v>
      </c>
      <c r="O1871" s="107"/>
      <c r="P1871" s="106" t="s">
        <v>8021</v>
      </c>
    </row>
    <row r="1872" spans="1:16" outlineLevel="2" x14ac:dyDescent="0.3">
      <c r="A1872" s="105" t="s">
        <v>8022</v>
      </c>
      <c r="B1872" s="106"/>
      <c r="C1872" s="106"/>
      <c r="D1872" s="106"/>
      <c r="E1872" s="106" t="s">
        <v>8023</v>
      </c>
      <c r="F1872" s="106" t="s">
        <v>8024</v>
      </c>
      <c r="G1872" s="105">
        <v>4</v>
      </c>
      <c r="H1872" s="106" t="s">
        <v>7</v>
      </c>
      <c r="I1872" s="105" t="s">
        <v>39</v>
      </c>
      <c r="J1872" s="105"/>
      <c r="K1872" s="105"/>
      <c r="L1872" s="105"/>
      <c r="M1872" s="106" t="s">
        <v>8025</v>
      </c>
      <c r="N1872" s="106" t="s">
        <v>40</v>
      </c>
      <c r="O1872" s="107"/>
      <c r="P1872" s="106" t="s">
        <v>8026</v>
      </c>
    </row>
    <row r="1873" spans="1:16" outlineLevel="2" x14ac:dyDescent="0.3">
      <c r="A1873" s="105" t="s">
        <v>8027</v>
      </c>
      <c r="B1873" s="106"/>
      <c r="C1873" s="106"/>
      <c r="D1873" s="106"/>
      <c r="E1873" s="106" t="s">
        <v>8028</v>
      </c>
      <c r="F1873" s="106" t="s">
        <v>8029</v>
      </c>
      <c r="G1873" s="105">
        <v>4</v>
      </c>
      <c r="H1873" s="106" t="s">
        <v>7</v>
      </c>
      <c r="I1873" s="105" t="s">
        <v>39</v>
      </c>
      <c r="J1873" s="105"/>
      <c r="K1873" s="105"/>
      <c r="L1873" s="105"/>
      <c r="M1873" s="106" t="s">
        <v>8030</v>
      </c>
      <c r="N1873" s="106" t="s">
        <v>40</v>
      </c>
      <c r="O1873" s="107"/>
      <c r="P1873" s="106" t="s">
        <v>8031</v>
      </c>
    </row>
    <row r="1874" spans="1:16" ht="27.6" outlineLevel="1" x14ac:dyDescent="0.3">
      <c r="A1874" s="311" t="s">
        <v>8032</v>
      </c>
      <c r="B1874" s="312"/>
      <c r="C1874" s="313" t="s">
        <v>8033</v>
      </c>
      <c r="D1874" s="312"/>
      <c r="E1874" s="312"/>
      <c r="F1874" s="312"/>
      <c r="G1874" s="311">
        <v>2</v>
      </c>
      <c r="H1874" s="312" t="s">
        <v>25</v>
      </c>
      <c r="I1874" s="311" t="s">
        <v>39</v>
      </c>
      <c r="J1874" s="311">
        <v>2</v>
      </c>
      <c r="K1874" s="311">
        <v>0</v>
      </c>
      <c r="L1874" s="311">
        <v>2</v>
      </c>
      <c r="M1874" s="314" t="s">
        <v>8034</v>
      </c>
      <c r="N1874" s="314" t="s">
        <v>40</v>
      </c>
      <c r="O1874" s="315"/>
      <c r="P1874" s="314" t="s">
        <v>8035</v>
      </c>
    </row>
    <row r="1875" spans="1:16" outlineLevel="2" x14ac:dyDescent="0.3">
      <c r="A1875" s="105" t="s">
        <v>8036</v>
      </c>
      <c r="B1875" s="106"/>
      <c r="C1875" s="106"/>
      <c r="D1875" s="106"/>
      <c r="E1875" s="106" t="s">
        <v>8037</v>
      </c>
      <c r="F1875" s="106" t="s">
        <v>8038</v>
      </c>
      <c r="G1875" s="105">
        <v>4</v>
      </c>
      <c r="H1875" s="106" t="s">
        <v>7</v>
      </c>
      <c r="I1875" s="105" t="s">
        <v>39</v>
      </c>
      <c r="J1875" s="105"/>
      <c r="K1875" s="105"/>
      <c r="L1875" s="105"/>
      <c r="M1875" s="106" t="s">
        <v>8039</v>
      </c>
      <c r="N1875" s="106" t="s">
        <v>40</v>
      </c>
      <c r="O1875" s="107"/>
      <c r="P1875" s="106" t="s">
        <v>8040</v>
      </c>
    </row>
    <row r="1876" spans="1:16" outlineLevel="2" x14ac:dyDescent="0.3">
      <c r="A1876" s="105" t="s">
        <v>8041</v>
      </c>
      <c r="B1876" s="106"/>
      <c r="C1876" s="106"/>
      <c r="D1876" s="106"/>
      <c r="E1876" s="106" t="s">
        <v>8042</v>
      </c>
      <c r="F1876" s="106" t="s">
        <v>8043</v>
      </c>
      <c r="G1876" s="105">
        <v>4</v>
      </c>
      <c r="H1876" s="106" t="s">
        <v>7</v>
      </c>
      <c r="I1876" s="105" t="s">
        <v>39</v>
      </c>
      <c r="J1876" s="105"/>
      <c r="K1876" s="105"/>
      <c r="L1876" s="105"/>
      <c r="M1876" s="106" t="s">
        <v>8044</v>
      </c>
      <c r="N1876" s="106" t="s">
        <v>40</v>
      </c>
      <c r="O1876" s="107"/>
      <c r="P1876" s="106" t="s">
        <v>8045</v>
      </c>
    </row>
    <row r="1877" spans="1:16" ht="27.6" outlineLevel="1" x14ac:dyDescent="0.3">
      <c r="A1877" s="311" t="s">
        <v>8046</v>
      </c>
      <c r="B1877" s="312"/>
      <c r="C1877" s="313" t="s">
        <v>8047</v>
      </c>
      <c r="D1877" s="312"/>
      <c r="E1877" s="312"/>
      <c r="F1877" s="312"/>
      <c r="G1877" s="311">
        <v>2</v>
      </c>
      <c r="H1877" s="312" t="s">
        <v>25</v>
      </c>
      <c r="I1877" s="311" t="s">
        <v>39</v>
      </c>
      <c r="J1877" s="311">
        <v>4</v>
      </c>
      <c r="K1877" s="311">
        <v>0</v>
      </c>
      <c r="L1877" s="311">
        <v>4</v>
      </c>
      <c r="M1877" s="314" t="s">
        <v>8048</v>
      </c>
      <c r="N1877" s="314" t="s">
        <v>40</v>
      </c>
      <c r="O1877" s="315"/>
      <c r="P1877" s="314" t="s">
        <v>8049</v>
      </c>
    </row>
    <row r="1878" spans="1:16" outlineLevel="2" x14ac:dyDescent="0.3">
      <c r="A1878" s="105" t="s">
        <v>8050</v>
      </c>
      <c r="B1878" s="106"/>
      <c r="C1878" s="106"/>
      <c r="D1878" s="106"/>
      <c r="E1878" s="106" t="s">
        <v>6361</v>
      </c>
      <c r="F1878" s="106" t="s">
        <v>6362</v>
      </c>
      <c r="G1878" s="105">
        <v>4</v>
      </c>
      <c r="H1878" s="106" t="s">
        <v>7</v>
      </c>
      <c r="I1878" s="105" t="s">
        <v>39</v>
      </c>
      <c r="J1878" s="105"/>
      <c r="K1878" s="105"/>
      <c r="L1878" s="105"/>
      <c r="M1878" s="106" t="s">
        <v>6363</v>
      </c>
      <c r="N1878" s="106" t="s">
        <v>40</v>
      </c>
      <c r="O1878" s="107"/>
      <c r="P1878" s="106" t="s">
        <v>8051</v>
      </c>
    </row>
    <row r="1879" spans="1:16" outlineLevel="2" x14ac:dyDescent="0.3">
      <c r="A1879" s="105" t="s">
        <v>8052</v>
      </c>
      <c r="B1879" s="106"/>
      <c r="C1879" s="106"/>
      <c r="D1879" s="106"/>
      <c r="E1879" s="106" t="s">
        <v>8053</v>
      </c>
      <c r="F1879" s="106" t="s">
        <v>8054</v>
      </c>
      <c r="G1879" s="105">
        <v>4</v>
      </c>
      <c r="H1879" s="106" t="s">
        <v>7</v>
      </c>
      <c r="I1879" s="105" t="s">
        <v>39</v>
      </c>
      <c r="J1879" s="105"/>
      <c r="K1879" s="105"/>
      <c r="L1879" s="105"/>
      <c r="M1879" s="106" t="s">
        <v>8055</v>
      </c>
      <c r="N1879" s="106" t="s">
        <v>40</v>
      </c>
      <c r="O1879" s="107"/>
      <c r="P1879" s="106" t="s">
        <v>8056</v>
      </c>
    </row>
    <row r="1880" spans="1:16" outlineLevel="2" x14ac:dyDescent="0.3">
      <c r="A1880" s="105" t="s">
        <v>8057</v>
      </c>
      <c r="B1880" s="106"/>
      <c r="C1880" s="106"/>
      <c r="D1880" s="106"/>
      <c r="E1880" s="106" t="s">
        <v>8058</v>
      </c>
      <c r="F1880" s="106" t="s">
        <v>8059</v>
      </c>
      <c r="G1880" s="105">
        <v>4</v>
      </c>
      <c r="H1880" s="106" t="s">
        <v>7</v>
      </c>
      <c r="I1880" s="105" t="s">
        <v>39</v>
      </c>
      <c r="J1880" s="105"/>
      <c r="K1880" s="105"/>
      <c r="L1880" s="105"/>
      <c r="M1880" s="106" t="s">
        <v>8060</v>
      </c>
      <c r="N1880" s="106" t="s">
        <v>40</v>
      </c>
      <c r="O1880" s="107"/>
      <c r="P1880" s="106" t="s">
        <v>8061</v>
      </c>
    </row>
    <row r="1881" spans="1:16" outlineLevel="2" x14ac:dyDescent="0.3">
      <c r="A1881" s="105" t="s">
        <v>8062</v>
      </c>
      <c r="B1881" s="106"/>
      <c r="C1881" s="106"/>
      <c r="D1881" s="106"/>
      <c r="E1881" s="106" t="s">
        <v>8063</v>
      </c>
      <c r="F1881" s="106" t="s">
        <v>8064</v>
      </c>
      <c r="G1881" s="105">
        <v>4</v>
      </c>
      <c r="H1881" s="106" t="s">
        <v>7</v>
      </c>
      <c r="I1881" s="105" t="s">
        <v>39</v>
      </c>
      <c r="J1881" s="105"/>
      <c r="K1881" s="105"/>
      <c r="L1881" s="105"/>
      <c r="M1881" s="106" t="s">
        <v>8065</v>
      </c>
      <c r="N1881" s="106" t="s">
        <v>40</v>
      </c>
      <c r="O1881" s="107"/>
      <c r="P1881" s="106" t="s">
        <v>8066</v>
      </c>
    </row>
    <row r="1882" spans="1:16" ht="27.6" outlineLevel="1" x14ac:dyDescent="0.3">
      <c r="A1882" s="311" t="s">
        <v>8067</v>
      </c>
      <c r="B1882" s="312"/>
      <c r="C1882" s="313" t="s">
        <v>8068</v>
      </c>
      <c r="D1882" s="312"/>
      <c r="E1882" s="312"/>
      <c r="F1882" s="312"/>
      <c r="G1882" s="311">
        <v>2</v>
      </c>
      <c r="H1882" s="312" t="s">
        <v>25</v>
      </c>
      <c r="I1882" s="311" t="s">
        <v>39</v>
      </c>
      <c r="J1882" s="311">
        <v>27</v>
      </c>
      <c r="K1882" s="311">
        <v>4</v>
      </c>
      <c r="L1882" s="311">
        <v>31</v>
      </c>
      <c r="M1882" s="314" t="s">
        <v>8069</v>
      </c>
      <c r="N1882" s="314" t="s">
        <v>40</v>
      </c>
      <c r="O1882" s="315"/>
      <c r="P1882" s="314" t="s">
        <v>8070</v>
      </c>
    </row>
    <row r="1883" spans="1:16" outlineLevel="2" x14ac:dyDescent="0.3">
      <c r="A1883" s="105" t="s">
        <v>8071</v>
      </c>
      <c r="B1883" s="106"/>
      <c r="C1883" s="106"/>
      <c r="D1883" s="106"/>
      <c r="E1883" s="106" t="s">
        <v>8072</v>
      </c>
      <c r="F1883" s="106" t="s">
        <v>8073</v>
      </c>
      <c r="G1883" s="105">
        <v>4</v>
      </c>
      <c r="H1883" s="106" t="s">
        <v>7</v>
      </c>
      <c r="I1883" s="105" t="s">
        <v>39</v>
      </c>
      <c r="J1883" s="105"/>
      <c r="K1883" s="105"/>
      <c r="L1883" s="105"/>
      <c r="M1883" s="106" t="s">
        <v>8074</v>
      </c>
      <c r="N1883" s="106" t="s">
        <v>40</v>
      </c>
      <c r="O1883" s="107" t="s">
        <v>600</v>
      </c>
      <c r="P1883" s="106" t="s">
        <v>8075</v>
      </c>
    </row>
    <row r="1884" spans="1:16" outlineLevel="2" x14ac:dyDescent="0.3">
      <c r="A1884" s="105" t="s">
        <v>8076</v>
      </c>
      <c r="B1884" s="106"/>
      <c r="C1884" s="106"/>
      <c r="D1884" s="106"/>
      <c r="E1884" s="106" t="s">
        <v>8077</v>
      </c>
      <c r="F1884" s="106" t="s">
        <v>8078</v>
      </c>
      <c r="G1884" s="105">
        <v>4</v>
      </c>
      <c r="H1884" s="106" t="s">
        <v>7</v>
      </c>
      <c r="I1884" s="105" t="s">
        <v>39</v>
      </c>
      <c r="J1884" s="105"/>
      <c r="K1884" s="105"/>
      <c r="L1884" s="105"/>
      <c r="M1884" s="106" t="s">
        <v>8079</v>
      </c>
      <c r="N1884" s="106" t="s">
        <v>40</v>
      </c>
      <c r="O1884" s="107"/>
      <c r="P1884" s="106" t="s">
        <v>8080</v>
      </c>
    </row>
    <row r="1885" spans="1:16" outlineLevel="2" x14ac:dyDescent="0.3">
      <c r="A1885" s="105" t="s">
        <v>8081</v>
      </c>
      <c r="B1885" s="106"/>
      <c r="C1885" s="106"/>
      <c r="D1885" s="106"/>
      <c r="E1885" s="106" t="s">
        <v>8082</v>
      </c>
      <c r="F1885" s="106" t="s">
        <v>8083</v>
      </c>
      <c r="G1885" s="105">
        <v>4</v>
      </c>
      <c r="H1885" s="106" t="s">
        <v>7</v>
      </c>
      <c r="I1885" s="105" t="s">
        <v>39</v>
      </c>
      <c r="J1885" s="105"/>
      <c r="K1885" s="105"/>
      <c r="L1885" s="105"/>
      <c r="M1885" s="106" t="s">
        <v>8084</v>
      </c>
      <c r="N1885" s="106" t="s">
        <v>40</v>
      </c>
      <c r="O1885" s="107" t="s">
        <v>600</v>
      </c>
      <c r="P1885" s="106" t="s">
        <v>8085</v>
      </c>
    </row>
    <row r="1886" spans="1:16" outlineLevel="2" x14ac:dyDescent="0.3">
      <c r="A1886" s="105" t="s">
        <v>8086</v>
      </c>
      <c r="B1886" s="106"/>
      <c r="C1886" s="106"/>
      <c r="D1886" s="106"/>
      <c r="E1886" s="106" t="s">
        <v>8087</v>
      </c>
      <c r="F1886" s="106" t="s">
        <v>8088</v>
      </c>
      <c r="G1886" s="105">
        <v>4</v>
      </c>
      <c r="H1886" s="106" t="s">
        <v>7</v>
      </c>
      <c r="I1886" s="105" t="s">
        <v>39</v>
      </c>
      <c r="J1886" s="105"/>
      <c r="K1886" s="105"/>
      <c r="L1886" s="105"/>
      <c r="M1886" s="106" t="s">
        <v>8089</v>
      </c>
      <c r="N1886" s="106" t="s">
        <v>40</v>
      </c>
      <c r="O1886" s="107" t="s">
        <v>600</v>
      </c>
      <c r="P1886" s="106" t="s">
        <v>8090</v>
      </c>
    </row>
    <row r="1887" spans="1:16" outlineLevel="2" x14ac:dyDescent="0.3">
      <c r="A1887" s="105" t="s">
        <v>8091</v>
      </c>
      <c r="B1887" s="106"/>
      <c r="C1887" s="106"/>
      <c r="D1887" s="106"/>
      <c r="E1887" s="106" t="s">
        <v>8092</v>
      </c>
      <c r="F1887" s="106" t="s">
        <v>8093</v>
      </c>
      <c r="G1887" s="105">
        <v>4</v>
      </c>
      <c r="H1887" s="106" t="s">
        <v>7</v>
      </c>
      <c r="I1887" s="105" t="s">
        <v>39</v>
      </c>
      <c r="J1887" s="105"/>
      <c r="K1887" s="105"/>
      <c r="L1887" s="105"/>
      <c r="M1887" s="106" t="s">
        <v>8094</v>
      </c>
      <c r="N1887" s="106" t="s">
        <v>40</v>
      </c>
      <c r="O1887" s="107"/>
      <c r="P1887" s="106" t="s">
        <v>8095</v>
      </c>
    </row>
    <row r="1888" spans="1:16" outlineLevel="2" x14ac:dyDescent="0.3">
      <c r="A1888" s="105" t="s">
        <v>8096</v>
      </c>
      <c r="B1888" s="106"/>
      <c r="C1888" s="106"/>
      <c r="D1888" s="106"/>
      <c r="E1888" s="106" t="s">
        <v>8097</v>
      </c>
      <c r="F1888" s="106" t="s">
        <v>8098</v>
      </c>
      <c r="G1888" s="105">
        <v>4</v>
      </c>
      <c r="H1888" s="106" t="s">
        <v>7</v>
      </c>
      <c r="I1888" s="105" t="s">
        <v>39</v>
      </c>
      <c r="J1888" s="105"/>
      <c r="K1888" s="105"/>
      <c r="L1888" s="105"/>
      <c r="M1888" s="106" t="s">
        <v>8099</v>
      </c>
      <c r="N1888" s="106" t="s">
        <v>40</v>
      </c>
      <c r="O1888" s="107" t="s">
        <v>332</v>
      </c>
      <c r="P1888" s="106" t="s">
        <v>8100</v>
      </c>
    </row>
    <row r="1889" spans="1:16" outlineLevel="2" x14ac:dyDescent="0.3">
      <c r="A1889" s="105" t="s">
        <v>8101</v>
      </c>
      <c r="B1889" s="106"/>
      <c r="C1889" s="106"/>
      <c r="D1889" s="106"/>
      <c r="E1889" s="106" t="s">
        <v>8102</v>
      </c>
      <c r="F1889" s="106" t="s">
        <v>8103</v>
      </c>
      <c r="G1889" s="105">
        <v>4</v>
      </c>
      <c r="H1889" s="106" t="s">
        <v>7</v>
      </c>
      <c r="I1889" s="105" t="s">
        <v>39</v>
      </c>
      <c r="J1889" s="105"/>
      <c r="K1889" s="105"/>
      <c r="L1889" s="105"/>
      <c r="M1889" s="106" t="s">
        <v>8104</v>
      </c>
      <c r="N1889" s="106" t="s">
        <v>40</v>
      </c>
      <c r="O1889" s="107" t="s">
        <v>600</v>
      </c>
      <c r="P1889" s="106" t="s">
        <v>8105</v>
      </c>
    </row>
    <row r="1890" spans="1:16" outlineLevel="2" x14ac:dyDescent="0.3">
      <c r="A1890" s="105" t="s">
        <v>8106</v>
      </c>
      <c r="B1890" s="106"/>
      <c r="C1890" s="106"/>
      <c r="D1890" s="106"/>
      <c r="E1890" s="106" t="s">
        <v>8107</v>
      </c>
      <c r="F1890" s="106" t="s">
        <v>8108</v>
      </c>
      <c r="G1890" s="105">
        <v>4</v>
      </c>
      <c r="H1890" s="106" t="s">
        <v>7</v>
      </c>
      <c r="I1890" s="105" t="s">
        <v>39</v>
      </c>
      <c r="J1890" s="105"/>
      <c r="K1890" s="105"/>
      <c r="L1890" s="105"/>
      <c r="M1890" s="106" t="s">
        <v>8109</v>
      </c>
      <c r="N1890" s="106" t="s">
        <v>40</v>
      </c>
      <c r="O1890" s="107" t="s">
        <v>600</v>
      </c>
      <c r="P1890" s="106" t="s">
        <v>8110</v>
      </c>
    </row>
    <row r="1891" spans="1:16" outlineLevel="2" x14ac:dyDescent="0.3">
      <c r="A1891" s="105" t="s">
        <v>8111</v>
      </c>
      <c r="B1891" s="106"/>
      <c r="C1891" s="106"/>
      <c r="D1891" s="106"/>
      <c r="E1891" s="106" t="s">
        <v>8112</v>
      </c>
      <c r="F1891" s="106" t="s">
        <v>8113</v>
      </c>
      <c r="G1891" s="105">
        <v>4</v>
      </c>
      <c r="H1891" s="106" t="s">
        <v>7</v>
      </c>
      <c r="I1891" s="105" t="s">
        <v>39</v>
      </c>
      <c r="J1891" s="105"/>
      <c r="K1891" s="105"/>
      <c r="L1891" s="105"/>
      <c r="M1891" s="106" t="s">
        <v>8114</v>
      </c>
      <c r="N1891" s="106" t="s">
        <v>40</v>
      </c>
      <c r="O1891" s="107" t="s">
        <v>332</v>
      </c>
      <c r="P1891" s="106" t="s">
        <v>8115</v>
      </c>
    </row>
    <row r="1892" spans="1:16" outlineLevel="2" x14ac:dyDescent="0.3">
      <c r="A1892" s="105" t="s">
        <v>8116</v>
      </c>
      <c r="B1892" s="106"/>
      <c r="C1892" s="106"/>
      <c r="D1892" s="106"/>
      <c r="E1892" s="106" t="s">
        <v>8117</v>
      </c>
      <c r="F1892" s="106" t="s">
        <v>8118</v>
      </c>
      <c r="G1892" s="105">
        <v>4</v>
      </c>
      <c r="H1892" s="106" t="s">
        <v>7</v>
      </c>
      <c r="I1892" s="105" t="s">
        <v>39</v>
      </c>
      <c r="J1892" s="105"/>
      <c r="K1892" s="105"/>
      <c r="L1892" s="105"/>
      <c r="M1892" s="106" t="s">
        <v>8119</v>
      </c>
      <c r="N1892" s="106" t="s">
        <v>40</v>
      </c>
      <c r="O1892" s="107" t="s">
        <v>332</v>
      </c>
      <c r="P1892" s="106" t="s">
        <v>8120</v>
      </c>
    </row>
    <row r="1893" spans="1:16" outlineLevel="2" x14ac:dyDescent="0.3">
      <c r="A1893" s="105" t="s">
        <v>8121</v>
      </c>
      <c r="B1893" s="106"/>
      <c r="C1893" s="106"/>
      <c r="D1893" s="106"/>
      <c r="E1893" s="106" t="s">
        <v>8122</v>
      </c>
      <c r="F1893" s="106" t="s">
        <v>8123</v>
      </c>
      <c r="G1893" s="105">
        <v>4</v>
      </c>
      <c r="H1893" s="106" t="s">
        <v>7</v>
      </c>
      <c r="I1893" s="105" t="s">
        <v>39</v>
      </c>
      <c r="J1893" s="105"/>
      <c r="K1893" s="105"/>
      <c r="L1893" s="105"/>
      <c r="M1893" s="106" t="s">
        <v>8124</v>
      </c>
      <c r="N1893" s="106" t="s">
        <v>40</v>
      </c>
      <c r="O1893" s="107"/>
      <c r="P1893" s="106" t="s">
        <v>8125</v>
      </c>
    </row>
    <row r="1894" spans="1:16" outlineLevel="2" x14ac:dyDescent="0.3">
      <c r="A1894" s="105" t="s">
        <v>8126</v>
      </c>
      <c r="B1894" s="106"/>
      <c r="C1894" s="106"/>
      <c r="D1894" s="106"/>
      <c r="E1894" s="106" t="s">
        <v>8127</v>
      </c>
      <c r="F1894" s="106" t="s">
        <v>13</v>
      </c>
      <c r="G1894" s="105">
        <v>4</v>
      </c>
      <c r="H1894" s="106" t="s">
        <v>7</v>
      </c>
      <c r="I1894" s="105"/>
      <c r="J1894" s="105"/>
      <c r="K1894" s="105"/>
      <c r="L1894" s="105"/>
      <c r="M1894" s="106" t="s">
        <v>8128</v>
      </c>
      <c r="N1894" s="106" t="s">
        <v>40</v>
      </c>
      <c r="O1894" s="107" t="s">
        <v>447</v>
      </c>
      <c r="P1894" s="106" t="s">
        <v>8129</v>
      </c>
    </row>
    <row r="1895" spans="1:16" outlineLevel="2" x14ac:dyDescent="0.3">
      <c r="A1895" s="105" t="s">
        <v>8130</v>
      </c>
      <c r="B1895" s="106"/>
      <c r="C1895" s="106"/>
      <c r="D1895" s="106"/>
      <c r="E1895" s="106" t="s">
        <v>8131</v>
      </c>
      <c r="F1895" s="106" t="s">
        <v>8132</v>
      </c>
      <c r="G1895" s="105">
        <v>4</v>
      </c>
      <c r="H1895" s="106" t="s">
        <v>7</v>
      </c>
      <c r="I1895" s="105" t="s">
        <v>39</v>
      </c>
      <c r="J1895" s="105"/>
      <c r="K1895" s="105"/>
      <c r="L1895" s="105"/>
      <c r="M1895" s="106" t="s">
        <v>8133</v>
      </c>
      <c r="N1895" s="106" t="s">
        <v>40</v>
      </c>
      <c r="O1895" s="107" t="s">
        <v>600</v>
      </c>
      <c r="P1895" s="106" t="s">
        <v>8134</v>
      </c>
    </row>
    <row r="1896" spans="1:16" outlineLevel="2" x14ac:dyDescent="0.3">
      <c r="A1896" s="105" t="s">
        <v>8135</v>
      </c>
      <c r="B1896" s="106"/>
      <c r="C1896" s="106"/>
      <c r="D1896" s="106"/>
      <c r="E1896" s="106" t="s">
        <v>8136</v>
      </c>
      <c r="F1896" s="106" t="s">
        <v>8137</v>
      </c>
      <c r="G1896" s="105">
        <v>4</v>
      </c>
      <c r="H1896" s="106" t="s">
        <v>7</v>
      </c>
      <c r="I1896" s="105" t="s">
        <v>39</v>
      </c>
      <c r="J1896" s="105"/>
      <c r="K1896" s="105"/>
      <c r="L1896" s="105"/>
      <c r="M1896" s="106" t="s">
        <v>8138</v>
      </c>
      <c r="N1896" s="106" t="s">
        <v>40</v>
      </c>
      <c r="O1896" s="107" t="s">
        <v>600</v>
      </c>
      <c r="P1896" s="106" t="s">
        <v>8139</v>
      </c>
    </row>
    <row r="1897" spans="1:16" outlineLevel="2" x14ac:dyDescent="0.3">
      <c r="A1897" s="105" t="s">
        <v>8140</v>
      </c>
      <c r="B1897" s="106"/>
      <c r="C1897" s="106"/>
      <c r="D1897" s="106"/>
      <c r="E1897" s="106" t="s">
        <v>8141</v>
      </c>
      <c r="F1897" s="106" t="s">
        <v>8142</v>
      </c>
      <c r="G1897" s="105">
        <v>4</v>
      </c>
      <c r="H1897" s="106" t="s">
        <v>7</v>
      </c>
      <c r="I1897" s="105" t="s">
        <v>39</v>
      </c>
      <c r="J1897" s="105"/>
      <c r="K1897" s="105"/>
      <c r="L1897" s="105"/>
      <c r="M1897" s="106" t="s">
        <v>8143</v>
      </c>
      <c r="N1897" s="106" t="s">
        <v>40</v>
      </c>
      <c r="O1897" s="107" t="s">
        <v>332</v>
      </c>
      <c r="P1897" s="106" t="s">
        <v>8144</v>
      </c>
    </row>
    <row r="1898" spans="1:16" outlineLevel="2" x14ac:dyDescent="0.3">
      <c r="A1898" s="105" t="s">
        <v>8145</v>
      </c>
      <c r="B1898" s="106"/>
      <c r="C1898" s="106"/>
      <c r="D1898" s="106"/>
      <c r="E1898" s="106" t="s">
        <v>8146</v>
      </c>
      <c r="F1898" s="106" t="s">
        <v>8147</v>
      </c>
      <c r="G1898" s="105">
        <v>4</v>
      </c>
      <c r="H1898" s="106" t="s">
        <v>7</v>
      </c>
      <c r="I1898" s="105" t="s">
        <v>39</v>
      </c>
      <c r="J1898" s="105"/>
      <c r="K1898" s="105"/>
      <c r="L1898" s="105"/>
      <c r="M1898" s="106" t="s">
        <v>8148</v>
      </c>
      <c r="N1898" s="106" t="s">
        <v>40</v>
      </c>
      <c r="O1898" s="107" t="s">
        <v>332</v>
      </c>
      <c r="P1898" s="106" t="s">
        <v>8149</v>
      </c>
    </row>
    <row r="1899" spans="1:16" outlineLevel="2" x14ac:dyDescent="0.3">
      <c r="A1899" s="105" t="s">
        <v>8150</v>
      </c>
      <c r="B1899" s="106"/>
      <c r="C1899" s="106"/>
      <c r="D1899" s="106"/>
      <c r="E1899" s="106" t="s">
        <v>8151</v>
      </c>
      <c r="F1899" s="106" t="s">
        <v>8152</v>
      </c>
      <c r="G1899" s="105">
        <v>4</v>
      </c>
      <c r="H1899" s="106" t="s">
        <v>7</v>
      </c>
      <c r="I1899" s="105" t="s">
        <v>39</v>
      </c>
      <c r="J1899" s="105"/>
      <c r="K1899" s="105"/>
      <c r="L1899" s="105"/>
      <c r="M1899" s="106" t="s">
        <v>8153</v>
      </c>
      <c r="N1899" s="106" t="s">
        <v>40</v>
      </c>
      <c r="O1899" s="107" t="s">
        <v>332</v>
      </c>
      <c r="P1899" s="106" t="s">
        <v>8154</v>
      </c>
    </row>
    <row r="1900" spans="1:16" outlineLevel="2" x14ac:dyDescent="0.3">
      <c r="A1900" s="105" t="s">
        <v>8155</v>
      </c>
      <c r="B1900" s="106"/>
      <c r="C1900" s="106"/>
      <c r="D1900" s="106"/>
      <c r="E1900" s="106" t="s">
        <v>8156</v>
      </c>
      <c r="F1900" s="106" t="s">
        <v>8157</v>
      </c>
      <c r="G1900" s="105">
        <v>4</v>
      </c>
      <c r="H1900" s="106" t="s">
        <v>7</v>
      </c>
      <c r="I1900" s="105" t="s">
        <v>39</v>
      </c>
      <c r="J1900" s="105"/>
      <c r="K1900" s="105"/>
      <c r="L1900" s="105"/>
      <c r="M1900" s="106" t="s">
        <v>8158</v>
      </c>
      <c r="N1900" s="106" t="s">
        <v>40</v>
      </c>
      <c r="O1900" s="107"/>
      <c r="P1900" s="106" t="s">
        <v>8159</v>
      </c>
    </row>
    <row r="1901" spans="1:16" outlineLevel="2" x14ac:dyDescent="0.3">
      <c r="A1901" s="105" t="s">
        <v>8160</v>
      </c>
      <c r="B1901" s="106"/>
      <c r="C1901" s="106"/>
      <c r="D1901" s="106"/>
      <c r="E1901" s="106" t="s">
        <v>8161</v>
      </c>
      <c r="F1901" s="106" t="s">
        <v>8162</v>
      </c>
      <c r="G1901" s="105">
        <v>4</v>
      </c>
      <c r="H1901" s="106" t="s">
        <v>7</v>
      </c>
      <c r="I1901" s="105" t="s">
        <v>39</v>
      </c>
      <c r="J1901" s="105"/>
      <c r="K1901" s="105"/>
      <c r="L1901" s="105"/>
      <c r="M1901" s="106" t="s">
        <v>8163</v>
      </c>
      <c r="N1901" s="106" t="s">
        <v>40</v>
      </c>
      <c r="O1901" s="107" t="s">
        <v>600</v>
      </c>
      <c r="P1901" s="106" t="s">
        <v>8164</v>
      </c>
    </row>
    <row r="1902" spans="1:16" outlineLevel="2" x14ac:dyDescent="0.3">
      <c r="A1902" s="105" t="s">
        <v>8165</v>
      </c>
      <c r="B1902" s="106"/>
      <c r="C1902" s="106"/>
      <c r="D1902" s="106"/>
      <c r="E1902" s="106" t="s">
        <v>8166</v>
      </c>
      <c r="F1902" s="106" t="s">
        <v>13</v>
      </c>
      <c r="G1902" s="105">
        <v>4</v>
      </c>
      <c r="H1902" s="106" t="s">
        <v>7</v>
      </c>
      <c r="I1902" s="105"/>
      <c r="J1902" s="105"/>
      <c r="K1902" s="105"/>
      <c r="L1902" s="105"/>
      <c r="M1902" s="106" t="s">
        <v>8167</v>
      </c>
      <c r="N1902" s="106" t="s">
        <v>40</v>
      </c>
      <c r="O1902" s="107" t="s">
        <v>447</v>
      </c>
      <c r="P1902" s="106" t="s">
        <v>8168</v>
      </c>
    </row>
    <row r="1903" spans="1:16" outlineLevel="2" x14ac:dyDescent="0.3">
      <c r="A1903" s="105" t="s">
        <v>8169</v>
      </c>
      <c r="B1903" s="106"/>
      <c r="C1903" s="106"/>
      <c r="D1903" s="106"/>
      <c r="E1903" s="106" t="s">
        <v>8170</v>
      </c>
      <c r="F1903" s="106" t="s">
        <v>13</v>
      </c>
      <c r="G1903" s="105">
        <v>4</v>
      </c>
      <c r="H1903" s="106" t="s">
        <v>7</v>
      </c>
      <c r="I1903" s="105"/>
      <c r="J1903" s="105"/>
      <c r="K1903" s="105"/>
      <c r="L1903" s="105"/>
      <c r="M1903" s="106" t="s">
        <v>8171</v>
      </c>
      <c r="N1903" s="106" t="s">
        <v>40</v>
      </c>
      <c r="O1903" s="107" t="s">
        <v>447</v>
      </c>
      <c r="P1903" s="106" t="s">
        <v>8172</v>
      </c>
    </row>
    <row r="1904" spans="1:16" outlineLevel="2" x14ac:dyDescent="0.3">
      <c r="A1904" s="105" t="s">
        <v>8173</v>
      </c>
      <c r="B1904" s="106"/>
      <c r="C1904" s="106"/>
      <c r="D1904" s="106"/>
      <c r="E1904" s="106" t="s">
        <v>8174</v>
      </c>
      <c r="F1904" s="106" t="s">
        <v>8175</v>
      </c>
      <c r="G1904" s="105">
        <v>4</v>
      </c>
      <c r="H1904" s="106" t="s">
        <v>7</v>
      </c>
      <c r="I1904" s="105" t="s">
        <v>39</v>
      </c>
      <c r="J1904" s="105"/>
      <c r="K1904" s="105"/>
      <c r="L1904" s="105"/>
      <c r="M1904" s="106" t="s">
        <v>8176</v>
      </c>
      <c r="N1904" s="106" t="s">
        <v>40</v>
      </c>
      <c r="O1904" s="107"/>
      <c r="P1904" s="106" t="s">
        <v>8177</v>
      </c>
    </row>
    <row r="1905" spans="1:16" outlineLevel="2" x14ac:dyDescent="0.3">
      <c r="A1905" s="105" t="s">
        <v>8178</v>
      </c>
      <c r="B1905" s="106"/>
      <c r="C1905" s="106"/>
      <c r="D1905" s="106"/>
      <c r="E1905" s="106" t="s">
        <v>8179</v>
      </c>
      <c r="F1905" s="106" t="s">
        <v>8180</v>
      </c>
      <c r="G1905" s="105">
        <v>4</v>
      </c>
      <c r="H1905" s="106" t="s">
        <v>7</v>
      </c>
      <c r="I1905" s="105" t="s">
        <v>39</v>
      </c>
      <c r="J1905" s="105"/>
      <c r="K1905" s="105"/>
      <c r="L1905" s="105"/>
      <c r="M1905" s="106" t="s">
        <v>8181</v>
      </c>
      <c r="N1905" s="106" t="s">
        <v>40</v>
      </c>
      <c r="O1905" s="107"/>
      <c r="P1905" s="106" t="s">
        <v>8182</v>
      </c>
    </row>
    <row r="1906" spans="1:16" outlineLevel="2" x14ac:dyDescent="0.3">
      <c r="A1906" s="105" t="s">
        <v>8183</v>
      </c>
      <c r="B1906" s="106"/>
      <c r="C1906" s="106"/>
      <c r="D1906" s="106"/>
      <c r="E1906" s="106" t="s">
        <v>8184</v>
      </c>
      <c r="F1906" s="106" t="s">
        <v>8185</v>
      </c>
      <c r="G1906" s="105">
        <v>4</v>
      </c>
      <c r="H1906" s="106" t="s">
        <v>7</v>
      </c>
      <c r="I1906" s="105" t="s">
        <v>39</v>
      </c>
      <c r="J1906" s="105"/>
      <c r="K1906" s="105"/>
      <c r="L1906" s="105"/>
      <c r="M1906" s="106" t="s">
        <v>8186</v>
      </c>
      <c r="N1906" s="106" t="s">
        <v>40</v>
      </c>
      <c r="O1906" s="107" t="s">
        <v>600</v>
      </c>
      <c r="P1906" s="106" t="s">
        <v>8187</v>
      </c>
    </row>
    <row r="1907" spans="1:16" outlineLevel="2" x14ac:dyDescent="0.3">
      <c r="A1907" s="105" t="s">
        <v>8188</v>
      </c>
      <c r="B1907" s="106"/>
      <c r="C1907" s="106"/>
      <c r="D1907" s="106"/>
      <c r="E1907" s="106" t="s">
        <v>8189</v>
      </c>
      <c r="F1907" s="106" t="s">
        <v>8190</v>
      </c>
      <c r="G1907" s="105">
        <v>4</v>
      </c>
      <c r="H1907" s="106" t="s">
        <v>7</v>
      </c>
      <c r="I1907" s="105" t="s">
        <v>39</v>
      </c>
      <c r="J1907" s="105"/>
      <c r="K1907" s="105"/>
      <c r="L1907" s="105"/>
      <c r="M1907" s="106" t="s">
        <v>8191</v>
      </c>
      <c r="N1907" s="106" t="s">
        <v>40</v>
      </c>
      <c r="O1907" s="107" t="s">
        <v>332</v>
      </c>
      <c r="P1907" s="106" t="s">
        <v>8192</v>
      </c>
    </row>
    <row r="1908" spans="1:16" outlineLevel="2" x14ac:dyDescent="0.3">
      <c r="A1908" s="105" t="s">
        <v>8193</v>
      </c>
      <c r="B1908" s="106"/>
      <c r="C1908" s="106"/>
      <c r="D1908" s="106"/>
      <c r="E1908" s="106" t="s">
        <v>8194</v>
      </c>
      <c r="F1908" s="106" t="s">
        <v>8195</v>
      </c>
      <c r="G1908" s="105">
        <v>4</v>
      </c>
      <c r="H1908" s="106" t="s">
        <v>7</v>
      </c>
      <c r="I1908" s="105" t="s">
        <v>39</v>
      </c>
      <c r="J1908" s="105"/>
      <c r="K1908" s="105"/>
      <c r="L1908" s="105"/>
      <c r="M1908" s="106" t="s">
        <v>8196</v>
      </c>
      <c r="N1908" s="106" t="s">
        <v>40</v>
      </c>
      <c r="O1908" s="107" t="s">
        <v>600</v>
      </c>
      <c r="P1908" s="106" t="s">
        <v>8197</v>
      </c>
    </row>
    <row r="1909" spans="1:16" outlineLevel="2" x14ac:dyDescent="0.3">
      <c r="A1909" s="105" t="s">
        <v>8198</v>
      </c>
      <c r="B1909" s="106"/>
      <c r="C1909" s="106"/>
      <c r="D1909" s="106"/>
      <c r="E1909" s="106" t="s">
        <v>8199</v>
      </c>
      <c r="F1909" s="106" t="s">
        <v>8200</v>
      </c>
      <c r="G1909" s="105">
        <v>4</v>
      </c>
      <c r="H1909" s="106" t="s">
        <v>7</v>
      </c>
      <c r="I1909" s="105" t="s">
        <v>39</v>
      </c>
      <c r="J1909" s="105"/>
      <c r="K1909" s="105"/>
      <c r="L1909" s="105"/>
      <c r="M1909" s="106" t="s">
        <v>8201</v>
      </c>
      <c r="N1909" s="106" t="s">
        <v>40</v>
      </c>
      <c r="O1909" s="107"/>
      <c r="P1909" s="106" t="s">
        <v>8202</v>
      </c>
    </row>
    <row r="1910" spans="1:16" outlineLevel="2" x14ac:dyDescent="0.3">
      <c r="A1910" s="105" t="s">
        <v>8203</v>
      </c>
      <c r="B1910" s="106"/>
      <c r="C1910" s="106"/>
      <c r="D1910" s="106"/>
      <c r="E1910" s="106" t="s">
        <v>8204</v>
      </c>
      <c r="F1910" s="106" t="s">
        <v>8205</v>
      </c>
      <c r="G1910" s="105">
        <v>4</v>
      </c>
      <c r="H1910" s="106" t="s">
        <v>7</v>
      </c>
      <c r="I1910" s="105" t="s">
        <v>39</v>
      </c>
      <c r="J1910" s="105"/>
      <c r="K1910" s="105"/>
      <c r="L1910" s="105"/>
      <c r="M1910" s="106" t="s">
        <v>8206</v>
      </c>
      <c r="N1910" s="106" t="s">
        <v>40</v>
      </c>
      <c r="O1910" s="107" t="s">
        <v>332</v>
      </c>
      <c r="P1910" s="106" t="s">
        <v>8207</v>
      </c>
    </row>
    <row r="1911" spans="1:16" outlineLevel="2" x14ac:dyDescent="0.3">
      <c r="A1911" s="105" t="s">
        <v>8208</v>
      </c>
      <c r="B1911" s="106"/>
      <c r="C1911" s="106"/>
      <c r="D1911" s="106"/>
      <c r="E1911" s="106" t="s">
        <v>8209</v>
      </c>
      <c r="F1911" s="106" t="s">
        <v>8210</v>
      </c>
      <c r="G1911" s="105">
        <v>4</v>
      </c>
      <c r="H1911" s="106" t="s">
        <v>7</v>
      </c>
      <c r="I1911" s="105" t="s">
        <v>39</v>
      </c>
      <c r="J1911" s="105"/>
      <c r="K1911" s="105"/>
      <c r="L1911" s="105"/>
      <c r="M1911" s="106" t="s">
        <v>8211</v>
      </c>
      <c r="N1911" s="106" t="s">
        <v>40</v>
      </c>
      <c r="O1911" s="107" t="s">
        <v>600</v>
      </c>
      <c r="P1911" s="106" t="s">
        <v>8212</v>
      </c>
    </row>
    <row r="1912" spans="1:16" outlineLevel="2" x14ac:dyDescent="0.3">
      <c r="A1912" s="105" t="s">
        <v>8213</v>
      </c>
      <c r="B1912" s="106"/>
      <c r="C1912" s="106"/>
      <c r="D1912" s="106"/>
      <c r="E1912" s="106" t="s">
        <v>8214</v>
      </c>
      <c r="F1912" s="106" t="s">
        <v>8215</v>
      </c>
      <c r="G1912" s="105">
        <v>4</v>
      </c>
      <c r="H1912" s="106" t="s">
        <v>7</v>
      </c>
      <c r="I1912" s="105" t="s">
        <v>39</v>
      </c>
      <c r="J1912" s="105"/>
      <c r="K1912" s="105"/>
      <c r="L1912" s="105"/>
      <c r="M1912" s="106" t="s">
        <v>8216</v>
      </c>
      <c r="N1912" s="106" t="s">
        <v>40</v>
      </c>
      <c r="O1912" s="107" t="s">
        <v>332</v>
      </c>
      <c r="P1912" s="106" t="s">
        <v>8217</v>
      </c>
    </row>
    <row r="1913" spans="1:16" outlineLevel="2" x14ac:dyDescent="0.3">
      <c r="A1913" s="105" t="s">
        <v>8218</v>
      </c>
      <c r="B1913" s="106"/>
      <c r="C1913" s="106"/>
      <c r="D1913" s="106"/>
      <c r="E1913" s="106" t="s">
        <v>8219</v>
      </c>
      <c r="F1913" s="106" t="s">
        <v>13</v>
      </c>
      <c r="G1913" s="105">
        <v>4</v>
      </c>
      <c r="H1913" s="106" t="s">
        <v>7</v>
      </c>
      <c r="I1913" s="105"/>
      <c r="J1913" s="105"/>
      <c r="K1913" s="105"/>
      <c r="L1913" s="105"/>
      <c r="M1913" s="106" t="s">
        <v>8220</v>
      </c>
      <c r="N1913" s="106" t="s">
        <v>40</v>
      </c>
      <c r="O1913" s="107" t="s">
        <v>447</v>
      </c>
      <c r="P1913" s="106" t="s">
        <v>8221</v>
      </c>
    </row>
    <row r="1914" spans="1:16" ht="27.6" x14ac:dyDescent="0.3">
      <c r="A1914" s="316" t="s">
        <v>8222</v>
      </c>
      <c r="B1914" s="317" t="s">
        <v>8223</v>
      </c>
      <c r="C1914" s="318" t="str">
        <f>COUNTIFS($G1915:$G2180,2)&amp;" subcapas"</f>
        <v>7 subcapas</v>
      </c>
      <c r="D1914" s="317"/>
      <c r="E1914" s="317"/>
      <c r="F1914" s="317"/>
      <c r="G1914" s="316">
        <v>1</v>
      </c>
      <c r="H1914" s="317" t="s">
        <v>2</v>
      </c>
      <c r="I1914" s="316"/>
      <c r="J1914" s="319">
        <f>SUMIFS(J1915:J2180,$G1915:$G2180,2)</f>
        <v>255</v>
      </c>
      <c r="K1914" s="319">
        <f>SUMIFS(K1915:K2180,$G1915:$G2180,2)</f>
        <v>4</v>
      </c>
      <c r="L1914" s="319">
        <f>SUMIFS(L1915:L2180,$G1915:$G2180,2)</f>
        <v>98</v>
      </c>
      <c r="M1914" s="320" t="s">
        <v>8224</v>
      </c>
      <c r="N1914" s="317"/>
      <c r="O1914" s="317"/>
      <c r="P1914" s="317" t="s">
        <v>8225</v>
      </c>
    </row>
    <row r="1915" spans="1:16" ht="27.6" outlineLevel="1" x14ac:dyDescent="0.3">
      <c r="A1915" s="321" t="s">
        <v>8226</v>
      </c>
      <c r="B1915" s="322"/>
      <c r="C1915" s="323" t="s">
        <v>8227</v>
      </c>
      <c r="D1915" s="322"/>
      <c r="E1915" s="322"/>
      <c r="F1915" s="322"/>
      <c r="G1915" s="321">
        <v>2</v>
      </c>
      <c r="H1915" s="322" t="s">
        <v>25</v>
      </c>
      <c r="I1915" s="321" t="s">
        <v>39</v>
      </c>
      <c r="J1915" s="321">
        <v>93</v>
      </c>
      <c r="K1915" s="321">
        <v>0</v>
      </c>
      <c r="L1915" s="321">
        <v>76</v>
      </c>
      <c r="M1915" s="324" t="s">
        <v>8228</v>
      </c>
      <c r="N1915" s="324" t="s">
        <v>223</v>
      </c>
      <c r="O1915" s="325"/>
      <c r="P1915" s="324" t="s">
        <v>8225</v>
      </c>
    </row>
    <row r="1916" spans="1:16" outlineLevel="2" x14ac:dyDescent="0.3">
      <c r="A1916" s="105" t="s">
        <v>8229</v>
      </c>
      <c r="B1916" s="106"/>
      <c r="C1916" s="106"/>
      <c r="D1916" s="106"/>
      <c r="E1916" s="106" t="s">
        <v>8230</v>
      </c>
      <c r="F1916" s="106" t="s">
        <v>8231</v>
      </c>
      <c r="G1916" s="105">
        <v>4</v>
      </c>
      <c r="H1916" s="106" t="s">
        <v>7</v>
      </c>
      <c r="I1916" s="105" t="s">
        <v>39</v>
      </c>
      <c r="J1916" s="105"/>
      <c r="K1916" s="105"/>
      <c r="L1916" s="105"/>
      <c r="M1916" s="106"/>
      <c r="N1916" s="106" t="s">
        <v>40</v>
      </c>
      <c r="O1916" s="107"/>
      <c r="P1916" s="106" t="s">
        <v>8232</v>
      </c>
    </row>
    <row r="1917" spans="1:16" outlineLevel="2" x14ac:dyDescent="0.3">
      <c r="A1917" s="105" t="s">
        <v>8233</v>
      </c>
      <c r="B1917" s="106"/>
      <c r="C1917" s="106"/>
      <c r="D1917" s="106"/>
      <c r="E1917" s="106" t="s">
        <v>8234</v>
      </c>
      <c r="F1917" s="106" t="s">
        <v>8235</v>
      </c>
      <c r="G1917" s="105">
        <v>4</v>
      </c>
      <c r="H1917" s="106" t="s">
        <v>7</v>
      </c>
      <c r="I1917" s="105" t="s">
        <v>39</v>
      </c>
      <c r="J1917" s="105"/>
      <c r="K1917" s="105"/>
      <c r="L1917" s="105"/>
      <c r="M1917" s="106"/>
      <c r="N1917" s="106" t="s">
        <v>40</v>
      </c>
      <c r="O1917" s="107"/>
      <c r="P1917" s="106" t="s">
        <v>8236</v>
      </c>
    </row>
    <row r="1918" spans="1:16" outlineLevel="2" x14ac:dyDescent="0.3">
      <c r="A1918" s="105" t="s">
        <v>8237</v>
      </c>
      <c r="B1918" s="106"/>
      <c r="C1918" s="106"/>
      <c r="D1918" s="106"/>
      <c r="E1918" s="106" t="s">
        <v>8238</v>
      </c>
      <c r="F1918" s="106" t="s">
        <v>8239</v>
      </c>
      <c r="G1918" s="105">
        <v>4</v>
      </c>
      <c r="H1918" s="106" t="s">
        <v>7</v>
      </c>
      <c r="I1918" s="105" t="s">
        <v>39</v>
      </c>
      <c r="J1918" s="105"/>
      <c r="K1918" s="105"/>
      <c r="L1918" s="105"/>
      <c r="M1918" s="106"/>
      <c r="N1918" s="106" t="s">
        <v>40</v>
      </c>
      <c r="O1918" s="107"/>
      <c r="P1918" s="106" t="s">
        <v>8240</v>
      </c>
    </row>
    <row r="1919" spans="1:16" outlineLevel="2" x14ac:dyDescent="0.3">
      <c r="A1919" s="105" t="s">
        <v>8241</v>
      </c>
      <c r="B1919" s="106"/>
      <c r="C1919" s="106"/>
      <c r="D1919" s="106"/>
      <c r="E1919" s="106" t="s">
        <v>8242</v>
      </c>
      <c r="F1919" s="106" t="s">
        <v>8243</v>
      </c>
      <c r="G1919" s="105">
        <v>4</v>
      </c>
      <c r="H1919" s="106" t="s">
        <v>7</v>
      </c>
      <c r="I1919" s="105" t="s">
        <v>39</v>
      </c>
      <c r="J1919" s="105"/>
      <c r="K1919" s="105"/>
      <c r="L1919" s="105"/>
      <c r="M1919" s="106"/>
      <c r="N1919" s="106" t="s">
        <v>40</v>
      </c>
      <c r="O1919" s="107"/>
      <c r="P1919" s="106" t="s">
        <v>8244</v>
      </c>
    </row>
    <row r="1920" spans="1:16" outlineLevel="2" x14ac:dyDescent="0.3">
      <c r="A1920" s="105" t="s">
        <v>8245</v>
      </c>
      <c r="B1920" s="106"/>
      <c r="C1920" s="106"/>
      <c r="D1920" s="106"/>
      <c r="E1920" s="106" t="s">
        <v>8246</v>
      </c>
      <c r="F1920" s="106" t="s">
        <v>8247</v>
      </c>
      <c r="G1920" s="105">
        <v>4</v>
      </c>
      <c r="H1920" s="106" t="s">
        <v>7</v>
      </c>
      <c r="I1920" s="105" t="s">
        <v>39</v>
      </c>
      <c r="J1920" s="105"/>
      <c r="K1920" s="105"/>
      <c r="L1920" s="105"/>
      <c r="M1920" s="106"/>
      <c r="N1920" s="106" t="s">
        <v>223</v>
      </c>
      <c r="O1920" s="107"/>
      <c r="P1920" s="106" t="s">
        <v>8248</v>
      </c>
    </row>
    <row r="1921" spans="1:16" outlineLevel="2" x14ac:dyDescent="0.3">
      <c r="A1921" s="105" t="s">
        <v>8249</v>
      </c>
      <c r="B1921" s="106"/>
      <c r="C1921" s="106"/>
      <c r="D1921" s="106"/>
      <c r="E1921" s="106" t="s">
        <v>8250</v>
      </c>
      <c r="F1921" s="106" t="s">
        <v>8251</v>
      </c>
      <c r="G1921" s="105">
        <v>4</v>
      </c>
      <c r="H1921" s="106" t="s">
        <v>7</v>
      </c>
      <c r="I1921" s="105" t="s">
        <v>39</v>
      </c>
      <c r="J1921" s="105"/>
      <c r="K1921" s="105"/>
      <c r="L1921" s="105"/>
      <c r="M1921" s="106"/>
      <c r="N1921" s="106" t="s">
        <v>40</v>
      </c>
      <c r="O1921" s="107"/>
      <c r="P1921" s="106" t="s">
        <v>8252</v>
      </c>
    </row>
    <row r="1922" spans="1:16" outlineLevel="2" x14ac:dyDescent="0.3">
      <c r="A1922" s="105" t="s">
        <v>8253</v>
      </c>
      <c r="B1922" s="106"/>
      <c r="C1922" s="106"/>
      <c r="D1922" s="106"/>
      <c r="E1922" s="106" t="s">
        <v>8254</v>
      </c>
      <c r="F1922" s="106" t="s">
        <v>8255</v>
      </c>
      <c r="G1922" s="105">
        <v>4</v>
      </c>
      <c r="H1922" s="106" t="s">
        <v>7</v>
      </c>
      <c r="I1922" s="105" t="s">
        <v>39</v>
      </c>
      <c r="J1922" s="105"/>
      <c r="K1922" s="105"/>
      <c r="L1922" s="105"/>
      <c r="M1922" s="106"/>
      <c r="N1922" s="106" t="s">
        <v>223</v>
      </c>
      <c r="O1922" s="107"/>
      <c r="P1922" s="106" t="s">
        <v>8256</v>
      </c>
    </row>
    <row r="1923" spans="1:16" outlineLevel="2" x14ac:dyDescent="0.3">
      <c r="A1923" s="105" t="s">
        <v>8257</v>
      </c>
      <c r="B1923" s="106"/>
      <c r="C1923" s="106"/>
      <c r="D1923" s="106"/>
      <c r="E1923" s="106" t="s">
        <v>8258</v>
      </c>
      <c r="F1923" s="106" t="s">
        <v>8259</v>
      </c>
      <c r="G1923" s="105">
        <v>4</v>
      </c>
      <c r="H1923" s="106" t="s">
        <v>7</v>
      </c>
      <c r="I1923" s="105" t="s">
        <v>39</v>
      </c>
      <c r="J1923" s="105"/>
      <c r="K1923" s="105"/>
      <c r="L1923" s="105"/>
      <c r="M1923" s="106"/>
      <c r="N1923" s="106" t="s">
        <v>40</v>
      </c>
      <c r="O1923" s="107"/>
      <c r="P1923" s="106" t="s">
        <v>8260</v>
      </c>
    </row>
    <row r="1924" spans="1:16" outlineLevel="2" x14ac:dyDescent="0.3">
      <c r="A1924" s="105" t="s">
        <v>8261</v>
      </c>
      <c r="B1924" s="106"/>
      <c r="C1924" s="106"/>
      <c r="D1924" s="106"/>
      <c r="E1924" s="106" t="s">
        <v>8262</v>
      </c>
      <c r="F1924" s="106" t="s">
        <v>8263</v>
      </c>
      <c r="G1924" s="105">
        <v>4</v>
      </c>
      <c r="H1924" s="106" t="s">
        <v>7</v>
      </c>
      <c r="I1924" s="105" t="s">
        <v>39</v>
      </c>
      <c r="J1924" s="105"/>
      <c r="K1924" s="105"/>
      <c r="L1924" s="105"/>
      <c r="M1924" s="106" t="s">
        <v>8264</v>
      </c>
      <c r="N1924" s="106" t="s">
        <v>223</v>
      </c>
      <c r="O1924" s="107"/>
      <c r="P1924" s="106" t="s">
        <v>8265</v>
      </c>
    </row>
    <row r="1925" spans="1:16" outlineLevel="2" x14ac:dyDescent="0.3">
      <c r="A1925" s="105" t="s">
        <v>8266</v>
      </c>
      <c r="B1925" s="106"/>
      <c r="C1925" s="106"/>
      <c r="D1925" s="106"/>
      <c r="E1925" s="106" t="s">
        <v>8267</v>
      </c>
      <c r="F1925" s="106" t="s">
        <v>8268</v>
      </c>
      <c r="G1925" s="105">
        <v>4</v>
      </c>
      <c r="H1925" s="106" t="s">
        <v>7</v>
      </c>
      <c r="I1925" s="105" t="s">
        <v>39</v>
      </c>
      <c r="J1925" s="105"/>
      <c r="K1925" s="105"/>
      <c r="L1925" s="105"/>
      <c r="M1925" s="106"/>
      <c r="N1925" s="106" t="s">
        <v>40</v>
      </c>
      <c r="O1925" s="107"/>
      <c r="P1925" s="106" t="s">
        <v>8269</v>
      </c>
    </row>
    <row r="1926" spans="1:16" outlineLevel="2" x14ac:dyDescent="0.3">
      <c r="A1926" s="105" t="s">
        <v>8270</v>
      </c>
      <c r="B1926" s="106"/>
      <c r="C1926" s="106"/>
      <c r="D1926" s="106"/>
      <c r="E1926" s="106" t="s">
        <v>8271</v>
      </c>
      <c r="F1926" s="106" t="s">
        <v>456</v>
      </c>
      <c r="G1926" s="105">
        <v>4</v>
      </c>
      <c r="H1926" s="106" t="s">
        <v>7</v>
      </c>
      <c r="I1926" s="105" t="s">
        <v>39</v>
      </c>
      <c r="J1926" s="105"/>
      <c r="K1926" s="105"/>
      <c r="L1926" s="105"/>
      <c r="M1926" s="106"/>
      <c r="N1926" s="106" t="s">
        <v>223</v>
      </c>
      <c r="O1926" s="107"/>
      <c r="P1926" s="106" t="s">
        <v>8272</v>
      </c>
    </row>
    <row r="1927" spans="1:16" outlineLevel="2" x14ac:dyDescent="0.3">
      <c r="A1927" s="105" t="s">
        <v>8273</v>
      </c>
      <c r="B1927" s="106"/>
      <c r="C1927" s="106"/>
      <c r="D1927" s="106"/>
      <c r="E1927" s="106" t="s">
        <v>8274</v>
      </c>
      <c r="F1927" s="106" t="s">
        <v>8275</v>
      </c>
      <c r="G1927" s="105">
        <v>4</v>
      </c>
      <c r="H1927" s="106" t="s">
        <v>7</v>
      </c>
      <c r="I1927" s="105" t="s">
        <v>39</v>
      </c>
      <c r="J1927" s="105"/>
      <c r="K1927" s="105"/>
      <c r="L1927" s="105"/>
      <c r="M1927" s="106"/>
      <c r="N1927" s="106" t="s">
        <v>40</v>
      </c>
      <c r="O1927" s="107"/>
      <c r="P1927" s="106" t="s">
        <v>8276</v>
      </c>
    </row>
    <row r="1928" spans="1:16" outlineLevel="2" x14ac:dyDescent="0.3">
      <c r="A1928" s="105" t="s">
        <v>8277</v>
      </c>
      <c r="B1928" s="106"/>
      <c r="C1928" s="106"/>
      <c r="D1928" s="106"/>
      <c r="E1928" s="106" t="s">
        <v>8278</v>
      </c>
      <c r="F1928" s="106" t="s">
        <v>8279</v>
      </c>
      <c r="G1928" s="105">
        <v>4</v>
      </c>
      <c r="H1928" s="106" t="s">
        <v>7</v>
      </c>
      <c r="I1928" s="105" t="s">
        <v>39</v>
      </c>
      <c r="J1928" s="105"/>
      <c r="K1928" s="105"/>
      <c r="L1928" s="105"/>
      <c r="M1928" s="106"/>
      <c r="N1928" s="106" t="s">
        <v>287</v>
      </c>
      <c r="O1928" s="107"/>
      <c r="P1928" s="106"/>
    </row>
    <row r="1929" spans="1:16" outlineLevel="2" x14ac:dyDescent="0.3">
      <c r="A1929" s="105" t="s">
        <v>8280</v>
      </c>
      <c r="B1929" s="106"/>
      <c r="C1929" s="106"/>
      <c r="D1929" s="106"/>
      <c r="E1929" s="106" t="s">
        <v>8281</v>
      </c>
      <c r="F1929" s="106" t="s">
        <v>8282</v>
      </c>
      <c r="G1929" s="105">
        <v>4</v>
      </c>
      <c r="H1929" s="106" t="s">
        <v>7</v>
      </c>
      <c r="I1929" s="105" t="s">
        <v>39</v>
      </c>
      <c r="J1929" s="105"/>
      <c r="K1929" s="105"/>
      <c r="L1929" s="105"/>
      <c r="M1929" s="106"/>
      <c r="N1929" s="106" t="s">
        <v>40</v>
      </c>
      <c r="O1929" s="107"/>
      <c r="P1929" s="106" t="s">
        <v>8283</v>
      </c>
    </row>
    <row r="1930" spans="1:16" outlineLevel="2" x14ac:dyDescent="0.3">
      <c r="A1930" s="105" t="s">
        <v>8284</v>
      </c>
      <c r="B1930" s="106"/>
      <c r="C1930" s="106"/>
      <c r="D1930" s="106"/>
      <c r="E1930" s="106" t="s">
        <v>8285</v>
      </c>
      <c r="F1930" s="106" t="s">
        <v>8286</v>
      </c>
      <c r="G1930" s="105">
        <v>4</v>
      </c>
      <c r="H1930" s="106" t="s">
        <v>7</v>
      </c>
      <c r="I1930" s="105" t="s">
        <v>39</v>
      </c>
      <c r="J1930" s="105"/>
      <c r="K1930" s="105"/>
      <c r="L1930" s="105"/>
      <c r="M1930" s="106"/>
      <c r="N1930" s="106" t="s">
        <v>40</v>
      </c>
      <c r="O1930" s="107"/>
      <c r="P1930" s="106" t="s">
        <v>8287</v>
      </c>
    </row>
    <row r="1931" spans="1:16" outlineLevel="2" x14ac:dyDescent="0.3">
      <c r="A1931" s="105" t="s">
        <v>8288</v>
      </c>
      <c r="B1931" s="106"/>
      <c r="C1931" s="106"/>
      <c r="D1931" s="106"/>
      <c r="E1931" s="106" t="s">
        <v>8289</v>
      </c>
      <c r="F1931" s="106" t="s">
        <v>3948</v>
      </c>
      <c r="G1931" s="105">
        <v>4</v>
      </c>
      <c r="H1931" s="106" t="s">
        <v>7</v>
      </c>
      <c r="I1931" s="105" t="s">
        <v>39</v>
      </c>
      <c r="J1931" s="105"/>
      <c r="K1931" s="105"/>
      <c r="L1931" s="105"/>
      <c r="M1931" s="106"/>
      <c r="N1931" s="106" t="s">
        <v>40</v>
      </c>
      <c r="O1931" s="107"/>
      <c r="P1931" s="106" t="s">
        <v>8290</v>
      </c>
    </row>
    <row r="1932" spans="1:16" outlineLevel="2" x14ac:dyDescent="0.3">
      <c r="A1932" s="105" t="s">
        <v>8291</v>
      </c>
      <c r="B1932" s="106"/>
      <c r="C1932" s="106"/>
      <c r="D1932" s="106"/>
      <c r="E1932" s="106" t="s">
        <v>8292</v>
      </c>
      <c r="F1932" s="106" t="s">
        <v>8293</v>
      </c>
      <c r="G1932" s="105">
        <v>4</v>
      </c>
      <c r="H1932" s="106" t="s">
        <v>7</v>
      </c>
      <c r="I1932" s="105" t="s">
        <v>39</v>
      </c>
      <c r="J1932" s="105"/>
      <c r="K1932" s="105"/>
      <c r="L1932" s="105"/>
      <c r="M1932" s="106"/>
      <c r="N1932" s="106" t="s">
        <v>40</v>
      </c>
      <c r="O1932" s="107"/>
      <c r="P1932" s="106" t="s">
        <v>8294</v>
      </c>
    </row>
    <row r="1933" spans="1:16" outlineLevel="2" x14ac:dyDescent="0.3">
      <c r="A1933" s="105" t="s">
        <v>8295</v>
      </c>
      <c r="B1933" s="106"/>
      <c r="C1933" s="106"/>
      <c r="D1933" s="106"/>
      <c r="E1933" s="106" t="s">
        <v>8296</v>
      </c>
      <c r="F1933" s="106" t="s">
        <v>8297</v>
      </c>
      <c r="G1933" s="105">
        <v>4</v>
      </c>
      <c r="H1933" s="106" t="s">
        <v>7</v>
      </c>
      <c r="I1933" s="105" t="s">
        <v>39</v>
      </c>
      <c r="J1933" s="105"/>
      <c r="K1933" s="105"/>
      <c r="L1933" s="105"/>
      <c r="M1933" s="106"/>
      <c r="N1933" s="106" t="s">
        <v>40</v>
      </c>
      <c r="O1933" s="107"/>
      <c r="P1933" s="106" t="s">
        <v>8298</v>
      </c>
    </row>
    <row r="1934" spans="1:16" outlineLevel="2" x14ac:dyDescent="0.3">
      <c r="A1934" s="105" t="s">
        <v>8299</v>
      </c>
      <c r="B1934" s="106"/>
      <c r="C1934" s="106"/>
      <c r="D1934" s="106"/>
      <c r="E1934" s="106" t="s">
        <v>8300</v>
      </c>
      <c r="F1934" s="106" t="s">
        <v>3971</v>
      </c>
      <c r="G1934" s="105">
        <v>4</v>
      </c>
      <c r="H1934" s="106" t="s">
        <v>7</v>
      </c>
      <c r="I1934" s="105" t="s">
        <v>39</v>
      </c>
      <c r="J1934" s="105"/>
      <c r="K1934" s="105"/>
      <c r="L1934" s="105"/>
      <c r="M1934" s="106"/>
      <c r="N1934" s="106" t="s">
        <v>40</v>
      </c>
      <c r="O1934" s="107"/>
      <c r="P1934" s="106" t="s">
        <v>8301</v>
      </c>
    </row>
    <row r="1935" spans="1:16" outlineLevel="2" x14ac:dyDescent="0.3">
      <c r="A1935" s="105" t="s">
        <v>8302</v>
      </c>
      <c r="B1935" s="106"/>
      <c r="C1935" s="106"/>
      <c r="D1935" s="106"/>
      <c r="E1935" s="106" t="s">
        <v>8303</v>
      </c>
      <c r="F1935" s="106" t="s">
        <v>8304</v>
      </c>
      <c r="G1935" s="105">
        <v>4</v>
      </c>
      <c r="H1935" s="106" t="s">
        <v>7</v>
      </c>
      <c r="I1935" s="105" t="s">
        <v>39</v>
      </c>
      <c r="J1935" s="105"/>
      <c r="K1935" s="105"/>
      <c r="L1935" s="105"/>
      <c r="M1935" s="106"/>
      <c r="N1935" s="106" t="s">
        <v>40</v>
      </c>
      <c r="O1935" s="107"/>
      <c r="P1935" s="106" t="s">
        <v>8305</v>
      </c>
    </row>
    <row r="1936" spans="1:16" outlineLevel="2" x14ac:dyDescent="0.3">
      <c r="A1936" s="105" t="s">
        <v>8306</v>
      </c>
      <c r="B1936" s="106"/>
      <c r="C1936" s="106"/>
      <c r="D1936" s="106"/>
      <c r="E1936" s="106" t="s">
        <v>3975</v>
      </c>
      <c r="F1936" s="106" t="s">
        <v>8307</v>
      </c>
      <c r="G1936" s="105">
        <v>4</v>
      </c>
      <c r="H1936" s="106" t="s">
        <v>7</v>
      </c>
      <c r="I1936" s="105" t="s">
        <v>39</v>
      </c>
      <c r="J1936" s="105"/>
      <c r="K1936" s="105"/>
      <c r="L1936" s="105"/>
      <c r="M1936" s="106"/>
      <c r="N1936" s="106" t="s">
        <v>287</v>
      </c>
      <c r="O1936" s="107"/>
      <c r="P1936" s="106"/>
    </row>
    <row r="1937" spans="1:16" outlineLevel="2" x14ac:dyDescent="0.3">
      <c r="A1937" s="105" t="s">
        <v>8308</v>
      </c>
      <c r="B1937" s="106"/>
      <c r="C1937" s="106"/>
      <c r="D1937" s="106"/>
      <c r="E1937" s="106" t="s">
        <v>8309</v>
      </c>
      <c r="F1937" s="106" t="s">
        <v>8310</v>
      </c>
      <c r="G1937" s="105">
        <v>4</v>
      </c>
      <c r="H1937" s="106" t="s">
        <v>7</v>
      </c>
      <c r="I1937" s="105" t="s">
        <v>39</v>
      </c>
      <c r="J1937" s="105"/>
      <c r="K1937" s="105"/>
      <c r="L1937" s="105"/>
      <c r="M1937" s="106"/>
      <c r="N1937" s="106" t="s">
        <v>40</v>
      </c>
      <c r="O1937" s="107"/>
      <c r="P1937" s="106" t="s">
        <v>8311</v>
      </c>
    </row>
    <row r="1938" spans="1:16" outlineLevel="2" x14ac:dyDescent="0.3">
      <c r="A1938" s="105" t="s">
        <v>8312</v>
      </c>
      <c r="B1938" s="106"/>
      <c r="C1938" s="106"/>
      <c r="D1938" s="106"/>
      <c r="E1938" s="106" t="s">
        <v>8313</v>
      </c>
      <c r="F1938" s="106" t="s">
        <v>8314</v>
      </c>
      <c r="G1938" s="105">
        <v>4</v>
      </c>
      <c r="H1938" s="106" t="s">
        <v>7</v>
      </c>
      <c r="I1938" s="105" t="s">
        <v>39</v>
      </c>
      <c r="J1938" s="105"/>
      <c r="K1938" s="105"/>
      <c r="L1938" s="105"/>
      <c r="M1938" s="106"/>
      <c r="N1938" s="106" t="s">
        <v>40</v>
      </c>
      <c r="O1938" s="107"/>
      <c r="P1938" s="106" t="s">
        <v>8315</v>
      </c>
    </row>
    <row r="1939" spans="1:16" outlineLevel="2" x14ac:dyDescent="0.3">
      <c r="A1939" s="105" t="s">
        <v>8316</v>
      </c>
      <c r="B1939" s="106"/>
      <c r="C1939" s="106"/>
      <c r="D1939" s="106"/>
      <c r="E1939" s="106" t="s">
        <v>8317</v>
      </c>
      <c r="F1939" s="106" t="s">
        <v>8318</v>
      </c>
      <c r="G1939" s="105">
        <v>4</v>
      </c>
      <c r="H1939" s="106" t="s">
        <v>7</v>
      </c>
      <c r="I1939" s="105" t="s">
        <v>39</v>
      </c>
      <c r="J1939" s="105"/>
      <c r="K1939" s="105"/>
      <c r="L1939" s="105"/>
      <c r="M1939" s="106"/>
      <c r="N1939" s="106" t="s">
        <v>40</v>
      </c>
      <c r="O1939" s="107"/>
      <c r="P1939" s="106" t="s">
        <v>8319</v>
      </c>
    </row>
    <row r="1940" spans="1:16" outlineLevel="2" x14ac:dyDescent="0.3">
      <c r="A1940" s="105" t="s">
        <v>8320</v>
      </c>
      <c r="B1940" s="106"/>
      <c r="C1940" s="106"/>
      <c r="D1940" s="106"/>
      <c r="E1940" s="106" t="s">
        <v>8321</v>
      </c>
      <c r="F1940" s="106" t="s">
        <v>8322</v>
      </c>
      <c r="G1940" s="105">
        <v>4</v>
      </c>
      <c r="H1940" s="106" t="s">
        <v>7</v>
      </c>
      <c r="I1940" s="105" t="s">
        <v>39</v>
      </c>
      <c r="J1940" s="105"/>
      <c r="K1940" s="105"/>
      <c r="L1940" s="105"/>
      <c r="M1940" s="106"/>
      <c r="N1940" s="106" t="s">
        <v>40</v>
      </c>
      <c r="O1940" s="107"/>
      <c r="P1940" s="106" t="s">
        <v>8323</v>
      </c>
    </row>
    <row r="1941" spans="1:16" outlineLevel="2" x14ac:dyDescent="0.3">
      <c r="A1941" s="105" t="s">
        <v>8324</v>
      </c>
      <c r="B1941" s="106"/>
      <c r="C1941" s="106"/>
      <c r="D1941" s="106"/>
      <c r="E1941" s="106" t="s">
        <v>3980</v>
      </c>
      <c r="F1941" s="106" t="s">
        <v>8325</v>
      </c>
      <c r="G1941" s="105">
        <v>4</v>
      </c>
      <c r="H1941" s="106" t="s">
        <v>7</v>
      </c>
      <c r="I1941" s="105" t="s">
        <v>39</v>
      </c>
      <c r="J1941" s="105"/>
      <c r="K1941" s="105"/>
      <c r="L1941" s="105"/>
      <c r="M1941" s="106"/>
      <c r="N1941" s="106" t="s">
        <v>40</v>
      </c>
      <c r="O1941" s="107"/>
      <c r="P1941" s="106" t="s">
        <v>8326</v>
      </c>
    </row>
    <row r="1942" spans="1:16" outlineLevel="2" x14ac:dyDescent="0.3">
      <c r="A1942" s="105" t="s">
        <v>8327</v>
      </c>
      <c r="B1942" s="106"/>
      <c r="C1942" s="106"/>
      <c r="D1942" s="106"/>
      <c r="E1942" s="106" t="s">
        <v>8328</v>
      </c>
      <c r="F1942" s="106" t="s">
        <v>8329</v>
      </c>
      <c r="G1942" s="105">
        <v>4</v>
      </c>
      <c r="H1942" s="106" t="s">
        <v>7</v>
      </c>
      <c r="I1942" s="105" t="s">
        <v>39</v>
      </c>
      <c r="J1942" s="105"/>
      <c r="K1942" s="105"/>
      <c r="L1942" s="105"/>
      <c r="M1942" s="106"/>
      <c r="N1942" s="106" t="s">
        <v>40</v>
      </c>
      <c r="O1942" s="107"/>
      <c r="P1942" s="106" t="s">
        <v>8330</v>
      </c>
    </row>
    <row r="1943" spans="1:16" outlineLevel="2" x14ac:dyDescent="0.3">
      <c r="A1943" s="105" t="s">
        <v>8331</v>
      </c>
      <c r="B1943" s="106"/>
      <c r="C1943" s="106"/>
      <c r="D1943" s="106"/>
      <c r="E1943" s="106" t="s">
        <v>8332</v>
      </c>
      <c r="F1943" s="106" t="s">
        <v>8333</v>
      </c>
      <c r="G1943" s="105">
        <v>4</v>
      </c>
      <c r="H1943" s="106" t="s">
        <v>7</v>
      </c>
      <c r="I1943" s="105" t="s">
        <v>39</v>
      </c>
      <c r="J1943" s="105"/>
      <c r="K1943" s="105"/>
      <c r="L1943" s="105"/>
      <c r="M1943" s="106"/>
      <c r="N1943" s="106" t="s">
        <v>40</v>
      </c>
      <c r="O1943" s="107"/>
      <c r="P1943" s="106" t="s">
        <v>8334</v>
      </c>
    </row>
    <row r="1944" spans="1:16" outlineLevel="2" x14ac:dyDescent="0.3">
      <c r="A1944" s="105" t="s">
        <v>8335</v>
      </c>
      <c r="B1944" s="106"/>
      <c r="C1944" s="106"/>
      <c r="D1944" s="106"/>
      <c r="E1944" s="106" t="s">
        <v>8336</v>
      </c>
      <c r="F1944" s="106" t="s">
        <v>8337</v>
      </c>
      <c r="G1944" s="105">
        <v>4</v>
      </c>
      <c r="H1944" s="106" t="s">
        <v>7</v>
      </c>
      <c r="I1944" s="105" t="s">
        <v>39</v>
      </c>
      <c r="J1944" s="105"/>
      <c r="K1944" s="105"/>
      <c r="L1944" s="105"/>
      <c r="M1944" s="106"/>
      <c r="N1944" s="106" t="s">
        <v>40</v>
      </c>
      <c r="O1944" s="107"/>
      <c r="P1944" s="106" t="s">
        <v>8338</v>
      </c>
    </row>
    <row r="1945" spans="1:16" outlineLevel="2" x14ac:dyDescent="0.3">
      <c r="A1945" s="105" t="s">
        <v>8339</v>
      </c>
      <c r="B1945" s="106"/>
      <c r="C1945" s="106"/>
      <c r="D1945" s="106"/>
      <c r="E1945" s="106" t="s">
        <v>8340</v>
      </c>
      <c r="F1945" s="106" t="s">
        <v>8341</v>
      </c>
      <c r="G1945" s="105">
        <v>4</v>
      </c>
      <c r="H1945" s="106" t="s">
        <v>7</v>
      </c>
      <c r="I1945" s="105" t="s">
        <v>39</v>
      </c>
      <c r="J1945" s="105"/>
      <c r="K1945" s="105"/>
      <c r="L1945" s="105"/>
      <c r="M1945" s="106"/>
      <c r="N1945" s="106" t="s">
        <v>223</v>
      </c>
      <c r="O1945" s="107"/>
      <c r="P1945" s="106" t="s">
        <v>8342</v>
      </c>
    </row>
    <row r="1946" spans="1:16" outlineLevel="2" x14ac:dyDescent="0.3">
      <c r="A1946" s="105" t="s">
        <v>8343</v>
      </c>
      <c r="B1946" s="106"/>
      <c r="C1946" s="106"/>
      <c r="D1946" s="106"/>
      <c r="E1946" s="106" t="s">
        <v>8344</v>
      </c>
      <c r="F1946" s="106" t="s">
        <v>8235</v>
      </c>
      <c r="G1946" s="105">
        <v>4</v>
      </c>
      <c r="H1946" s="106" t="s">
        <v>7</v>
      </c>
      <c r="I1946" s="105" t="s">
        <v>39</v>
      </c>
      <c r="J1946" s="105"/>
      <c r="K1946" s="105"/>
      <c r="L1946" s="105"/>
      <c r="M1946" s="106"/>
      <c r="N1946" s="106" t="s">
        <v>40</v>
      </c>
      <c r="O1946" s="107"/>
      <c r="P1946" s="106" t="s">
        <v>8345</v>
      </c>
    </row>
    <row r="1947" spans="1:16" outlineLevel="2" x14ac:dyDescent="0.3">
      <c r="A1947" s="105" t="s">
        <v>8346</v>
      </c>
      <c r="B1947" s="106"/>
      <c r="C1947" s="106"/>
      <c r="D1947" s="106"/>
      <c r="E1947" s="106" t="s">
        <v>8347</v>
      </c>
      <c r="F1947" s="106" t="s">
        <v>8348</v>
      </c>
      <c r="G1947" s="105">
        <v>4</v>
      </c>
      <c r="H1947" s="106" t="s">
        <v>7</v>
      </c>
      <c r="I1947" s="105" t="s">
        <v>39</v>
      </c>
      <c r="J1947" s="105"/>
      <c r="K1947" s="105"/>
      <c r="L1947" s="105"/>
      <c r="M1947" s="106"/>
      <c r="N1947" s="106" t="s">
        <v>40</v>
      </c>
      <c r="O1947" s="107"/>
      <c r="P1947" s="106" t="s">
        <v>8349</v>
      </c>
    </row>
    <row r="1948" spans="1:16" outlineLevel="2" x14ac:dyDescent="0.3">
      <c r="A1948" s="105" t="s">
        <v>8350</v>
      </c>
      <c r="B1948" s="106"/>
      <c r="C1948" s="106"/>
      <c r="D1948" s="106"/>
      <c r="E1948" s="106" t="s">
        <v>8351</v>
      </c>
      <c r="F1948" s="106" t="s">
        <v>8352</v>
      </c>
      <c r="G1948" s="105">
        <v>4</v>
      </c>
      <c r="H1948" s="106" t="s">
        <v>7</v>
      </c>
      <c r="I1948" s="105" t="s">
        <v>39</v>
      </c>
      <c r="J1948" s="105"/>
      <c r="K1948" s="105"/>
      <c r="L1948" s="105"/>
      <c r="M1948" s="106"/>
      <c r="N1948" s="106" t="s">
        <v>40</v>
      </c>
      <c r="O1948" s="107"/>
      <c r="P1948" s="106" t="s">
        <v>8353</v>
      </c>
    </row>
    <row r="1949" spans="1:16" outlineLevel="2" x14ac:dyDescent="0.3">
      <c r="A1949" s="105" t="s">
        <v>8354</v>
      </c>
      <c r="B1949" s="106"/>
      <c r="C1949" s="106"/>
      <c r="D1949" s="106"/>
      <c r="E1949" s="106" t="s">
        <v>8355</v>
      </c>
      <c r="F1949" s="106" t="s">
        <v>8356</v>
      </c>
      <c r="G1949" s="105">
        <v>4</v>
      </c>
      <c r="H1949" s="106" t="s">
        <v>7</v>
      </c>
      <c r="I1949" s="105" t="s">
        <v>39</v>
      </c>
      <c r="J1949" s="105"/>
      <c r="K1949" s="105"/>
      <c r="L1949" s="105"/>
      <c r="M1949" s="106"/>
      <c r="N1949" s="106" t="s">
        <v>40</v>
      </c>
      <c r="O1949" s="107"/>
      <c r="P1949" s="106" t="s">
        <v>8357</v>
      </c>
    </row>
    <row r="1950" spans="1:16" outlineLevel="2" x14ac:dyDescent="0.3">
      <c r="A1950" s="105" t="s">
        <v>8358</v>
      </c>
      <c r="B1950" s="106"/>
      <c r="C1950" s="106"/>
      <c r="D1950" s="106"/>
      <c r="E1950" s="106" t="s">
        <v>8359</v>
      </c>
      <c r="F1950" s="106" t="s">
        <v>8360</v>
      </c>
      <c r="G1950" s="105">
        <v>4</v>
      </c>
      <c r="H1950" s="106" t="s">
        <v>7</v>
      </c>
      <c r="I1950" s="105" t="s">
        <v>39</v>
      </c>
      <c r="J1950" s="105"/>
      <c r="K1950" s="105"/>
      <c r="L1950" s="105"/>
      <c r="M1950" s="106"/>
      <c r="N1950" s="106" t="s">
        <v>40</v>
      </c>
      <c r="O1950" s="107"/>
      <c r="P1950" s="106" t="s">
        <v>8361</v>
      </c>
    </row>
    <row r="1951" spans="1:16" outlineLevel="2" x14ac:dyDescent="0.3">
      <c r="A1951" s="105" t="s">
        <v>8362</v>
      </c>
      <c r="B1951" s="106"/>
      <c r="C1951" s="106"/>
      <c r="D1951" s="106"/>
      <c r="E1951" s="106" t="s">
        <v>8363</v>
      </c>
      <c r="F1951" s="106" t="s">
        <v>8364</v>
      </c>
      <c r="G1951" s="105">
        <v>4</v>
      </c>
      <c r="H1951" s="106" t="s">
        <v>7</v>
      </c>
      <c r="I1951" s="105" t="s">
        <v>39</v>
      </c>
      <c r="J1951" s="105"/>
      <c r="K1951" s="105"/>
      <c r="L1951" s="105"/>
      <c r="M1951" s="106"/>
      <c r="N1951" s="106" t="s">
        <v>40</v>
      </c>
      <c r="O1951" s="107"/>
      <c r="P1951" s="106" t="s">
        <v>8365</v>
      </c>
    </row>
    <row r="1952" spans="1:16" outlineLevel="2" x14ac:dyDescent="0.3">
      <c r="A1952" s="105" t="s">
        <v>8366</v>
      </c>
      <c r="B1952" s="106"/>
      <c r="C1952" s="106"/>
      <c r="D1952" s="106"/>
      <c r="E1952" s="106" t="s">
        <v>8367</v>
      </c>
      <c r="F1952" s="106" t="s">
        <v>8364</v>
      </c>
      <c r="G1952" s="105">
        <v>4</v>
      </c>
      <c r="H1952" s="106" t="s">
        <v>7</v>
      </c>
      <c r="I1952" s="105" t="s">
        <v>39</v>
      </c>
      <c r="J1952" s="105"/>
      <c r="K1952" s="105"/>
      <c r="L1952" s="105"/>
      <c r="M1952" s="106"/>
      <c r="N1952" s="106" t="s">
        <v>40</v>
      </c>
      <c r="O1952" s="107"/>
      <c r="P1952" s="106" t="s">
        <v>8368</v>
      </c>
    </row>
    <row r="1953" spans="1:16" outlineLevel="2" x14ac:dyDescent="0.3">
      <c r="A1953" s="105" t="s">
        <v>8369</v>
      </c>
      <c r="B1953" s="106"/>
      <c r="C1953" s="106"/>
      <c r="D1953" s="106"/>
      <c r="E1953" s="106" t="s">
        <v>8370</v>
      </c>
      <c r="F1953" s="106" t="s">
        <v>8371</v>
      </c>
      <c r="G1953" s="105">
        <v>4</v>
      </c>
      <c r="H1953" s="106" t="s">
        <v>7</v>
      </c>
      <c r="I1953" s="105" t="s">
        <v>39</v>
      </c>
      <c r="J1953" s="105"/>
      <c r="K1953" s="105"/>
      <c r="L1953" s="105"/>
      <c r="M1953" s="106"/>
      <c r="N1953" s="106" t="s">
        <v>287</v>
      </c>
      <c r="O1953" s="107"/>
      <c r="P1953" s="106"/>
    </row>
    <row r="1954" spans="1:16" outlineLevel="2" x14ac:dyDescent="0.3">
      <c r="A1954" s="105" t="s">
        <v>8372</v>
      </c>
      <c r="B1954" s="106"/>
      <c r="C1954" s="106"/>
      <c r="D1954" s="106"/>
      <c r="E1954" s="106" t="s">
        <v>8373</v>
      </c>
      <c r="F1954" s="106" t="s">
        <v>8374</v>
      </c>
      <c r="G1954" s="105">
        <v>4</v>
      </c>
      <c r="H1954" s="106" t="s">
        <v>7</v>
      </c>
      <c r="I1954" s="105" t="s">
        <v>39</v>
      </c>
      <c r="J1954" s="105"/>
      <c r="K1954" s="105"/>
      <c r="L1954" s="105"/>
      <c r="M1954" s="106"/>
      <c r="N1954" s="106" t="s">
        <v>40</v>
      </c>
      <c r="O1954" s="107"/>
      <c r="P1954" s="106" t="s">
        <v>8375</v>
      </c>
    </row>
    <row r="1955" spans="1:16" outlineLevel="2" x14ac:dyDescent="0.3">
      <c r="A1955" s="105" t="s">
        <v>8376</v>
      </c>
      <c r="B1955" s="106"/>
      <c r="C1955" s="106"/>
      <c r="D1955" s="106"/>
      <c r="E1955" s="106" t="s">
        <v>5963</v>
      </c>
      <c r="F1955" s="106" t="s">
        <v>8377</v>
      </c>
      <c r="G1955" s="105">
        <v>4</v>
      </c>
      <c r="H1955" s="106" t="s">
        <v>7</v>
      </c>
      <c r="I1955" s="105" t="s">
        <v>39</v>
      </c>
      <c r="J1955" s="105"/>
      <c r="K1955" s="105"/>
      <c r="L1955" s="105"/>
      <c r="M1955" s="106"/>
      <c r="N1955" s="106" t="s">
        <v>40</v>
      </c>
      <c r="O1955" s="107"/>
      <c r="P1955" s="106" t="s">
        <v>8378</v>
      </c>
    </row>
    <row r="1956" spans="1:16" outlineLevel="2" x14ac:dyDescent="0.3">
      <c r="A1956" s="105" t="s">
        <v>8379</v>
      </c>
      <c r="B1956" s="106"/>
      <c r="C1956" s="106"/>
      <c r="D1956" s="106"/>
      <c r="E1956" s="106" t="s">
        <v>8380</v>
      </c>
      <c r="F1956" s="106" t="s">
        <v>8381</v>
      </c>
      <c r="G1956" s="105">
        <v>4</v>
      </c>
      <c r="H1956" s="106" t="s">
        <v>7</v>
      </c>
      <c r="I1956" s="105" t="s">
        <v>39</v>
      </c>
      <c r="J1956" s="105"/>
      <c r="K1956" s="105"/>
      <c r="L1956" s="105"/>
      <c r="M1956" s="106"/>
      <c r="N1956" s="106" t="s">
        <v>40</v>
      </c>
      <c r="O1956" s="107"/>
      <c r="P1956" s="106" t="s">
        <v>8382</v>
      </c>
    </row>
    <row r="1957" spans="1:16" outlineLevel="2" x14ac:dyDescent="0.3">
      <c r="A1957" s="105" t="s">
        <v>8383</v>
      </c>
      <c r="B1957" s="106"/>
      <c r="C1957" s="106"/>
      <c r="D1957" s="106"/>
      <c r="E1957" s="106" t="s">
        <v>8384</v>
      </c>
      <c r="F1957" s="106" t="s">
        <v>8385</v>
      </c>
      <c r="G1957" s="105">
        <v>4</v>
      </c>
      <c r="H1957" s="106" t="s">
        <v>7</v>
      </c>
      <c r="I1957" s="105" t="s">
        <v>39</v>
      </c>
      <c r="J1957" s="105"/>
      <c r="K1957" s="105"/>
      <c r="L1957" s="105"/>
      <c r="M1957" s="106"/>
      <c r="N1957" s="106" t="s">
        <v>40</v>
      </c>
      <c r="O1957" s="107"/>
      <c r="P1957" s="106" t="s">
        <v>8386</v>
      </c>
    </row>
    <row r="1958" spans="1:16" outlineLevel="2" x14ac:dyDescent="0.3">
      <c r="A1958" s="105" t="s">
        <v>8387</v>
      </c>
      <c r="B1958" s="106"/>
      <c r="C1958" s="106"/>
      <c r="D1958" s="106"/>
      <c r="E1958" s="106" t="s">
        <v>8388</v>
      </c>
      <c r="F1958" s="106" t="s">
        <v>8389</v>
      </c>
      <c r="G1958" s="105">
        <v>4</v>
      </c>
      <c r="H1958" s="106" t="s">
        <v>7</v>
      </c>
      <c r="I1958" s="105" t="s">
        <v>39</v>
      </c>
      <c r="J1958" s="105"/>
      <c r="K1958" s="105"/>
      <c r="L1958" s="105"/>
      <c r="M1958" s="106"/>
      <c r="N1958" s="106" t="s">
        <v>40</v>
      </c>
      <c r="O1958" s="107"/>
      <c r="P1958" s="106" t="s">
        <v>8390</v>
      </c>
    </row>
    <row r="1959" spans="1:16" outlineLevel="2" x14ac:dyDescent="0.3">
      <c r="A1959" s="105" t="s">
        <v>8391</v>
      </c>
      <c r="B1959" s="106"/>
      <c r="C1959" s="106"/>
      <c r="D1959" s="106"/>
      <c r="E1959" s="106" t="s">
        <v>8392</v>
      </c>
      <c r="F1959" s="106" t="s">
        <v>8393</v>
      </c>
      <c r="G1959" s="105">
        <v>4</v>
      </c>
      <c r="H1959" s="106" t="s">
        <v>7</v>
      </c>
      <c r="I1959" s="105" t="s">
        <v>39</v>
      </c>
      <c r="J1959" s="105"/>
      <c r="K1959" s="105"/>
      <c r="L1959" s="105"/>
      <c r="M1959" s="106"/>
      <c r="N1959" s="106" t="s">
        <v>40</v>
      </c>
      <c r="O1959" s="107"/>
      <c r="P1959" s="106" t="s">
        <v>8394</v>
      </c>
    </row>
    <row r="1960" spans="1:16" outlineLevel="2" x14ac:dyDescent="0.3">
      <c r="A1960" s="105" t="s">
        <v>8395</v>
      </c>
      <c r="B1960" s="106"/>
      <c r="C1960" s="106"/>
      <c r="D1960" s="106"/>
      <c r="E1960" s="106" t="s">
        <v>8396</v>
      </c>
      <c r="F1960" s="106" t="s">
        <v>8397</v>
      </c>
      <c r="G1960" s="105">
        <v>4</v>
      </c>
      <c r="H1960" s="106" t="s">
        <v>7</v>
      </c>
      <c r="I1960" s="105" t="s">
        <v>39</v>
      </c>
      <c r="J1960" s="105"/>
      <c r="K1960" s="105"/>
      <c r="L1960" s="105"/>
      <c r="M1960" s="106"/>
      <c r="N1960" s="106" t="s">
        <v>40</v>
      </c>
      <c r="O1960" s="107"/>
      <c r="P1960" s="106" t="s">
        <v>8398</v>
      </c>
    </row>
    <row r="1961" spans="1:16" outlineLevel="2" x14ac:dyDescent="0.3">
      <c r="A1961" s="105" t="s">
        <v>8399</v>
      </c>
      <c r="B1961" s="106"/>
      <c r="C1961" s="106"/>
      <c r="D1961" s="106"/>
      <c r="E1961" s="106" t="s">
        <v>8400</v>
      </c>
      <c r="F1961" s="106" t="s">
        <v>8401</v>
      </c>
      <c r="G1961" s="105">
        <v>4</v>
      </c>
      <c r="H1961" s="106" t="s">
        <v>7</v>
      </c>
      <c r="I1961" s="105" t="s">
        <v>39</v>
      </c>
      <c r="J1961" s="105"/>
      <c r="K1961" s="105"/>
      <c r="L1961" s="105"/>
      <c r="M1961" s="106" t="s">
        <v>8402</v>
      </c>
      <c r="N1961" s="106" t="s">
        <v>40</v>
      </c>
      <c r="O1961" s="107" t="s">
        <v>332</v>
      </c>
      <c r="P1961" s="106" t="s">
        <v>8403</v>
      </c>
    </row>
    <row r="1962" spans="1:16" outlineLevel="2" x14ac:dyDescent="0.3">
      <c r="A1962" s="105" t="s">
        <v>8404</v>
      </c>
      <c r="B1962" s="106"/>
      <c r="C1962" s="106"/>
      <c r="D1962" s="106"/>
      <c r="E1962" s="106" t="s">
        <v>8405</v>
      </c>
      <c r="F1962" s="106" t="s">
        <v>4004</v>
      </c>
      <c r="G1962" s="105">
        <v>4</v>
      </c>
      <c r="H1962" s="106" t="s">
        <v>7</v>
      </c>
      <c r="I1962" s="105" t="s">
        <v>39</v>
      </c>
      <c r="J1962" s="105"/>
      <c r="K1962" s="105"/>
      <c r="L1962" s="105"/>
      <c r="M1962" s="106"/>
      <c r="N1962" s="106" t="s">
        <v>40</v>
      </c>
      <c r="O1962" s="107"/>
      <c r="P1962" s="106" t="s">
        <v>8406</v>
      </c>
    </row>
    <row r="1963" spans="1:16" outlineLevel="2" x14ac:dyDescent="0.3">
      <c r="A1963" s="105" t="s">
        <v>8407</v>
      </c>
      <c r="B1963" s="106"/>
      <c r="C1963" s="106"/>
      <c r="D1963" s="106"/>
      <c r="E1963" s="106" t="s">
        <v>8408</v>
      </c>
      <c r="F1963" s="106" t="s">
        <v>8409</v>
      </c>
      <c r="G1963" s="105">
        <v>4</v>
      </c>
      <c r="H1963" s="106" t="s">
        <v>7</v>
      </c>
      <c r="I1963" s="105" t="s">
        <v>39</v>
      </c>
      <c r="J1963" s="105"/>
      <c r="K1963" s="105"/>
      <c r="L1963" s="105"/>
      <c r="M1963" s="106"/>
      <c r="N1963" s="106" t="s">
        <v>40</v>
      </c>
      <c r="O1963" s="107"/>
      <c r="P1963" s="106" t="s">
        <v>8410</v>
      </c>
    </row>
    <row r="1964" spans="1:16" outlineLevel="2" x14ac:dyDescent="0.3">
      <c r="A1964" s="105" t="s">
        <v>8411</v>
      </c>
      <c r="B1964" s="106"/>
      <c r="C1964" s="106"/>
      <c r="D1964" s="106"/>
      <c r="E1964" s="106" t="s">
        <v>8412</v>
      </c>
      <c r="F1964" s="106" t="s">
        <v>8413</v>
      </c>
      <c r="G1964" s="105">
        <v>4</v>
      </c>
      <c r="H1964" s="106" t="s">
        <v>7</v>
      </c>
      <c r="I1964" s="105" t="s">
        <v>39</v>
      </c>
      <c r="J1964" s="105"/>
      <c r="K1964" s="105"/>
      <c r="L1964" s="105"/>
      <c r="M1964" s="106"/>
      <c r="N1964" s="106" t="s">
        <v>40</v>
      </c>
      <c r="O1964" s="107"/>
      <c r="P1964" s="106" t="s">
        <v>8414</v>
      </c>
    </row>
    <row r="1965" spans="1:16" outlineLevel="2" x14ac:dyDescent="0.3">
      <c r="A1965" s="105" t="s">
        <v>8415</v>
      </c>
      <c r="B1965" s="106"/>
      <c r="C1965" s="106"/>
      <c r="D1965" s="106"/>
      <c r="E1965" s="106" t="s">
        <v>8416</v>
      </c>
      <c r="F1965" s="106" t="s">
        <v>8417</v>
      </c>
      <c r="G1965" s="105">
        <v>4</v>
      </c>
      <c r="H1965" s="106" t="s">
        <v>7</v>
      </c>
      <c r="I1965" s="105" t="s">
        <v>39</v>
      </c>
      <c r="J1965" s="105"/>
      <c r="K1965" s="105"/>
      <c r="L1965" s="105"/>
      <c r="M1965" s="106"/>
      <c r="N1965" s="106" t="s">
        <v>223</v>
      </c>
      <c r="O1965" s="107"/>
      <c r="P1965" s="106" t="s">
        <v>8418</v>
      </c>
    </row>
    <row r="1966" spans="1:16" outlineLevel="2" x14ac:dyDescent="0.3">
      <c r="A1966" s="105" t="s">
        <v>8419</v>
      </c>
      <c r="B1966" s="106"/>
      <c r="C1966" s="106"/>
      <c r="D1966" s="106"/>
      <c r="E1966" s="106" t="s">
        <v>8420</v>
      </c>
      <c r="F1966" s="106" t="s">
        <v>8421</v>
      </c>
      <c r="G1966" s="105">
        <v>4</v>
      </c>
      <c r="H1966" s="106" t="s">
        <v>7</v>
      </c>
      <c r="I1966" s="105" t="s">
        <v>39</v>
      </c>
      <c r="J1966" s="105"/>
      <c r="K1966" s="105"/>
      <c r="L1966" s="105"/>
      <c r="M1966" s="106"/>
      <c r="N1966" s="106" t="s">
        <v>40</v>
      </c>
      <c r="O1966" s="107"/>
      <c r="P1966" s="106" t="s">
        <v>8422</v>
      </c>
    </row>
    <row r="1967" spans="1:16" outlineLevel="2" x14ac:dyDescent="0.3">
      <c r="A1967" s="105" t="s">
        <v>8423</v>
      </c>
      <c r="B1967" s="106"/>
      <c r="C1967" s="106"/>
      <c r="D1967" s="106"/>
      <c r="E1967" s="106" t="s">
        <v>8424</v>
      </c>
      <c r="F1967" s="106" t="s">
        <v>8425</v>
      </c>
      <c r="G1967" s="105">
        <v>4</v>
      </c>
      <c r="H1967" s="106" t="s">
        <v>7</v>
      </c>
      <c r="I1967" s="105" t="s">
        <v>39</v>
      </c>
      <c r="J1967" s="105"/>
      <c r="K1967" s="105"/>
      <c r="L1967" s="105"/>
      <c r="M1967" s="106"/>
      <c r="N1967" s="106" t="s">
        <v>40</v>
      </c>
      <c r="O1967" s="107"/>
      <c r="P1967" s="106" t="s">
        <v>8426</v>
      </c>
    </row>
    <row r="1968" spans="1:16" outlineLevel="2" x14ac:dyDescent="0.3">
      <c r="A1968" s="105" t="s">
        <v>8427</v>
      </c>
      <c r="B1968" s="106"/>
      <c r="C1968" s="106"/>
      <c r="D1968" s="106"/>
      <c r="E1968" s="106" t="s">
        <v>8428</v>
      </c>
      <c r="F1968" s="106" t="s">
        <v>8429</v>
      </c>
      <c r="G1968" s="105">
        <v>4</v>
      </c>
      <c r="H1968" s="106" t="s">
        <v>7</v>
      </c>
      <c r="I1968" s="105" t="s">
        <v>39</v>
      </c>
      <c r="J1968" s="105"/>
      <c r="K1968" s="105"/>
      <c r="L1968" s="105"/>
      <c r="M1968" s="106"/>
      <c r="N1968" s="106" t="s">
        <v>40</v>
      </c>
      <c r="O1968" s="107"/>
      <c r="P1968" s="106" t="s">
        <v>8430</v>
      </c>
    </row>
    <row r="1969" spans="1:16" outlineLevel="2" x14ac:dyDescent="0.3">
      <c r="A1969" s="105" t="s">
        <v>8431</v>
      </c>
      <c r="B1969" s="106"/>
      <c r="C1969" s="106"/>
      <c r="D1969" s="106"/>
      <c r="E1969" s="106" t="s">
        <v>8432</v>
      </c>
      <c r="F1969" s="106" t="s">
        <v>8433</v>
      </c>
      <c r="G1969" s="105">
        <v>4</v>
      </c>
      <c r="H1969" s="106" t="s">
        <v>7</v>
      </c>
      <c r="I1969" s="105" t="s">
        <v>39</v>
      </c>
      <c r="J1969" s="105"/>
      <c r="K1969" s="105"/>
      <c r="L1969" s="105"/>
      <c r="M1969" s="106"/>
      <c r="N1969" s="106" t="s">
        <v>40</v>
      </c>
      <c r="O1969" s="107"/>
      <c r="P1969" s="106" t="s">
        <v>8434</v>
      </c>
    </row>
    <row r="1970" spans="1:16" outlineLevel="2" x14ac:dyDescent="0.3">
      <c r="A1970" s="105" t="s">
        <v>8435</v>
      </c>
      <c r="B1970" s="106"/>
      <c r="C1970" s="106"/>
      <c r="D1970" s="106"/>
      <c r="E1970" s="106" t="s">
        <v>8436</v>
      </c>
      <c r="F1970" s="106" t="s">
        <v>8437</v>
      </c>
      <c r="G1970" s="105">
        <v>4</v>
      </c>
      <c r="H1970" s="106" t="s">
        <v>7</v>
      </c>
      <c r="I1970" s="105" t="s">
        <v>39</v>
      </c>
      <c r="J1970" s="105"/>
      <c r="K1970" s="105"/>
      <c r="L1970" s="105"/>
      <c r="M1970" s="106"/>
      <c r="N1970" s="106" t="s">
        <v>40</v>
      </c>
      <c r="O1970" s="107"/>
      <c r="P1970" s="106" t="s">
        <v>8438</v>
      </c>
    </row>
    <row r="1971" spans="1:16" outlineLevel="2" x14ac:dyDescent="0.3">
      <c r="A1971" s="105" t="s">
        <v>8439</v>
      </c>
      <c r="B1971" s="106"/>
      <c r="C1971" s="106"/>
      <c r="D1971" s="106"/>
      <c r="E1971" s="106" t="s">
        <v>8440</v>
      </c>
      <c r="F1971" s="106" t="s">
        <v>8441</v>
      </c>
      <c r="G1971" s="105">
        <v>4</v>
      </c>
      <c r="H1971" s="106" t="s">
        <v>7</v>
      </c>
      <c r="I1971" s="105" t="s">
        <v>39</v>
      </c>
      <c r="J1971" s="105"/>
      <c r="K1971" s="105"/>
      <c r="L1971" s="105"/>
      <c r="M1971" s="106"/>
      <c r="N1971" s="106" t="s">
        <v>287</v>
      </c>
      <c r="O1971" s="107"/>
      <c r="P1971" s="106"/>
    </row>
    <row r="1972" spans="1:16" outlineLevel="2" x14ac:dyDescent="0.3">
      <c r="A1972" s="105" t="s">
        <v>8442</v>
      </c>
      <c r="B1972" s="106"/>
      <c r="C1972" s="106"/>
      <c r="D1972" s="106"/>
      <c r="E1972" s="106" t="s">
        <v>8443</v>
      </c>
      <c r="F1972" s="106" t="s">
        <v>8444</v>
      </c>
      <c r="G1972" s="105">
        <v>4</v>
      </c>
      <c r="H1972" s="106" t="s">
        <v>7</v>
      </c>
      <c r="I1972" s="105" t="s">
        <v>39</v>
      </c>
      <c r="J1972" s="105"/>
      <c r="K1972" s="105"/>
      <c r="L1972" s="105"/>
      <c r="M1972" s="106"/>
      <c r="N1972" s="106" t="s">
        <v>223</v>
      </c>
      <c r="O1972" s="107"/>
      <c r="P1972" s="106" t="s">
        <v>8445</v>
      </c>
    </row>
    <row r="1973" spans="1:16" outlineLevel="2" x14ac:dyDescent="0.3">
      <c r="A1973" s="105" t="s">
        <v>8446</v>
      </c>
      <c r="B1973" s="106"/>
      <c r="C1973" s="106"/>
      <c r="D1973" s="106"/>
      <c r="E1973" s="106" t="s">
        <v>8447</v>
      </c>
      <c r="F1973" s="106" t="s">
        <v>8448</v>
      </c>
      <c r="G1973" s="105">
        <v>4</v>
      </c>
      <c r="H1973" s="106" t="s">
        <v>7</v>
      </c>
      <c r="I1973" s="105" t="s">
        <v>39</v>
      </c>
      <c r="J1973" s="105"/>
      <c r="K1973" s="105"/>
      <c r="L1973" s="105"/>
      <c r="M1973" s="106"/>
      <c r="N1973" s="106" t="s">
        <v>287</v>
      </c>
      <c r="O1973" s="107"/>
      <c r="P1973" s="106"/>
    </row>
    <row r="1974" spans="1:16" outlineLevel="2" x14ac:dyDescent="0.3">
      <c r="A1974" s="105" t="s">
        <v>8449</v>
      </c>
      <c r="B1974" s="106"/>
      <c r="C1974" s="106"/>
      <c r="D1974" s="106"/>
      <c r="E1974" s="106" t="s">
        <v>8447</v>
      </c>
      <c r="F1974" s="106" t="s">
        <v>8450</v>
      </c>
      <c r="G1974" s="105">
        <v>4</v>
      </c>
      <c r="H1974" s="106" t="s">
        <v>7</v>
      </c>
      <c r="I1974" s="105" t="s">
        <v>39</v>
      </c>
      <c r="J1974" s="105"/>
      <c r="K1974" s="105"/>
      <c r="L1974" s="105"/>
      <c r="M1974" s="106"/>
      <c r="N1974" s="106" t="s">
        <v>287</v>
      </c>
      <c r="O1974" s="107"/>
      <c r="P1974" s="106"/>
    </row>
    <row r="1975" spans="1:16" outlineLevel="2" x14ac:dyDescent="0.3">
      <c r="A1975" s="105" t="s">
        <v>8451</v>
      </c>
      <c r="B1975" s="106"/>
      <c r="C1975" s="106"/>
      <c r="D1975" s="106"/>
      <c r="E1975" s="106" t="s">
        <v>8452</v>
      </c>
      <c r="F1975" s="106" t="s">
        <v>8453</v>
      </c>
      <c r="G1975" s="105">
        <v>4</v>
      </c>
      <c r="H1975" s="106" t="s">
        <v>7</v>
      </c>
      <c r="I1975" s="105" t="s">
        <v>39</v>
      </c>
      <c r="J1975" s="105"/>
      <c r="K1975" s="105"/>
      <c r="L1975" s="105"/>
      <c r="M1975" s="106"/>
      <c r="N1975" s="106" t="s">
        <v>287</v>
      </c>
      <c r="O1975" s="107"/>
      <c r="P1975" s="106"/>
    </row>
    <row r="1976" spans="1:16" outlineLevel="2" x14ac:dyDescent="0.3">
      <c r="A1976" s="105" t="s">
        <v>8454</v>
      </c>
      <c r="B1976" s="106"/>
      <c r="C1976" s="106"/>
      <c r="D1976" s="106"/>
      <c r="E1976" s="106" t="s">
        <v>8455</v>
      </c>
      <c r="F1976" s="106" t="s">
        <v>8456</v>
      </c>
      <c r="G1976" s="105">
        <v>4</v>
      </c>
      <c r="H1976" s="106" t="s">
        <v>7</v>
      </c>
      <c r="I1976" s="105" t="s">
        <v>39</v>
      </c>
      <c r="J1976" s="105"/>
      <c r="K1976" s="105"/>
      <c r="L1976" s="105"/>
      <c r="M1976" s="106"/>
      <c r="N1976" s="106" t="s">
        <v>40</v>
      </c>
      <c r="O1976" s="107"/>
      <c r="P1976" s="106" t="s">
        <v>8457</v>
      </c>
    </row>
    <row r="1977" spans="1:16" outlineLevel="2" x14ac:dyDescent="0.3">
      <c r="A1977" s="105" t="s">
        <v>8458</v>
      </c>
      <c r="B1977" s="106"/>
      <c r="C1977" s="106"/>
      <c r="D1977" s="106"/>
      <c r="E1977" s="106" t="s">
        <v>8459</v>
      </c>
      <c r="F1977" s="106" t="s">
        <v>8460</v>
      </c>
      <c r="G1977" s="105">
        <v>4</v>
      </c>
      <c r="H1977" s="106" t="s">
        <v>7</v>
      </c>
      <c r="I1977" s="105" t="s">
        <v>39</v>
      </c>
      <c r="J1977" s="105"/>
      <c r="K1977" s="105"/>
      <c r="L1977" s="105"/>
      <c r="M1977" s="106"/>
      <c r="N1977" s="106" t="s">
        <v>287</v>
      </c>
      <c r="O1977" s="107"/>
      <c r="P1977" s="106"/>
    </row>
    <row r="1978" spans="1:16" outlineLevel="2" x14ac:dyDescent="0.3">
      <c r="A1978" s="105" t="s">
        <v>8461</v>
      </c>
      <c r="B1978" s="106"/>
      <c r="C1978" s="106"/>
      <c r="D1978" s="106"/>
      <c r="E1978" s="106" t="s">
        <v>8462</v>
      </c>
      <c r="F1978" s="106" t="s">
        <v>8463</v>
      </c>
      <c r="G1978" s="105">
        <v>4</v>
      </c>
      <c r="H1978" s="106" t="s">
        <v>7</v>
      </c>
      <c r="I1978" s="105" t="s">
        <v>39</v>
      </c>
      <c r="J1978" s="105"/>
      <c r="K1978" s="105"/>
      <c r="L1978" s="105"/>
      <c r="M1978" s="106"/>
      <c r="N1978" s="106" t="s">
        <v>287</v>
      </c>
      <c r="O1978" s="107"/>
      <c r="P1978" s="106"/>
    </row>
    <row r="1979" spans="1:16" outlineLevel="2" x14ac:dyDescent="0.3">
      <c r="A1979" s="105" t="s">
        <v>8464</v>
      </c>
      <c r="B1979" s="106"/>
      <c r="C1979" s="106"/>
      <c r="D1979" s="106"/>
      <c r="E1979" s="106" t="s">
        <v>8465</v>
      </c>
      <c r="F1979" s="106" t="s">
        <v>8466</v>
      </c>
      <c r="G1979" s="105">
        <v>4</v>
      </c>
      <c r="H1979" s="106" t="s">
        <v>7</v>
      </c>
      <c r="I1979" s="105" t="s">
        <v>39</v>
      </c>
      <c r="J1979" s="105"/>
      <c r="K1979" s="105"/>
      <c r="L1979" s="105"/>
      <c r="M1979" s="106"/>
      <c r="N1979" s="106" t="s">
        <v>40</v>
      </c>
      <c r="O1979" s="107"/>
      <c r="P1979" s="106" t="s">
        <v>8467</v>
      </c>
    </row>
    <row r="1980" spans="1:16" outlineLevel="2" x14ac:dyDescent="0.3">
      <c r="A1980" s="105" t="s">
        <v>8468</v>
      </c>
      <c r="B1980" s="106"/>
      <c r="C1980" s="106"/>
      <c r="D1980" s="106"/>
      <c r="E1980" s="106" t="s">
        <v>8469</v>
      </c>
      <c r="F1980" s="106" t="s">
        <v>8470</v>
      </c>
      <c r="G1980" s="105">
        <v>4</v>
      </c>
      <c r="H1980" s="106" t="s">
        <v>7</v>
      </c>
      <c r="I1980" s="105" t="s">
        <v>39</v>
      </c>
      <c r="J1980" s="105"/>
      <c r="K1980" s="105"/>
      <c r="L1980" s="105"/>
      <c r="M1980" s="106"/>
      <c r="N1980" s="106" t="s">
        <v>287</v>
      </c>
      <c r="O1980" s="107"/>
      <c r="P1980" s="106"/>
    </row>
    <row r="1981" spans="1:16" outlineLevel="2" x14ac:dyDescent="0.3">
      <c r="A1981" s="105" t="s">
        <v>8471</v>
      </c>
      <c r="B1981" s="106"/>
      <c r="C1981" s="106"/>
      <c r="D1981" s="106"/>
      <c r="E1981" s="106" t="s">
        <v>8472</v>
      </c>
      <c r="F1981" s="106" t="s">
        <v>8473</v>
      </c>
      <c r="G1981" s="105">
        <v>4</v>
      </c>
      <c r="H1981" s="106" t="s">
        <v>7</v>
      </c>
      <c r="I1981" s="105" t="s">
        <v>39</v>
      </c>
      <c r="J1981" s="105"/>
      <c r="K1981" s="105"/>
      <c r="L1981" s="105"/>
      <c r="M1981" s="106" t="s">
        <v>8474</v>
      </c>
      <c r="N1981" s="106" t="s">
        <v>287</v>
      </c>
      <c r="O1981" s="107"/>
      <c r="P1981" s="106"/>
    </row>
    <row r="1982" spans="1:16" outlineLevel="2" x14ac:dyDescent="0.3">
      <c r="A1982" s="105" t="s">
        <v>8475</v>
      </c>
      <c r="B1982" s="106"/>
      <c r="C1982" s="106"/>
      <c r="D1982" s="106"/>
      <c r="E1982" s="106" t="s">
        <v>8476</v>
      </c>
      <c r="F1982" s="106" t="s">
        <v>8477</v>
      </c>
      <c r="G1982" s="105">
        <v>4</v>
      </c>
      <c r="H1982" s="106" t="s">
        <v>7</v>
      </c>
      <c r="I1982" s="105" t="s">
        <v>39</v>
      </c>
      <c r="J1982" s="105"/>
      <c r="K1982" s="105"/>
      <c r="L1982" s="105"/>
      <c r="M1982" s="106" t="s">
        <v>8478</v>
      </c>
      <c r="N1982" s="106" t="s">
        <v>223</v>
      </c>
      <c r="O1982" s="107"/>
      <c r="P1982" s="106" t="s">
        <v>8479</v>
      </c>
    </row>
    <row r="1983" spans="1:16" outlineLevel="2" x14ac:dyDescent="0.3">
      <c r="A1983" s="105" t="s">
        <v>8480</v>
      </c>
      <c r="B1983" s="106"/>
      <c r="C1983" s="106"/>
      <c r="D1983" s="106"/>
      <c r="E1983" s="106" t="s">
        <v>8481</v>
      </c>
      <c r="F1983" s="106" t="s">
        <v>8482</v>
      </c>
      <c r="G1983" s="105">
        <v>4</v>
      </c>
      <c r="H1983" s="106" t="s">
        <v>7</v>
      </c>
      <c r="I1983" s="105" t="s">
        <v>39</v>
      </c>
      <c r="J1983" s="105"/>
      <c r="K1983" s="105"/>
      <c r="L1983" s="105"/>
      <c r="M1983" s="106"/>
      <c r="N1983" s="106" t="s">
        <v>40</v>
      </c>
      <c r="O1983" s="107"/>
      <c r="P1983" s="106" t="s">
        <v>8483</v>
      </c>
    </row>
    <row r="1984" spans="1:16" outlineLevel="2" x14ac:dyDescent="0.3">
      <c r="A1984" s="105" t="s">
        <v>8484</v>
      </c>
      <c r="B1984" s="106"/>
      <c r="C1984" s="106"/>
      <c r="D1984" s="106"/>
      <c r="E1984" s="106" t="s">
        <v>8485</v>
      </c>
      <c r="F1984" s="106" t="s">
        <v>8486</v>
      </c>
      <c r="G1984" s="105">
        <v>4</v>
      </c>
      <c r="H1984" s="106" t="s">
        <v>7</v>
      </c>
      <c r="I1984" s="105" t="s">
        <v>39</v>
      </c>
      <c r="J1984" s="105"/>
      <c r="K1984" s="105"/>
      <c r="L1984" s="105"/>
      <c r="M1984" s="106" t="s">
        <v>8487</v>
      </c>
      <c r="N1984" s="106" t="s">
        <v>287</v>
      </c>
      <c r="O1984" s="107"/>
      <c r="P1984" s="106"/>
    </row>
    <row r="1985" spans="1:16" outlineLevel="2" x14ac:dyDescent="0.3">
      <c r="A1985" s="105" t="s">
        <v>8488</v>
      </c>
      <c r="B1985" s="106"/>
      <c r="C1985" s="106"/>
      <c r="D1985" s="106"/>
      <c r="E1985" s="106" t="s">
        <v>8489</v>
      </c>
      <c r="F1985" s="106" t="s">
        <v>8490</v>
      </c>
      <c r="G1985" s="105">
        <v>4</v>
      </c>
      <c r="H1985" s="106" t="s">
        <v>7</v>
      </c>
      <c r="I1985" s="105" t="s">
        <v>39</v>
      </c>
      <c r="J1985" s="105"/>
      <c r="K1985" s="105"/>
      <c r="L1985" s="105"/>
      <c r="M1985" s="106" t="s">
        <v>8487</v>
      </c>
      <c r="N1985" s="106" t="s">
        <v>287</v>
      </c>
      <c r="O1985" s="107"/>
      <c r="P1985" s="106"/>
    </row>
    <row r="1986" spans="1:16" outlineLevel="2" x14ac:dyDescent="0.3">
      <c r="A1986" s="105" t="s">
        <v>8491</v>
      </c>
      <c r="B1986" s="106"/>
      <c r="C1986" s="106"/>
      <c r="D1986" s="106"/>
      <c r="E1986" s="106" t="s">
        <v>8492</v>
      </c>
      <c r="F1986" s="106" t="s">
        <v>8493</v>
      </c>
      <c r="G1986" s="105">
        <v>4</v>
      </c>
      <c r="H1986" s="106" t="s">
        <v>7</v>
      </c>
      <c r="I1986" s="105" t="s">
        <v>39</v>
      </c>
      <c r="J1986" s="105"/>
      <c r="K1986" s="105"/>
      <c r="L1986" s="105"/>
      <c r="M1986" s="106"/>
      <c r="N1986" s="106" t="s">
        <v>287</v>
      </c>
      <c r="O1986" s="107"/>
      <c r="P1986" s="106"/>
    </row>
    <row r="1987" spans="1:16" outlineLevel="2" x14ac:dyDescent="0.3">
      <c r="A1987" s="105" t="s">
        <v>8494</v>
      </c>
      <c r="B1987" s="106"/>
      <c r="C1987" s="106"/>
      <c r="D1987" s="106"/>
      <c r="E1987" s="106" t="s">
        <v>3121</v>
      </c>
      <c r="F1987" s="106" t="s">
        <v>8495</v>
      </c>
      <c r="G1987" s="105">
        <v>4</v>
      </c>
      <c r="H1987" s="106" t="s">
        <v>7</v>
      </c>
      <c r="I1987" s="105" t="s">
        <v>39</v>
      </c>
      <c r="J1987" s="105"/>
      <c r="K1987" s="105"/>
      <c r="L1987" s="105"/>
      <c r="M1987" s="106"/>
      <c r="N1987" s="106" t="s">
        <v>40</v>
      </c>
      <c r="O1987" s="107"/>
      <c r="P1987" s="106" t="s">
        <v>8496</v>
      </c>
    </row>
    <row r="1988" spans="1:16" outlineLevel="2" x14ac:dyDescent="0.3">
      <c r="A1988" s="105" t="s">
        <v>8497</v>
      </c>
      <c r="B1988" s="106"/>
      <c r="C1988" s="106"/>
      <c r="D1988" s="106"/>
      <c r="E1988" s="106" t="s">
        <v>8498</v>
      </c>
      <c r="F1988" s="106" t="s">
        <v>8499</v>
      </c>
      <c r="G1988" s="105">
        <v>4</v>
      </c>
      <c r="H1988" s="106" t="s">
        <v>7</v>
      </c>
      <c r="I1988" s="105" t="s">
        <v>39</v>
      </c>
      <c r="J1988" s="105"/>
      <c r="K1988" s="105"/>
      <c r="L1988" s="105"/>
      <c r="M1988" s="106"/>
      <c r="N1988" s="106" t="s">
        <v>287</v>
      </c>
      <c r="O1988" s="107"/>
      <c r="P1988" s="106"/>
    </row>
    <row r="1989" spans="1:16" outlineLevel="2" x14ac:dyDescent="0.3">
      <c r="A1989" s="105" t="s">
        <v>8500</v>
      </c>
      <c r="B1989" s="106"/>
      <c r="C1989" s="106"/>
      <c r="D1989" s="106"/>
      <c r="E1989" s="106" t="s">
        <v>8501</v>
      </c>
      <c r="F1989" s="106" t="s">
        <v>8502</v>
      </c>
      <c r="G1989" s="105">
        <v>4</v>
      </c>
      <c r="H1989" s="106" t="s">
        <v>7</v>
      </c>
      <c r="I1989" s="105" t="s">
        <v>39</v>
      </c>
      <c r="J1989" s="105"/>
      <c r="K1989" s="105"/>
      <c r="L1989" s="105"/>
      <c r="M1989" s="106"/>
      <c r="N1989" s="106" t="s">
        <v>40</v>
      </c>
      <c r="O1989" s="107"/>
      <c r="P1989" s="106" t="s">
        <v>8503</v>
      </c>
    </row>
    <row r="1990" spans="1:16" outlineLevel="2" x14ac:dyDescent="0.3">
      <c r="A1990" s="105" t="s">
        <v>8504</v>
      </c>
      <c r="B1990" s="106"/>
      <c r="C1990" s="106"/>
      <c r="D1990" s="106"/>
      <c r="E1990" s="106" t="s">
        <v>8505</v>
      </c>
      <c r="F1990" s="106" t="s">
        <v>8506</v>
      </c>
      <c r="G1990" s="105">
        <v>4</v>
      </c>
      <c r="H1990" s="106" t="s">
        <v>7</v>
      </c>
      <c r="I1990" s="105" t="s">
        <v>39</v>
      </c>
      <c r="J1990" s="105"/>
      <c r="K1990" s="105"/>
      <c r="L1990" s="105"/>
      <c r="M1990" s="106"/>
      <c r="N1990" s="106" t="s">
        <v>40</v>
      </c>
      <c r="O1990" s="107"/>
      <c r="P1990" s="106" t="s">
        <v>8507</v>
      </c>
    </row>
    <row r="1991" spans="1:16" outlineLevel="2" x14ac:dyDescent="0.3">
      <c r="A1991" s="105" t="s">
        <v>8508</v>
      </c>
      <c r="B1991" s="106"/>
      <c r="C1991" s="106"/>
      <c r="D1991" s="106"/>
      <c r="E1991" s="106" t="s">
        <v>8509</v>
      </c>
      <c r="F1991" s="106" t="s">
        <v>8510</v>
      </c>
      <c r="G1991" s="105">
        <v>4</v>
      </c>
      <c r="H1991" s="106" t="s">
        <v>7</v>
      </c>
      <c r="I1991" s="105" t="s">
        <v>39</v>
      </c>
      <c r="J1991" s="105"/>
      <c r="K1991" s="105"/>
      <c r="L1991" s="105"/>
      <c r="M1991" s="106" t="s">
        <v>8511</v>
      </c>
      <c r="N1991" s="106" t="s">
        <v>223</v>
      </c>
      <c r="O1991" s="107"/>
      <c r="P1991" s="106" t="s">
        <v>8512</v>
      </c>
    </row>
    <row r="1992" spans="1:16" outlineLevel="2" x14ac:dyDescent="0.3">
      <c r="A1992" s="105" t="s">
        <v>8513</v>
      </c>
      <c r="B1992" s="106"/>
      <c r="C1992" s="106"/>
      <c r="D1992" s="106"/>
      <c r="E1992" s="106" t="s">
        <v>8514</v>
      </c>
      <c r="F1992" s="106" t="s">
        <v>8515</v>
      </c>
      <c r="G1992" s="105">
        <v>4</v>
      </c>
      <c r="H1992" s="106" t="s">
        <v>7</v>
      </c>
      <c r="I1992" s="105" t="s">
        <v>39</v>
      </c>
      <c r="J1992" s="105"/>
      <c r="K1992" s="105"/>
      <c r="L1992" s="105"/>
      <c r="M1992" s="106"/>
      <c r="N1992" s="106" t="s">
        <v>223</v>
      </c>
      <c r="O1992" s="107"/>
      <c r="P1992" s="106" t="s">
        <v>8516</v>
      </c>
    </row>
    <row r="1993" spans="1:16" outlineLevel="2" x14ac:dyDescent="0.3">
      <c r="A1993" s="105" t="s">
        <v>8517</v>
      </c>
      <c r="B1993" s="106"/>
      <c r="C1993" s="106"/>
      <c r="D1993" s="106"/>
      <c r="E1993" s="106" t="s">
        <v>8518</v>
      </c>
      <c r="F1993" s="106" t="s">
        <v>8519</v>
      </c>
      <c r="G1993" s="105">
        <v>4</v>
      </c>
      <c r="H1993" s="106" t="s">
        <v>7</v>
      </c>
      <c r="I1993" s="105" t="s">
        <v>39</v>
      </c>
      <c r="J1993" s="105"/>
      <c r="K1993" s="105"/>
      <c r="L1993" s="105"/>
      <c r="M1993" s="106"/>
      <c r="N1993" s="106" t="s">
        <v>287</v>
      </c>
      <c r="O1993" s="107"/>
      <c r="P1993" s="106"/>
    </row>
    <row r="1994" spans="1:16" outlineLevel="2" x14ac:dyDescent="0.3">
      <c r="A1994" s="105" t="s">
        <v>8520</v>
      </c>
      <c r="B1994" s="106"/>
      <c r="C1994" s="106"/>
      <c r="D1994" s="106"/>
      <c r="E1994" s="106" t="s">
        <v>8521</v>
      </c>
      <c r="F1994" s="106" t="s">
        <v>8522</v>
      </c>
      <c r="G1994" s="105">
        <v>4</v>
      </c>
      <c r="H1994" s="106" t="s">
        <v>7</v>
      </c>
      <c r="I1994" s="105" t="s">
        <v>39</v>
      </c>
      <c r="J1994" s="105"/>
      <c r="K1994" s="105"/>
      <c r="L1994" s="105"/>
      <c r="M1994" s="106"/>
      <c r="N1994" s="106" t="s">
        <v>287</v>
      </c>
      <c r="O1994" s="107"/>
      <c r="P1994" s="106"/>
    </row>
    <row r="1995" spans="1:16" outlineLevel="2" x14ac:dyDescent="0.3">
      <c r="A1995" s="105" t="s">
        <v>8523</v>
      </c>
      <c r="B1995" s="106"/>
      <c r="C1995" s="106"/>
      <c r="D1995" s="106"/>
      <c r="E1995" s="106" t="s">
        <v>8524</v>
      </c>
      <c r="F1995" s="106" t="s">
        <v>8525</v>
      </c>
      <c r="G1995" s="105">
        <v>4</v>
      </c>
      <c r="H1995" s="106" t="s">
        <v>7</v>
      </c>
      <c r="I1995" s="105" t="s">
        <v>39</v>
      </c>
      <c r="J1995" s="105"/>
      <c r="K1995" s="105"/>
      <c r="L1995" s="105"/>
      <c r="M1995" s="106"/>
      <c r="N1995" s="106" t="s">
        <v>40</v>
      </c>
      <c r="O1995" s="107"/>
      <c r="P1995" s="106" t="s">
        <v>8526</v>
      </c>
    </row>
    <row r="1996" spans="1:16" outlineLevel="2" x14ac:dyDescent="0.3">
      <c r="A1996" s="105" t="s">
        <v>8527</v>
      </c>
      <c r="B1996" s="106"/>
      <c r="C1996" s="106"/>
      <c r="D1996" s="106"/>
      <c r="E1996" s="106" t="s">
        <v>8528</v>
      </c>
      <c r="F1996" s="106" t="s">
        <v>8529</v>
      </c>
      <c r="G1996" s="105">
        <v>4</v>
      </c>
      <c r="H1996" s="106" t="s">
        <v>7</v>
      </c>
      <c r="I1996" s="105" t="s">
        <v>39</v>
      </c>
      <c r="J1996" s="105"/>
      <c r="K1996" s="105"/>
      <c r="L1996" s="105"/>
      <c r="M1996" s="106"/>
      <c r="N1996" s="106" t="s">
        <v>223</v>
      </c>
      <c r="O1996" s="107"/>
      <c r="P1996" s="106" t="s">
        <v>8530</v>
      </c>
    </row>
    <row r="1997" spans="1:16" outlineLevel="2" x14ac:dyDescent="0.3">
      <c r="A1997" s="105" t="s">
        <v>8531</v>
      </c>
      <c r="B1997" s="106"/>
      <c r="C1997" s="106"/>
      <c r="D1997" s="106"/>
      <c r="E1997" s="106" t="s">
        <v>8532</v>
      </c>
      <c r="F1997" s="106" t="s">
        <v>8533</v>
      </c>
      <c r="G1997" s="105">
        <v>4</v>
      </c>
      <c r="H1997" s="106" t="s">
        <v>7</v>
      </c>
      <c r="I1997" s="105" t="s">
        <v>39</v>
      </c>
      <c r="J1997" s="105"/>
      <c r="K1997" s="105"/>
      <c r="L1997" s="105"/>
      <c r="M1997" s="106"/>
      <c r="N1997" s="106" t="s">
        <v>40</v>
      </c>
      <c r="O1997" s="107"/>
      <c r="P1997" s="106" t="s">
        <v>8534</v>
      </c>
    </row>
    <row r="1998" spans="1:16" outlineLevel="2" x14ac:dyDescent="0.3">
      <c r="A1998" s="105" t="s">
        <v>8535</v>
      </c>
      <c r="B1998" s="106"/>
      <c r="C1998" s="106"/>
      <c r="D1998" s="106"/>
      <c r="E1998" s="106" t="s">
        <v>8536</v>
      </c>
      <c r="F1998" s="106" t="s">
        <v>8537</v>
      </c>
      <c r="G1998" s="105">
        <v>4</v>
      </c>
      <c r="H1998" s="106" t="s">
        <v>7</v>
      </c>
      <c r="I1998" s="105" t="s">
        <v>39</v>
      </c>
      <c r="J1998" s="105"/>
      <c r="K1998" s="105"/>
      <c r="L1998" s="105"/>
      <c r="M1998" s="106"/>
      <c r="N1998" s="106" t="s">
        <v>223</v>
      </c>
      <c r="O1998" s="107"/>
      <c r="P1998" s="106" t="s">
        <v>8538</v>
      </c>
    </row>
    <row r="1999" spans="1:16" outlineLevel="2" x14ac:dyDescent="0.3">
      <c r="A1999" s="105" t="s">
        <v>8539</v>
      </c>
      <c r="B1999" s="106"/>
      <c r="C1999" s="106"/>
      <c r="D1999" s="106"/>
      <c r="E1999" s="106" t="s">
        <v>8540</v>
      </c>
      <c r="F1999" s="106" t="s">
        <v>8541</v>
      </c>
      <c r="G1999" s="105">
        <v>4</v>
      </c>
      <c r="H1999" s="106" t="s">
        <v>7</v>
      </c>
      <c r="I1999" s="105" t="s">
        <v>39</v>
      </c>
      <c r="J1999" s="105"/>
      <c r="K1999" s="105"/>
      <c r="L1999" s="105"/>
      <c r="M1999" s="106"/>
      <c r="N1999" s="106" t="s">
        <v>40</v>
      </c>
      <c r="O1999" s="107"/>
      <c r="P1999" s="106" t="s">
        <v>8542</v>
      </c>
    </row>
    <row r="2000" spans="1:16" outlineLevel="2" x14ac:dyDescent="0.3">
      <c r="A2000" s="105" t="s">
        <v>8543</v>
      </c>
      <c r="B2000" s="106"/>
      <c r="C2000" s="106"/>
      <c r="D2000" s="106"/>
      <c r="E2000" s="106" t="s">
        <v>8544</v>
      </c>
      <c r="F2000" s="106" t="s">
        <v>148</v>
      </c>
      <c r="G2000" s="105">
        <v>4</v>
      </c>
      <c r="H2000" s="106" t="s">
        <v>7</v>
      </c>
      <c r="I2000" s="105" t="s">
        <v>39</v>
      </c>
      <c r="J2000" s="105"/>
      <c r="K2000" s="105"/>
      <c r="L2000" s="105"/>
      <c r="M2000" s="106"/>
      <c r="N2000" s="106" t="s">
        <v>40</v>
      </c>
      <c r="O2000" s="107"/>
      <c r="P2000" s="106" t="s">
        <v>8545</v>
      </c>
    </row>
    <row r="2001" spans="1:16" outlineLevel="2" x14ac:dyDescent="0.3">
      <c r="A2001" s="105" t="s">
        <v>8546</v>
      </c>
      <c r="B2001" s="106"/>
      <c r="C2001" s="106"/>
      <c r="D2001" s="106"/>
      <c r="E2001" s="106" t="s">
        <v>8547</v>
      </c>
      <c r="F2001" s="106" t="s">
        <v>8548</v>
      </c>
      <c r="G2001" s="105">
        <v>4</v>
      </c>
      <c r="H2001" s="106" t="s">
        <v>7</v>
      </c>
      <c r="I2001" s="105" t="s">
        <v>39</v>
      </c>
      <c r="J2001" s="105"/>
      <c r="K2001" s="105"/>
      <c r="L2001" s="105"/>
      <c r="M2001" s="106"/>
      <c r="N2001" s="106" t="s">
        <v>40</v>
      </c>
      <c r="O2001" s="107"/>
      <c r="P2001" s="106" t="s">
        <v>8549</v>
      </c>
    </row>
    <row r="2002" spans="1:16" outlineLevel="2" x14ac:dyDescent="0.3">
      <c r="A2002" s="105" t="s">
        <v>8550</v>
      </c>
      <c r="B2002" s="106"/>
      <c r="C2002" s="106"/>
      <c r="D2002" s="106"/>
      <c r="E2002" s="106" t="s">
        <v>8551</v>
      </c>
      <c r="F2002" s="106" t="s">
        <v>8552</v>
      </c>
      <c r="G2002" s="105">
        <v>4</v>
      </c>
      <c r="H2002" s="106" t="s">
        <v>7</v>
      </c>
      <c r="I2002" s="105" t="s">
        <v>39</v>
      </c>
      <c r="J2002" s="105"/>
      <c r="K2002" s="105"/>
      <c r="L2002" s="105"/>
      <c r="M2002" s="106"/>
      <c r="N2002" s="106" t="s">
        <v>223</v>
      </c>
      <c r="O2002" s="107"/>
      <c r="P2002" s="106" t="s">
        <v>8553</v>
      </c>
    </row>
    <row r="2003" spans="1:16" outlineLevel="2" x14ac:dyDescent="0.3">
      <c r="A2003" s="105" t="s">
        <v>8554</v>
      </c>
      <c r="B2003" s="106"/>
      <c r="C2003" s="106"/>
      <c r="D2003" s="106"/>
      <c r="E2003" s="106" t="s">
        <v>8555</v>
      </c>
      <c r="F2003" s="106" t="s">
        <v>8556</v>
      </c>
      <c r="G2003" s="105">
        <v>4</v>
      </c>
      <c r="H2003" s="106" t="s">
        <v>7</v>
      </c>
      <c r="I2003" s="105" t="s">
        <v>39</v>
      </c>
      <c r="J2003" s="105"/>
      <c r="K2003" s="105"/>
      <c r="L2003" s="105"/>
      <c r="M2003" s="106"/>
      <c r="N2003" s="106" t="s">
        <v>40</v>
      </c>
      <c r="O2003" s="107"/>
      <c r="P2003" s="106" t="s">
        <v>8557</v>
      </c>
    </row>
    <row r="2004" spans="1:16" outlineLevel="2" x14ac:dyDescent="0.3">
      <c r="A2004" s="105" t="s">
        <v>8558</v>
      </c>
      <c r="B2004" s="106"/>
      <c r="C2004" s="106"/>
      <c r="D2004" s="106"/>
      <c r="E2004" s="106" t="s">
        <v>8559</v>
      </c>
      <c r="F2004" s="106" t="s">
        <v>8560</v>
      </c>
      <c r="G2004" s="105">
        <v>4</v>
      </c>
      <c r="H2004" s="106" t="s">
        <v>7</v>
      </c>
      <c r="I2004" s="105" t="s">
        <v>39</v>
      </c>
      <c r="J2004" s="105"/>
      <c r="K2004" s="105"/>
      <c r="L2004" s="105"/>
      <c r="M2004" s="106"/>
      <c r="N2004" s="106" t="s">
        <v>40</v>
      </c>
      <c r="O2004" s="107"/>
      <c r="P2004" s="106" t="s">
        <v>8561</v>
      </c>
    </row>
    <row r="2005" spans="1:16" outlineLevel="2" x14ac:dyDescent="0.3">
      <c r="A2005" s="105" t="s">
        <v>8562</v>
      </c>
      <c r="B2005" s="106"/>
      <c r="C2005" s="106"/>
      <c r="D2005" s="106"/>
      <c r="E2005" s="106" t="s">
        <v>8563</v>
      </c>
      <c r="F2005" s="106" t="s">
        <v>8564</v>
      </c>
      <c r="G2005" s="105">
        <v>4</v>
      </c>
      <c r="H2005" s="106" t="s">
        <v>7</v>
      </c>
      <c r="I2005" s="105" t="s">
        <v>39</v>
      </c>
      <c r="J2005" s="105"/>
      <c r="K2005" s="105"/>
      <c r="L2005" s="105"/>
      <c r="M2005" s="106"/>
      <c r="N2005" s="106" t="s">
        <v>223</v>
      </c>
      <c r="O2005" s="107"/>
      <c r="P2005" s="106" t="s">
        <v>8565</v>
      </c>
    </row>
    <row r="2006" spans="1:16" outlineLevel="2" x14ac:dyDescent="0.3">
      <c r="A2006" s="105" t="s">
        <v>8566</v>
      </c>
      <c r="B2006" s="106"/>
      <c r="C2006" s="106"/>
      <c r="D2006" s="106"/>
      <c r="E2006" s="106" t="s">
        <v>8567</v>
      </c>
      <c r="F2006" s="106" t="s">
        <v>8568</v>
      </c>
      <c r="G2006" s="105">
        <v>4</v>
      </c>
      <c r="H2006" s="106" t="s">
        <v>7</v>
      </c>
      <c r="I2006" s="105" t="s">
        <v>39</v>
      </c>
      <c r="J2006" s="105"/>
      <c r="K2006" s="105"/>
      <c r="L2006" s="105"/>
      <c r="M2006" s="106"/>
      <c r="N2006" s="106" t="s">
        <v>40</v>
      </c>
      <c r="O2006" s="107"/>
      <c r="P2006" s="106" t="s">
        <v>8569</v>
      </c>
    </row>
    <row r="2007" spans="1:16" outlineLevel="2" x14ac:dyDescent="0.3">
      <c r="A2007" s="105" t="s">
        <v>8570</v>
      </c>
      <c r="B2007" s="106"/>
      <c r="C2007" s="106"/>
      <c r="D2007" s="106"/>
      <c r="E2007" s="106" t="s">
        <v>8571</v>
      </c>
      <c r="F2007" s="106" t="s">
        <v>8572</v>
      </c>
      <c r="G2007" s="105">
        <v>4</v>
      </c>
      <c r="H2007" s="106" t="s">
        <v>7</v>
      </c>
      <c r="I2007" s="105" t="s">
        <v>39</v>
      </c>
      <c r="J2007" s="105"/>
      <c r="K2007" s="105"/>
      <c r="L2007" s="105"/>
      <c r="M2007" s="106"/>
      <c r="N2007" s="106" t="s">
        <v>40</v>
      </c>
      <c r="O2007" s="107"/>
      <c r="P2007" s="106" t="s">
        <v>8573</v>
      </c>
    </row>
    <row r="2008" spans="1:16" outlineLevel="2" x14ac:dyDescent="0.3">
      <c r="A2008" s="105" t="s">
        <v>8574</v>
      </c>
      <c r="B2008" s="106"/>
      <c r="C2008" s="106"/>
      <c r="D2008" s="106"/>
      <c r="E2008" s="106" t="s">
        <v>8575</v>
      </c>
      <c r="F2008" s="106" t="s">
        <v>8576</v>
      </c>
      <c r="G2008" s="105">
        <v>4</v>
      </c>
      <c r="H2008" s="106" t="s">
        <v>7</v>
      </c>
      <c r="I2008" s="105" t="s">
        <v>39</v>
      </c>
      <c r="J2008" s="105"/>
      <c r="K2008" s="105"/>
      <c r="L2008" s="105"/>
      <c r="M2008" s="106"/>
      <c r="N2008" s="106" t="s">
        <v>40</v>
      </c>
      <c r="O2008" s="107"/>
      <c r="P2008" s="106" t="s">
        <v>8577</v>
      </c>
    </row>
    <row r="2009" spans="1:16" ht="41.4" outlineLevel="1" x14ac:dyDescent="0.3">
      <c r="A2009" s="321" t="s">
        <v>8578</v>
      </c>
      <c r="B2009" s="322"/>
      <c r="C2009" s="323" t="s">
        <v>8579</v>
      </c>
      <c r="D2009" s="322"/>
      <c r="E2009" s="322"/>
      <c r="F2009" s="322"/>
      <c r="G2009" s="321">
        <v>2</v>
      </c>
      <c r="H2009" s="322" t="s">
        <v>25</v>
      </c>
      <c r="I2009" s="321" t="s">
        <v>39</v>
      </c>
      <c r="J2009" s="321">
        <v>47</v>
      </c>
      <c r="K2009" s="321">
        <v>0</v>
      </c>
      <c r="L2009" s="321">
        <v>9</v>
      </c>
      <c r="M2009" s="324" t="s">
        <v>8580</v>
      </c>
      <c r="N2009" s="324" t="s">
        <v>223</v>
      </c>
      <c r="O2009" s="325"/>
      <c r="P2009" s="324" t="s">
        <v>8581</v>
      </c>
    </row>
    <row r="2010" spans="1:16" outlineLevel="2" x14ac:dyDescent="0.3">
      <c r="A2010" s="105" t="s">
        <v>8582</v>
      </c>
      <c r="B2010" s="106"/>
      <c r="C2010" s="106"/>
      <c r="D2010" s="106"/>
      <c r="E2010" s="106" t="s">
        <v>8583</v>
      </c>
      <c r="F2010" s="106" t="s">
        <v>8584</v>
      </c>
      <c r="G2010" s="105">
        <v>4</v>
      </c>
      <c r="H2010" s="106" t="s">
        <v>7</v>
      </c>
      <c r="I2010" s="105" t="s">
        <v>39</v>
      </c>
      <c r="J2010" s="105"/>
      <c r="K2010" s="105"/>
      <c r="L2010" s="105"/>
      <c r="M2010" s="106" t="s">
        <v>8585</v>
      </c>
      <c r="N2010" s="106" t="s">
        <v>40</v>
      </c>
      <c r="O2010" s="107" t="s">
        <v>600</v>
      </c>
      <c r="P2010" s="106" t="s">
        <v>8586</v>
      </c>
    </row>
    <row r="2011" spans="1:16" outlineLevel="2" x14ac:dyDescent="0.3">
      <c r="A2011" s="105" t="s">
        <v>8587</v>
      </c>
      <c r="B2011" s="106"/>
      <c r="C2011" s="106"/>
      <c r="D2011" s="106"/>
      <c r="E2011" s="106" t="s">
        <v>8588</v>
      </c>
      <c r="F2011" s="106" t="s">
        <v>8589</v>
      </c>
      <c r="G2011" s="105">
        <v>4</v>
      </c>
      <c r="H2011" s="106" t="s">
        <v>7</v>
      </c>
      <c r="I2011" s="105" t="s">
        <v>39</v>
      </c>
      <c r="J2011" s="105"/>
      <c r="K2011" s="105"/>
      <c r="L2011" s="105"/>
      <c r="M2011" s="106" t="s">
        <v>8590</v>
      </c>
      <c r="N2011" s="106" t="s">
        <v>40</v>
      </c>
      <c r="O2011" s="107" t="s">
        <v>600</v>
      </c>
      <c r="P2011" s="106" t="s">
        <v>8591</v>
      </c>
    </row>
    <row r="2012" spans="1:16" outlineLevel="2" x14ac:dyDescent="0.3">
      <c r="A2012" s="105" t="s">
        <v>8592</v>
      </c>
      <c r="B2012" s="106"/>
      <c r="C2012" s="106"/>
      <c r="D2012" s="106"/>
      <c r="E2012" s="106" t="s">
        <v>8593</v>
      </c>
      <c r="F2012" s="106" t="s">
        <v>8594</v>
      </c>
      <c r="G2012" s="105">
        <v>4</v>
      </c>
      <c r="H2012" s="106" t="s">
        <v>7</v>
      </c>
      <c r="I2012" s="105" t="s">
        <v>39</v>
      </c>
      <c r="J2012" s="105"/>
      <c r="K2012" s="105"/>
      <c r="L2012" s="105"/>
      <c r="M2012" s="106" t="s">
        <v>8595</v>
      </c>
      <c r="N2012" s="106" t="s">
        <v>40</v>
      </c>
      <c r="O2012" s="107" t="s">
        <v>600</v>
      </c>
      <c r="P2012" s="106" t="s">
        <v>8596</v>
      </c>
    </row>
    <row r="2013" spans="1:16" outlineLevel="2" x14ac:dyDescent="0.3">
      <c r="A2013" s="105" t="s">
        <v>8597</v>
      </c>
      <c r="B2013" s="106"/>
      <c r="C2013" s="106"/>
      <c r="D2013" s="106"/>
      <c r="E2013" s="106" t="s">
        <v>8598</v>
      </c>
      <c r="F2013" s="106" t="s">
        <v>8599</v>
      </c>
      <c r="G2013" s="105">
        <v>4</v>
      </c>
      <c r="H2013" s="106" t="s">
        <v>7</v>
      </c>
      <c r="I2013" s="105" t="s">
        <v>39</v>
      </c>
      <c r="J2013" s="105"/>
      <c r="K2013" s="105"/>
      <c r="L2013" s="105"/>
      <c r="M2013" s="106"/>
      <c r="N2013" s="106" t="s">
        <v>287</v>
      </c>
      <c r="O2013" s="107"/>
      <c r="P2013" s="106"/>
    </row>
    <row r="2014" spans="1:16" outlineLevel="2" x14ac:dyDescent="0.3">
      <c r="A2014" s="105" t="s">
        <v>8600</v>
      </c>
      <c r="B2014" s="106"/>
      <c r="C2014" s="106"/>
      <c r="D2014" s="106"/>
      <c r="E2014" s="106" t="s">
        <v>8601</v>
      </c>
      <c r="F2014" s="106" t="s">
        <v>8602</v>
      </c>
      <c r="G2014" s="105">
        <v>4</v>
      </c>
      <c r="H2014" s="106" t="s">
        <v>7</v>
      </c>
      <c r="I2014" s="105" t="s">
        <v>39</v>
      </c>
      <c r="J2014" s="105"/>
      <c r="K2014" s="105"/>
      <c r="L2014" s="105"/>
      <c r="M2014" s="106"/>
      <c r="N2014" s="106" t="s">
        <v>223</v>
      </c>
      <c r="O2014" s="107"/>
      <c r="P2014" s="106" t="s">
        <v>8603</v>
      </c>
    </row>
    <row r="2015" spans="1:16" outlineLevel="2" x14ac:dyDescent="0.3">
      <c r="A2015" s="105" t="s">
        <v>8604</v>
      </c>
      <c r="B2015" s="106"/>
      <c r="C2015" s="106"/>
      <c r="D2015" s="106"/>
      <c r="E2015" s="106" t="s">
        <v>8605</v>
      </c>
      <c r="F2015" s="106" t="s">
        <v>8606</v>
      </c>
      <c r="G2015" s="105">
        <v>4</v>
      </c>
      <c r="H2015" s="106" t="s">
        <v>7</v>
      </c>
      <c r="I2015" s="105" t="s">
        <v>39</v>
      </c>
      <c r="J2015" s="105"/>
      <c r="K2015" s="105"/>
      <c r="L2015" s="105"/>
      <c r="M2015" s="106"/>
      <c r="N2015" s="106" t="s">
        <v>287</v>
      </c>
      <c r="O2015" s="107"/>
      <c r="P2015" s="106"/>
    </row>
    <row r="2016" spans="1:16" outlineLevel="2" x14ac:dyDescent="0.3">
      <c r="A2016" s="105" t="s">
        <v>8607</v>
      </c>
      <c r="B2016" s="106"/>
      <c r="C2016" s="106"/>
      <c r="D2016" s="106"/>
      <c r="E2016" s="106" t="s">
        <v>8608</v>
      </c>
      <c r="F2016" s="106" t="s">
        <v>8609</v>
      </c>
      <c r="G2016" s="105">
        <v>4</v>
      </c>
      <c r="H2016" s="106" t="s">
        <v>7</v>
      </c>
      <c r="I2016" s="105" t="s">
        <v>39</v>
      </c>
      <c r="J2016" s="105"/>
      <c r="K2016" s="105"/>
      <c r="L2016" s="105"/>
      <c r="M2016" s="106"/>
      <c r="N2016" s="106" t="s">
        <v>287</v>
      </c>
      <c r="O2016" s="107"/>
      <c r="P2016" s="106"/>
    </row>
    <row r="2017" spans="1:16" outlineLevel="2" x14ac:dyDescent="0.3">
      <c r="A2017" s="105" t="s">
        <v>8610</v>
      </c>
      <c r="B2017" s="106"/>
      <c r="C2017" s="106"/>
      <c r="D2017" s="106"/>
      <c r="E2017" s="106" t="s">
        <v>8611</v>
      </c>
      <c r="F2017" s="106" t="s">
        <v>8612</v>
      </c>
      <c r="G2017" s="105">
        <v>4</v>
      </c>
      <c r="H2017" s="106" t="s">
        <v>7</v>
      </c>
      <c r="I2017" s="105" t="s">
        <v>39</v>
      </c>
      <c r="J2017" s="105"/>
      <c r="K2017" s="105"/>
      <c r="L2017" s="105"/>
      <c r="M2017" s="106"/>
      <c r="N2017" s="106" t="s">
        <v>287</v>
      </c>
      <c r="O2017" s="107"/>
      <c r="P2017" s="106"/>
    </row>
    <row r="2018" spans="1:16" outlineLevel="2" x14ac:dyDescent="0.3">
      <c r="A2018" s="105" t="s">
        <v>8613</v>
      </c>
      <c r="B2018" s="106"/>
      <c r="C2018" s="106"/>
      <c r="D2018" s="106"/>
      <c r="E2018" s="106" t="s">
        <v>8614</v>
      </c>
      <c r="F2018" s="106" t="s">
        <v>8615</v>
      </c>
      <c r="G2018" s="105">
        <v>4</v>
      </c>
      <c r="H2018" s="106" t="s">
        <v>7</v>
      </c>
      <c r="I2018" s="105" t="s">
        <v>39</v>
      </c>
      <c r="J2018" s="105"/>
      <c r="K2018" s="105"/>
      <c r="L2018" s="105"/>
      <c r="M2018" s="106"/>
      <c r="N2018" s="106" t="s">
        <v>287</v>
      </c>
      <c r="O2018" s="107"/>
      <c r="P2018" s="106"/>
    </row>
    <row r="2019" spans="1:16" outlineLevel="2" x14ac:dyDescent="0.3">
      <c r="A2019" s="105" t="s">
        <v>8616</v>
      </c>
      <c r="B2019" s="106"/>
      <c r="C2019" s="106"/>
      <c r="D2019" s="106"/>
      <c r="E2019" s="106" t="s">
        <v>8617</v>
      </c>
      <c r="F2019" s="106" t="s">
        <v>8618</v>
      </c>
      <c r="G2019" s="105">
        <v>4</v>
      </c>
      <c r="H2019" s="106" t="s">
        <v>7</v>
      </c>
      <c r="I2019" s="105" t="s">
        <v>39</v>
      </c>
      <c r="J2019" s="105"/>
      <c r="K2019" s="105"/>
      <c r="L2019" s="105"/>
      <c r="M2019" s="106"/>
      <c r="N2019" s="106" t="s">
        <v>287</v>
      </c>
      <c r="O2019" s="107"/>
      <c r="P2019" s="106"/>
    </row>
    <row r="2020" spans="1:16" outlineLevel="2" x14ac:dyDescent="0.3">
      <c r="A2020" s="105" t="s">
        <v>8619</v>
      </c>
      <c r="B2020" s="106"/>
      <c r="C2020" s="106"/>
      <c r="D2020" s="106"/>
      <c r="E2020" s="106" t="s">
        <v>2495</v>
      </c>
      <c r="F2020" s="106" t="s">
        <v>8620</v>
      </c>
      <c r="G2020" s="105">
        <v>4</v>
      </c>
      <c r="H2020" s="106" t="s">
        <v>7</v>
      </c>
      <c r="I2020" s="105" t="s">
        <v>39</v>
      </c>
      <c r="J2020" s="105"/>
      <c r="K2020" s="105"/>
      <c r="L2020" s="105"/>
      <c r="M2020" s="106"/>
      <c r="N2020" s="106" t="s">
        <v>287</v>
      </c>
      <c r="O2020" s="107"/>
      <c r="P2020" s="106"/>
    </row>
    <row r="2021" spans="1:16" outlineLevel="2" x14ac:dyDescent="0.3">
      <c r="A2021" s="105" t="s">
        <v>8621</v>
      </c>
      <c r="B2021" s="106"/>
      <c r="C2021" s="106"/>
      <c r="D2021" s="106"/>
      <c r="E2021" s="106" t="s">
        <v>8622</v>
      </c>
      <c r="F2021" s="106" t="s">
        <v>8623</v>
      </c>
      <c r="G2021" s="105">
        <v>4</v>
      </c>
      <c r="H2021" s="106" t="s">
        <v>7</v>
      </c>
      <c r="I2021" s="105" t="s">
        <v>39</v>
      </c>
      <c r="J2021" s="105"/>
      <c r="K2021" s="105"/>
      <c r="L2021" s="105"/>
      <c r="M2021" s="106"/>
      <c r="N2021" s="106" t="s">
        <v>287</v>
      </c>
      <c r="O2021" s="107"/>
      <c r="P2021" s="106"/>
    </row>
    <row r="2022" spans="1:16" outlineLevel="2" x14ac:dyDescent="0.3">
      <c r="A2022" s="105" t="s">
        <v>8624</v>
      </c>
      <c r="B2022" s="106"/>
      <c r="C2022" s="106"/>
      <c r="D2022" s="106"/>
      <c r="E2022" s="106" t="s">
        <v>8625</v>
      </c>
      <c r="F2022" s="106" t="s">
        <v>8626</v>
      </c>
      <c r="G2022" s="105">
        <v>4</v>
      </c>
      <c r="H2022" s="106" t="s">
        <v>7</v>
      </c>
      <c r="I2022" s="105" t="s">
        <v>39</v>
      </c>
      <c r="J2022" s="105"/>
      <c r="K2022" s="105"/>
      <c r="L2022" s="105"/>
      <c r="M2022" s="106"/>
      <c r="N2022" s="106" t="s">
        <v>287</v>
      </c>
      <c r="O2022" s="107"/>
      <c r="P2022" s="106"/>
    </row>
    <row r="2023" spans="1:16" outlineLevel="2" x14ac:dyDescent="0.3">
      <c r="A2023" s="105" t="s">
        <v>8627</v>
      </c>
      <c r="B2023" s="106"/>
      <c r="C2023" s="106"/>
      <c r="D2023" s="106"/>
      <c r="E2023" s="106" t="s">
        <v>8628</v>
      </c>
      <c r="F2023" s="106" t="s">
        <v>8629</v>
      </c>
      <c r="G2023" s="105">
        <v>4</v>
      </c>
      <c r="H2023" s="106" t="s">
        <v>7</v>
      </c>
      <c r="I2023" s="105" t="s">
        <v>39</v>
      </c>
      <c r="J2023" s="105"/>
      <c r="K2023" s="105"/>
      <c r="L2023" s="105"/>
      <c r="M2023" s="106"/>
      <c r="N2023" s="106" t="s">
        <v>287</v>
      </c>
      <c r="O2023" s="107"/>
      <c r="P2023" s="106"/>
    </row>
    <row r="2024" spans="1:16" outlineLevel="2" x14ac:dyDescent="0.3">
      <c r="A2024" s="105" t="s">
        <v>8630</v>
      </c>
      <c r="B2024" s="106"/>
      <c r="C2024" s="106"/>
      <c r="D2024" s="106"/>
      <c r="E2024" s="106" t="s">
        <v>3023</v>
      </c>
      <c r="F2024" s="106" t="s">
        <v>8631</v>
      </c>
      <c r="G2024" s="105">
        <v>4</v>
      </c>
      <c r="H2024" s="106" t="s">
        <v>7</v>
      </c>
      <c r="I2024" s="105" t="s">
        <v>39</v>
      </c>
      <c r="J2024" s="105"/>
      <c r="K2024" s="105"/>
      <c r="L2024" s="105"/>
      <c r="M2024" s="106"/>
      <c r="N2024" s="106" t="s">
        <v>287</v>
      </c>
      <c r="O2024" s="107"/>
      <c r="P2024" s="106"/>
    </row>
    <row r="2025" spans="1:16" outlineLevel="2" x14ac:dyDescent="0.3">
      <c r="A2025" s="105" t="s">
        <v>8632</v>
      </c>
      <c r="B2025" s="106"/>
      <c r="C2025" s="106"/>
      <c r="D2025" s="106"/>
      <c r="E2025" s="106" t="s">
        <v>8633</v>
      </c>
      <c r="F2025" s="106" t="s">
        <v>8634</v>
      </c>
      <c r="G2025" s="105">
        <v>4</v>
      </c>
      <c r="H2025" s="106" t="s">
        <v>7</v>
      </c>
      <c r="I2025" s="105" t="s">
        <v>39</v>
      </c>
      <c r="J2025" s="105"/>
      <c r="K2025" s="105"/>
      <c r="L2025" s="105"/>
      <c r="M2025" s="106"/>
      <c r="N2025" s="106" t="s">
        <v>287</v>
      </c>
      <c r="O2025" s="107"/>
      <c r="P2025" s="106"/>
    </row>
    <row r="2026" spans="1:16" outlineLevel="2" x14ac:dyDescent="0.3">
      <c r="A2026" s="105" t="s">
        <v>8635</v>
      </c>
      <c r="B2026" s="106"/>
      <c r="C2026" s="106"/>
      <c r="D2026" s="106"/>
      <c r="E2026" s="106" t="s">
        <v>8636</v>
      </c>
      <c r="F2026" s="106" t="s">
        <v>8637</v>
      </c>
      <c r="G2026" s="105">
        <v>4</v>
      </c>
      <c r="H2026" s="106" t="s">
        <v>7</v>
      </c>
      <c r="I2026" s="105" t="s">
        <v>39</v>
      </c>
      <c r="J2026" s="105"/>
      <c r="K2026" s="105"/>
      <c r="L2026" s="105"/>
      <c r="M2026" s="106" t="s">
        <v>8638</v>
      </c>
      <c r="N2026" s="106" t="s">
        <v>223</v>
      </c>
      <c r="O2026" s="107"/>
      <c r="P2026" s="106" t="s">
        <v>8639</v>
      </c>
    </row>
    <row r="2027" spans="1:16" outlineLevel="2" x14ac:dyDescent="0.3">
      <c r="A2027" s="105" t="s">
        <v>8640</v>
      </c>
      <c r="B2027" s="106"/>
      <c r="C2027" s="106"/>
      <c r="D2027" s="106"/>
      <c r="E2027" s="106" t="s">
        <v>8641</v>
      </c>
      <c r="F2027" s="106" t="s">
        <v>8642</v>
      </c>
      <c r="G2027" s="105">
        <v>4</v>
      </c>
      <c r="H2027" s="106" t="s">
        <v>7</v>
      </c>
      <c r="I2027" s="105" t="s">
        <v>39</v>
      </c>
      <c r="J2027" s="105"/>
      <c r="K2027" s="105"/>
      <c r="L2027" s="105"/>
      <c r="M2027" s="106" t="s">
        <v>8643</v>
      </c>
      <c r="N2027" s="106" t="s">
        <v>40</v>
      </c>
      <c r="O2027" s="107" t="s">
        <v>600</v>
      </c>
      <c r="P2027" s="106" t="s">
        <v>8644</v>
      </c>
    </row>
    <row r="2028" spans="1:16" outlineLevel="2" x14ac:dyDescent="0.3">
      <c r="A2028" s="105" t="s">
        <v>8645</v>
      </c>
      <c r="B2028" s="106"/>
      <c r="C2028" s="106"/>
      <c r="D2028" s="106"/>
      <c r="E2028" s="106" t="s">
        <v>8646</v>
      </c>
      <c r="F2028" s="106" t="s">
        <v>8647</v>
      </c>
      <c r="G2028" s="105">
        <v>4</v>
      </c>
      <c r="H2028" s="106" t="s">
        <v>7</v>
      </c>
      <c r="I2028" s="105" t="s">
        <v>39</v>
      </c>
      <c r="J2028" s="105"/>
      <c r="K2028" s="105"/>
      <c r="L2028" s="105"/>
      <c r="M2028" s="106"/>
      <c r="N2028" s="106" t="s">
        <v>287</v>
      </c>
      <c r="O2028" s="107"/>
      <c r="P2028" s="106"/>
    </row>
    <row r="2029" spans="1:16" outlineLevel="2" x14ac:dyDescent="0.3">
      <c r="A2029" s="105" t="s">
        <v>8648</v>
      </c>
      <c r="B2029" s="106"/>
      <c r="C2029" s="106"/>
      <c r="D2029" s="106"/>
      <c r="E2029" s="106" t="s">
        <v>8649</v>
      </c>
      <c r="F2029" s="106" t="s">
        <v>8650</v>
      </c>
      <c r="G2029" s="105">
        <v>4</v>
      </c>
      <c r="H2029" s="106" t="s">
        <v>7</v>
      </c>
      <c r="I2029" s="105" t="s">
        <v>39</v>
      </c>
      <c r="J2029" s="105"/>
      <c r="K2029" s="105"/>
      <c r="L2029" s="105"/>
      <c r="M2029" s="106"/>
      <c r="N2029" s="106" t="s">
        <v>287</v>
      </c>
      <c r="O2029" s="107"/>
      <c r="P2029" s="106"/>
    </row>
    <row r="2030" spans="1:16" outlineLevel="2" x14ac:dyDescent="0.3">
      <c r="A2030" s="105" t="s">
        <v>8651</v>
      </c>
      <c r="B2030" s="106"/>
      <c r="C2030" s="106"/>
      <c r="D2030" s="106"/>
      <c r="E2030" s="106" t="s">
        <v>83</v>
      </c>
      <c r="F2030" s="106" t="s">
        <v>8652</v>
      </c>
      <c r="G2030" s="105">
        <v>4</v>
      </c>
      <c r="H2030" s="106" t="s">
        <v>7</v>
      </c>
      <c r="I2030" s="105" t="s">
        <v>39</v>
      </c>
      <c r="J2030" s="105"/>
      <c r="K2030" s="105"/>
      <c r="L2030" s="105"/>
      <c r="M2030" s="106"/>
      <c r="N2030" s="106" t="s">
        <v>287</v>
      </c>
      <c r="O2030" s="107"/>
      <c r="P2030" s="106"/>
    </row>
    <row r="2031" spans="1:16" outlineLevel="2" x14ac:dyDescent="0.3">
      <c r="A2031" s="105" t="s">
        <v>8653</v>
      </c>
      <c r="B2031" s="106"/>
      <c r="C2031" s="106"/>
      <c r="D2031" s="106"/>
      <c r="E2031" s="106" t="s">
        <v>8654</v>
      </c>
      <c r="F2031" s="106" t="s">
        <v>8655</v>
      </c>
      <c r="G2031" s="105">
        <v>4</v>
      </c>
      <c r="H2031" s="106" t="s">
        <v>7</v>
      </c>
      <c r="I2031" s="105" t="s">
        <v>39</v>
      </c>
      <c r="J2031" s="105"/>
      <c r="K2031" s="105"/>
      <c r="L2031" s="105"/>
      <c r="M2031" s="106"/>
      <c r="N2031" s="106" t="s">
        <v>287</v>
      </c>
      <c r="O2031" s="107"/>
      <c r="P2031" s="106"/>
    </row>
    <row r="2032" spans="1:16" outlineLevel="2" x14ac:dyDescent="0.3">
      <c r="A2032" s="105" t="s">
        <v>8656</v>
      </c>
      <c r="B2032" s="106"/>
      <c r="C2032" s="106"/>
      <c r="D2032" s="106"/>
      <c r="E2032" s="106" t="s">
        <v>8657</v>
      </c>
      <c r="F2032" s="106" t="s">
        <v>8658</v>
      </c>
      <c r="G2032" s="105">
        <v>4</v>
      </c>
      <c r="H2032" s="106" t="s">
        <v>7</v>
      </c>
      <c r="I2032" s="105" t="s">
        <v>39</v>
      </c>
      <c r="J2032" s="105"/>
      <c r="K2032" s="105"/>
      <c r="L2032" s="105"/>
      <c r="M2032" s="106"/>
      <c r="N2032" s="106" t="s">
        <v>287</v>
      </c>
      <c r="O2032" s="107"/>
      <c r="P2032" s="106"/>
    </row>
    <row r="2033" spans="1:16" outlineLevel="2" x14ac:dyDescent="0.3">
      <c r="A2033" s="105" t="s">
        <v>8659</v>
      </c>
      <c r="B2033" s="106"/>
      <c r="C2033" s="106"/>
      <c r="D2033" s="106"/>
      <c r="E2033" s="106" t="s">
        <v>8660</v>
      </c>
      <c r="F2033" s="106" t="s">
        <v>8661</v>
      </c>
      <c r="G2033" s="105">
        <v>4</v>
      </c>
      <c r="H2033" s="106" t="s">
        <v>7</v>
      </c>
      <c r="I2033" s="105" t="s">
        <v>39</v>
      </c>
      <c r="J2033" s="105"/>
      <c r="K2033" s="105"/>
      <c r="L2033" s="105"/>
      <c r="M2033" s="106"/>
      <c r="N2033" s="106" t="s">
        <v>287</v>
      </c>
      <c r="O2033" s="107"/>
      <c r="P2033" s="106"/>
    </row>
    <row r="2034" spans="1:16" outlineLevel="2" x14ac:dyDescent="0.3">
      <c r="A2034" s="105" t="s">
        <v>8662</v>
      </c>
      <c r="B2034" s="106"/>
      <c r="C2034" s="106"/>
      <c r="D2034" s="106"/>
      <c r="E2034" s="106" t="s">
        <v>8663</v>
      </c>
      <c r="F2034" s="106" t="s">
        <v>8664</v>
      </c>
      <c r="G2034" s="105">
        <v>4</v>
      </c>
      <c r="H2034" s="106" t="s">
        <v>7</v>
      </c>
      <c r="I2034" s="105" t="s">
        <v>39</v>
      </c>
      <c r="J2034" s="105"/>
      <c r="K2034" s="105"/>
      <c r="L2034" s="105"/>
      <c r="M2034" s="106"/>
      <c r="N2034" s="106" t="s">
        <v>287</v>
      </c>
      <c r="O2034" s="107"/>
      <c r="P2034" s="106"/>
    </row>
    <row r="2035" spans="1:16" outlineLevel="2" x14ac:dyDescent="0.3">
      <c r="A2035" s="105" t="s">
        <v>8665</v>
      </c>
      <c r="B2035" s="106"/>
      <c r="C2035" s="106"/>
      <c r="D2035" s="106"/>
      <c r="E2035" s="106" t="s">
        <v>8666</v>
      </c>
      <c r="F2035" s="106" t="s">
        <v>8667</v>
      </c>
      <c r="G2035" s="105">
        <v>4</v>
      </c>
      <c r="H2035" s="106" t="s">
        <v>7</v>
      </c>
      <c r="I2035" s="105" t="s">
        <v>39</v>
      </c>
      <c r="J2035" s="105"/>
      <c r="K2035" s="105"/>
      <c r="L2035" s="105"/>
      <c r="M2035" s="106"/>
      <c r="N2035" s="106" t="s">
        <v>287</v>
      </c>
      <c r="O2035" s="107"/>
      <c r="P2035" s="106"/>
    </row>
    <row r="2036" spans="1:16" outlineLevel="2" x14ac:dyDescent="0.3">
      <c r="A2036" s="105" t="s">
        <v>8668</v>
      </c>
      <c r="B2036" s="106"/>
      <c r="C2036" s="106"/>
      <c r="D2036" s="106"/>
      <c r="E2036" s="106" t="s">
        <v>8669</v>
      </c>
      <c r="F2036" s="106" t="s">
        <v>8670</v>
      </c>
      <c r="G2036" s="105">
        <v>4</v>
      </c>
      <c r="H2036" s="106" t="s">
        <v>7</v>
      </c>
      <c r="I2036" s="105" t="s">
        <v>39</v>
      </c>
      <c r="J2036" s="105"/>
      <c r="K2036" s="105"/>
      <c r="L2036" s="105"/>
      <c r="M2036" s="106"/>
      <c r="N2036" s="106" t="s">
        <v>287</v>
      </c>
      <c r="O2036" s="107"/>
      <c r="P2036" s="106"/>
    </row>
    <row r="2037" spans="1:16" outlineLevel="2" x14ac:dyDescent="0.3">
      <c r="A2037" s="105" t="s">
        <v>8671</v>
      </c>
      <c r="B2037" s="106"/>
      <c r="C2037" s="106"/>
      <c r="D2037" s="106"/>
      <c r="E2037" s="106" t="s">
        <v>8672</v>
      </c>
      <c r="F2037" s="106" t="s">
        <v>8673</v>
      </c>
      <c r="G2037" s="105">
        <v>4</v>
      </c>
      <c r="H2037" s="106" t="s">
        <v>7</v>
      </c>
      <c r="I2037" s="105" t="s">
        <v>39</v>
      </c>
      <c r="J2037" s="105"/>
      <c r="K2037" s="105"/>
      <c r="L2037" s="105"/>
      <c r="M2037" s="106"/>
      <c r="N2037" s="106" t="s">
        <v>287</v>
      </c>
      <c r="O2037" s="107"/>
      <c r="P2037" s="106"/>
    </row>
    <row r="2038" spans="1:16" outlineLevel="2" x14ac:dyDescent="0.3">
      <c r="A2038" s="105" t="s">
        <v>8674</v>
      </c>
      <c r="B2038" s="106"/>
      <c r="C2038" s="106"/>
      <c r="D2038" s="106"/>
      <c r="E2038" s="106" t="s">
        <v>8675</v>
      </c>
      <c r="F2038" s="106" t="s">
        <v>8676</v>
      </c>
      <c r="G2038" s="105">
        <v>4</v>
      </c>
      <c r="H2038" s="106" t="s">
        <v>7</v>
      </c>
      <c r="I2038" s="105" t="s">
        <v>39</v>
      </c>
      <c r="J2038" s="105"/>
      <c r="K2038" s="105"/>
      <c r="L2038" s="105"/>
      <c r="M2038" s="106"/>
      <c r="N2038" s="106" t="s">
        <v>287</v>
      </c>
      <c r="O2038" s="107"/>
      <c r="P2038" s="106"/>
    </row>
    <row r="2039" spans="1:16" outlineLevel="2" x14ac:dyDescent="0.3">
      <c r="A2039" s="105" t="s">
        <v>8677</v>
      </c>
      <c r="B2039" s="106"/>
      <c r="C2039" s="106"/>
      <c r="D2039" s="106"/>
      <c r="E2039" s="106" t="s">
        <v>8678</v>
      </c>
      <c r="F2039" s="106" t="s">
        <v>8679</v>
      </c>
      <c r="G2039" s="105">
        <v>4</v>
      </c>
      <c r="H2039" s="106" t="s">
        <v>7</v>
      </c>
      <c r="I2039" s="105" t="s">
        <v>39</v>
      </c>
      <c r="J2039" s="105"/>
      <c r="K2039" s="105"/>
      <c r="L2039" s="105"/>
      <c r="M2039" s="106"/>
      <c r="N2039" s="106" t="s">
        <v>287</v>
      </c>
      <c r="O2039" s="107"/>
      <c r="P2039" s="106"/>
    </row>
    <row r="2040" spans="1:16" outlineLevel="2" x14ac:dyDescent="0.3">
      <c r="A2040" s="105" t="s">
        <v>8680</v>
      </c>
      <c r="B2040" s="106"/>
      <c r="C2040" s="106"/>
      <c r="D2040" s="106"/>
      <c r="E2040" s="106" t="s">
        <v>8681</v>
      </c>
      <c r="F2040" s="106" t="s">
        <v>8682</v>
      </c>
      <c r="G2040" s="105">
        <v>4</v>
      </c>
      <c r="H2040" s="106" t="s">
        <v>7</v>
      </c>
      <c r="I2040" s="105" t="s">
        <v>39</v>
      </c>
      <c r="J2040" s="105"/>
      <c r="K2040" s="105"/>
      <c r="L2040" s="105"/>
      <c r="M2040" s="106"/>
      <c r="N2040" s="106" t="s">
        <v>287</v>
      </c>
      <c r="O2040" s="107"/>
      <c r="P2040" s="106"/>
    </row>
    <row r="2041" spans="1:16" outlineLevel="2" x14ac:dyDescent="0.3">
      <c r="A2041" s="105" t="s">
        <v>8683</v>
      </c>
      <c r="B2041" s="106"/>
      <c r="C2041" s="106"/>
      <c r="D2041" s="106"/>
      <c r="E2041" s="106" t="s">
        <v>1304</v>
      </c>
      <c r="F2041" s="106" t="s">
        <v>8684</v>
      </c>
      <c r="G2041" s="105">
        <v>4</v>
      </c>
      <c r="H2041" s="106" t="s">
        <v>7</v>
      </c>
      <c r="I2041" s="105" t="s">
        <v>39</v>
      </c>
      <c r="J2041" s="105"/>
      <c r="K2041" s="105"/>
      <c r="L2041" s="105"/>
      <c r="M2041" s="106"/>
      <c r="N2041" s="106" t="s">
        <v>287</v>
      </c>
      <c r="O2041" s="107"/>
      <c r="P2041" s="106"/>
    </row>
    <row r="2042" spans="1:16" outlineLevel="2" x14ac:dyDescent="0.3">
      <c r="A2042" s="105" t="s">
        <v>8685</v>
      </c>
      <c r="B2042" s="106"/>
      <c r="C2042" s="106"/>
      <c r="D2042" s="106"/>
      <c r="E2042" s="106" t="s">
        <v>8686</v>
      </c>
      <c r="F2042" s="106" t="s">
        <v>8687</v>
      </c>
      <c r="G2042" s="105">
        <v>4</v>
      </c>
      <c r="H2042" s="106" t="s">
        <v>7</v>
      </c>
      <c r="I2042" s="105" t="s">
        <v>39</v>
      </c>
      <c r="J2042" s="105"/>
      <c r="K2042" s="105"/>
      <c r="L2042" s="105"/>
      <c r="M2042" s="106"/>
      <c r="N2042" s="106" t="s">
        <v>287</v>
      </c>
      <c r="O2042" s="107"/>
      <c r="P2042" s="106"/>
    </row>
    <row r="2043" spans="1:16" outlineLevel="2" x14ac:dyDescent="0.3">
      <c r="A2043" s="105" t="s">
        <v>8688</v>
      </c>
      <c r="B2043" s="106"/>
      <c r="C2043" s="106"/>
      <c r="D2043" s="106"/>
      <c r="E2043" s="106" t="s">
        <v>8689</v>
      </c>
      <c r="F2043" s="106" t="s">
        <v>8690</v>
      </c>
      <c r="G2043" s="105">
        <v>4</v>
      </c>
      <c r="H2043" s="106" t="s">
        <v>7</v>
      </c>
      <c r="I2043" s="105" t="s">
        <v>39</v>
      </c>
      <c r="J2043" s="105"/>
      <c r="K2043" s="105"/>
      <c r="L2043" s="105"/>
      <c r="M2043" s="106"/>
      <c r="N2043" s="106" t="s">
        <v>287</v>
      </c>
      <c r="O2043" s="107"/>
      <c r="P2043" s="106"/>
    </row>
    <row r="2044" spans="1:16" outlineLevel="2" x14ac:dyDescent="0.3">
      <c r="A2044" s="105" t="s">
        <v>8691</v>
      </c>
      <c r="B2044" s="106"/>
      <c r="C2044" s="106"/>
      <c r="D2044" s="106"/>
      <c r="E2044" s="106" t="s">
        <v>8689</v>
      </c>
      <c r="F2044" s="106" t="s">
        <v>8692</v>
      </c>
      <c r="G2044" s="105">
        <v>4</v>
      </c>
      <c r="H2044" s="106" t="s">
        <v>7</v>
      </c>
      <c r="I2044" s="105" t="s">
        <v>39</v>
      </c>
      <c r="J2044" s="105"/>
      <c r="K2044" s="105"/>
      <c r="L2044" s="105"/>
      <c r="M2044" s="106"/>
      <c r="N2044" s="106" t="s">
        <v>287</v>
      </c>
      <c r="O2044" s="107"/>
      <c r="P2044" s="106"/>
    </row>
    <row r="2045" spans="1:16" outlineLevel="2" x14ac:dyDescent="0.3">
      <c r="A2045" s="105" t="s">
        <v>8693</v>
      </c>
      <c r="B2045" s="106"/>
      <c r="C2045" s="106"/>
      <c r="D2045" s="106"/>
      <c r="E2045" s="106" t="s">
        <v>8689</v>
      </c>
      <c r="F2045" s="106" t="s">
        <v>8694</v>
      </c>
      <c r="G2045" s="105">
        <v>4</v>
      </c>
      <c r="H2045" s="106" t="s">
        <v>7</v>
      </c>
      <c r="I2045" s="105" t="s">
        <v>39</v>
      </c>
      <c r="J2045" s="105"/>
      <c r="K2045" s="105"/>
      <c r="L2045" s="105"/>
      <c r="M2045" s="106"/>
      <c r="N2045" s="106" t="s">
        <v>287</v>
      </c>
      <c r="O2045" s="107"/>
      <c r="P2045" s="106"/>
    </row>
    <row r="2046" spans="1:16" outlineLevel="2" x14ac:dyDescent="0.3">
      <c r="A2046" s="105" t="s">
        <v>8695</v>
      </c>
      <c r="B2046" s="106"/>
      <c r="C2046" s="106"/>
      <c r="D2046" s="106"/>
      <c r="E2046" s="106" t="s">
        <v>8696</v>
      </c>
      <c r="F2046" s="106" t="s">
        <v>8697</v>
      </c>
      <c r="G2046" s="105">
        <v>4</v>
      </c>
      <c r="H2046" s="106" t="s">
        <v>7</v>
      </c>
      <c r="I2046" s="105" t="s">
        <v>39</v>
      </c>
      <c r="J2046" s="105"/>
      <c r="K2046" s="105"/>
      <c r="L2046" s="105"/>
      <c r="M2046" s="106"/>
      <c r="N2046" s="106" t="s">
        <v>287</v>
      </c>
      <c r="O2046" s="107"/>
      <c r="P2046" s="106"/>
    </row>
    <row r="2047" spans="1:16" outlineLevel="2" x14ac:dyDescent="0.3">
      <c r="A2047" s="105" t="s">
        <v>8698</v>
      </c>
      <c r="B2047" s="106"/>
      <c r="C2047" s="106"/>
      <c r="D2047" s="106"/>
      <c r="E2047" s="106" t="s">
        <v>8699</v>
      </c>
      <c r="F2047" s="106" t="s">
        <v>8700</v>
      </c>
      <c r="G2047" s="105">
        <v>4</v>
      </c>
      <c r="H2047" s="106" t="s">
        <v>7</v>
      </c>
      <c r="I2047" s="105" t="s">
        <v>39</v>
      </c>
      <c r="J2047" s="105"/>
      <c r="K2047" s="105"/>
      <c r="L2047" s="105"/>
      <c r="M2047" s="106"/>
      <c r="N2047" s="106" t="s">
        <v>287</v>
      </c>
      <c r="O2047" s="107"/>
      <c r="P2047" s="106"/>
    </row>
    <row r="2048" spans="1:16" outlineLevel="2" x14ac:dyDescent="0.3">
      <c r="A2048" s="105" t="s">
        <v>8701</v>
      </c>
      <c r="B2048" s="106"/>
      <c r="C2048" s="106"/>
      <c r="D2048" s="106"/>
      <c r="E2048" s="106" t="s">
        <v>8702</v>
      </c>
      <c r="F2048" s="106" t="s">
        <v>8703</v>
      </c>
      <c r="G2048" s="105">
        <v>4</v>
      </c>
      <c r="H2048" s="106" t="s">
        <v>7</v>
      </c>
      <c r="I2048" s="105" t="s">
        <v>39</v>
      </c>
      <c r="J2048" s="105"/>
      <c r="K2048" s="105"/>
      <c r="L2048" s="105"/>
      <c r="M2048" s="106"/>
      <c r="N2048" s="106" t="s">
        <v>287</v>
      </c>
      <c r="O2048" s="107"/>
      <c r="P2048" s="106"/>
    </row>
    <row r="2049" spans="1:16" outlineLevel="2" x14ac:dyDescent="0.3">
      <c r="A2049" s="105" t="s">
        <v>8704</v>
      </c>
      <c r="B2049" s="106"/>
      <c r="C2049" s="106"/>
      <c r="D2049" s="106"/>
      <c r="E2049" s="106" t="s">
        <v>8705</v>
      </c>
      <c r="F2049" s="106" t="s">
        <v>8706</v>
      </c>
      <c r="G2049" s="105">
        <v>4</v>
      </c>
      <c r="H2049" s="106" t="s">
        <v>7</v>
      </c>
      <c r="I2049" s="105" t="s">
        <v>39</v>
      </c>
      <c r="J2049" s="105"/>
      <c r="K2049" s="105"/>
      <c r="L2049" s="105"/>
      <c r="M2049" s="106"/>
      <c r="N2049" s="106" t="s">
        <v>287</v>
      </c>
      <c r="O2049" s="107"/>
      <c r="P2049" s="106"/>
    </row>
    <row r="2050" spans="1:16" outlineLevel="2" x14ac:dyDescent="0.3">
      <c r="A2050" s="105" t="s">
        <v>8707</v>
      </c>
      <c r="B2050" s="106"/>
      <c r="C2050" s="106"/>
      <c r="D2050" s="106"/>
      <c r="E2050" s="106" t="s">
        <v>8708</v>
      </c>
      <c r="F2050" s="106" t="s">
        <v>8709</v>
      </c>
      <c r="G2050" s="105">
        <v>4</v>
      </c>
      <c r="H2050" s="106" t="s">
        <v>7</v>
      </c>
      <c r="I2050" s="105" t="s">
        <v>39</v>
      </c>
      <c r="J2050" s="105"/>
      <c r="K2050" s="105"/>
      <c r="L2050" s="105"/>
      <c r="M2050" s="106"/>
      <c r="N2050" s="106" t="s">
        <v>287</v>
      </c>
      <c r="O2050" s="107"/>
      <c r="P2050" s="106"/>
    </row>
    <row r="2051" spans="1:16" outlineLevel="2" x14ac:dyDescent="0.3">
      <c r="A2051" s="105" t="s">
        <v>8710</v>
      </c>
      <c r="B2051" s="106"/>
      <c r="C2051" s="106"/>
      <c r="D2051" s="106"/>
      <c r="E2051" s="106" t="s">
        <v>8711</v>
      </c>
      <c r="F2051" s="106" t="s">
        <v>8712</v>
      </c>
      <c r="G2051" s="105">
        <v>4</v>
      </c>
      <c r="H2051" s="106" t="s">
        <v>7</v>
      </c>
      <c r="I2051" s="105" t="s">
        <v>39</v>
      </c>
      <c r="J2051" s="105"/>
      <c r="K2051" s="105"/>
      <c r="L2051" s="105"/>
      <c r="M2051" s="106"/>
      <c r="N2051" s="106" t="s">
        <v>287</v>
      </c>
      <c r="O2051" s="107"/>
      <c r="P2051" s="106"/>
    </row>
    <row r="2052" spans="1:16" outlineLevel="2" x14ac:dyDescent="0.3">
      <c r="A2052" s="105" t="s">
        <v>8713</v>
      </c>
      <c r="B2052" s="106"/>
      <c r="C2052" s="106"/>
      <c r="D2052" s="106"/>
      <c r="E2052" s="106" t="s">
        <v>8714</v>
      </c>
      <c r="F2052" s="106" t="s">
        <v>8715</v>
      </c>
      <c r="G2052" s="105">
        <v>4</v>
      </c>
      <c r="H2052" s="106" t="s">
        <v>7</v>
      </c>
      <c r="I2052" s="105" t="s">
        <v>39</v>
      </c>
      <c r="J2052" s="105"/>
      <c r="K2052" s="105"/>
      <c r="L2052" s="105"/>
      <c r="M2052" s="106"/>
      <c r="N2052" s="106" t="s">
        <v>287</v>
      </c>
      <c r="O2052" s="107"/>
      <c r="P2052" s="106"/>
    </row>
    <row r="2053" spans="1:16" outlineLevel="2" x14ac:dyDescent="0.3">
      <c r="A2053" s="105" t="s">
        <v>8716</v>
      </c>
      <c r="B2053" s="106"/>
      <c r="C2053" s="106"/>
      <c r="D2053" s="106"/>
      <c r="E2053" s="106" t="s">
        <v>8717</v>
      </c>
      <c r="F2053" s="106" t="s">
        <v>8718</v>
      </c>
      <c r="G2053" s="105">
        <v>4</v>
      </c>
      <c r="H2053" s="106" t="s">
        <v>7</v>
      </c>
      <c r="I2053" s="105" t="s">
        <v>39</v>
      </c>
      <c r="J2053" s="105"/>
      <c r="K2053" s="105"/>
      <c r="L2053" s="105"/>
      <c r="M2053" s="106" t="s">
        <v>8719</v>
      </c>
      <c r="N2053" s="106" t="s">
        <v>40</v>
      </c>
      <c r="O2053" s="107"/>
      <c r="P2053" s="106" t="s">
        <v>8720</v>
      </c>
    </row>
    <row r="2054" spans="1:16" outlineLevel="2" x14ac:dyDescent="0.3">
      <c r="A2054" s="105" t="s">
        <v>8721</v>
      </c>
      <c r="B2054" s="106"/>
      <c r="C2054" s="106"/>
      <c r="D2054" s="106"/>
      <c r="E2054" s="106" t="s">
        <v>8722</v>
      </c>
      <c r="F2054" s="106" t="s">
        <v>8723</v>
      </c>
      <c r="G2054" s="105">
        <v>4</v>
      </c>
      <c r="H2054" s="106" t="s">
        <v>7</v>
      </c>
      <c r="I2054" s="105" t="s">
        <v>39</v>
      </c>
      <c r="J2054" s="105"/>
      <c r="K2054" s="105"/>
      <c r="L2054" s="105"/>
      <c r="M2054" s="106"/>
      <c r="N2054" s="106" t="s">
        <v>287</v>
      </c>
      <c r="O2054" s="107"/>
      <c r="P2054" s="106"/>
    </row>
    <row r="2055" spans="1:16" outlineLevel="2" x14ac:dyDescent="0.3">
      <c r="A2055" s="105" t="s">
        <v>8724</v>
      </c>
      <c r="B2055" s="106"/>
      <c r="C2055" s="106"/>
      <c r="D2055" s="106"/>
      <c r="E2055" s="106" t="s">
        <v>8725</v>
      </c>
      <c r="F2055" s="106" t="s">
        <v>8726</v>
      </c>
      <c r="G2055" s="105">
        <v>4</v>
      </c>
      <c r="H2055" s="106" t="s">
        <v>7</v>
      </c>
      <c r="I2055" s="105" t="s">
        <v>39</v>
      </c>
      <c r="J2055" s="105"/>
      <c r="K2055" s="105"/>
      <c r="L2055" s="105"/>
      <c r="M2055" s="106"/>
      <c r="N2055" s="106" t="s">
        <v>223</v>
      </c>
      <c r="O2055" s="107"/>
      <c r="P2055" s="106" t="s">
        <v>8727</v>
      </c>
    </row>
    <row r="2056" spans="1:16" outlineLevel="2" x14ac:dyDescent="0.3">
      <c r="A2056" s="105" t="s">
        <v>8728</v>
      </c>
      <c r="B2056" s="106"/>
      <c r="C2056" s="106"/>
      <c r="D2056" s="106"/>
      <c r="E2056" s="106" t="s">
        <v>8729</v>
      </c>
      <c r="F2056" s="106" t="s">
        <v>8730</v>
      </c>
      <c r="G2056" s="105">
        <v>4</v>
      </c>
      <c r="H2056" s="106" t="s">
        <v>7</v>
      </c>
      <c r="I2056" s="105" t="s">
        <v>39</v>
      </c>
      <c r="J2056" s="105"/>
      <c r="K2056" s="105"/>
      <c r="L2056" s="105"/>
      <c r="M2056" s="106" t="s">
        <v>8731</v>
      </c>
      <c r="N2056" s="106" t="s">
        <v>40</v>
      </c>
      <c r="O2056" s="107"/>
      <c r="P2056" s="106" t="s">
        <v>8732</v>
      </c>
    </row>
    <row r="2057" spans="1:16" ht="27.6" outlineLevel="1" x14ac:dyDescent="0.3">
      <c r="A2057" s="321" t="s">
        <v>8733</v>
      </c>
      <c r="B2057" s="322"/>
      <c r="C2057" s="323" t="s">
        <v>8734</v>
      </c>
      <c r="D2057" s="322"/>
      <c r="E2057" s="322"/>
      <c r="F2057" s="322"/>
      <c r="G2057" s="321">
        <v>2</v>
      </c>
      <c r="H2057" s="322" t="s">
        <v>25</v>
      </c>
      <c r="I2057" s="321" t="s">
        <v>39</v>
      </c>
      <c r="J2057" s="321">
        <v>8</v>
      </c>
      <c r="K2057" s="321">
        <v>3</v>
      </c>
      <c r="L2057" s="321">
        <v>8</v>
      </c>
      <c r="M2057" s="324" t="s">
        <v>8735</v>
      </c>
      <c r="N2057" s="324" t="s">
        <v>223</v>
      </c>
      <c r="O2057" s="325"/>
      <c r="P2057" s="324" t="s">
        <v>8736</v>
      </c>
    </row>
    <row r="2058" spans="1:16" outlineLevel="2" x14ac:dyDescent="0.3">
      <c r="A2058" s="105" t="s">
        <v>8737</v>
      </c>
      <c r="B2058" s="106"/>
      <c r="C2058" s="106"/>
      <c r="D2058" s="106"/>
      <c r="E2058" s="106" t="s">
        <v>8738</v>
      </c>
      <c r="F2058" s="106" t="s">
        <v>8739</v>
      </c>
      <c r="G2058" s="105">
        <v>4</v>
      </c>
      <c r="H2058" s="106" t="s">
        <v>7</v>
      </c>
      <c r="I2058" s="105" t="s">
        <v>39</v>
      </c>
      <c r="J2058" s="105"/>
      <c r="K2058" s="105"/>
      <c r="L2058" s="105"/>
      <c r="M2058" s="106" t="s">
        <v>8740</v>
      </c>
      <c r="N2058" s="106" t="s">
        <v>40</v>
      </c>
      <c r="O2058" s="107"/>
      <c r="P2058" s="106" t="s">
        <v>8741</v>
      </c>
    </row>
    <row r="2059" spans="1:16" outlineLevel="2" x14ac:dyDescent="0.3">
      <c r="A2059" s="105" t="s">
        <v>8742</v>
      </c>
      <c r="B2059" s="106"/>
      <c r="C2059" s="106"/>
      <c r="D2059" s="106"/>
      <c r="E2059" s="106" t="s">
        <v>8743</v>
      </c>
      <c r="F2059" s="106" t="s">
        <v>8744</v>
      </c>
      <c r="G2059" s="105">
        <v>4</v>
      </c>
      <c r="H2059" s="106" t="s">
        <v>7</v>
      </c>
      <c r="I2059" s="105" t="s">
        <v>39</v>
      </c>
      <c r="J2059" s="105"/>
      <c r="K2059" s="105"/>
      <c r="L2059" s="105"/>
      <c r="M2059" s="106"/>
      <c r="N2059" s="106" t="s">
        <v>287</v>
      </c>
      <c r="O2059" s="107"/>
      <c r="P2059" s="106"/>
    </row>
    <row r="2060" spans="1:16" outlineLevel="2" x14ac:dyDescent="0.3">
      <c r="A2060" s="105" t="s">
        <v>8745</v>
      </c>
      <c r="B2060" s="106"/>
      <c r="C2060" s="106"/>
      <c r="D2060" s="106"/>
      <c r="E2060" s="106" t="s">
        <v>8746</v>
      </c>
      <c r="F2060" s="106" t="s">
        <v>13</v>
      </c>
      <c r="G2060" s="105">
        <v>4</v>
      </c>
      <c r="H2060" s="106" t="s">
        <v>7</v>
      </c>
      <c r="I2060" s="105"/>
      <c r="J2060" s="105"/>
      <c r="K2060" s="105"/>
      <c r="L2060" s="105"/>
      <c r="M2060" s="106"/>
      <c r="N2060" s="106" t="s">
        <v>40</v>
      </c>
      <c r="O2060" s="107" t="s">
        <v>447</v>
      </c>
      <c r="P2060" s="106" t="s">
        <v>8747</v>
      </c>
    </row>
    <row r="2061" spans="1:16" outlineLevel="2" x14ac:dyDescent="0.3">
      <c r="A2061" s="105" t="s">
        <v>8748</v>
      </c>
      <c r="B2061" s="106"/>
      <c r="C2061" s="106"/>
      <c r="D2061" s="106"/>
      <c r="E2061" s="106" t="s">
        <v>8749</v>
      </c>
      <c r="F2061" s="106" t="s">
        <v>8750</v>
      </c>
      <c r="G2061" s="105">
        <v>4</v>
      </c>
      <c r="H2061" s="106" t="s">
        <v>7</v>
      </c>
      <c r="I2061" s="105" t="s">
        <v>39</v>
      </c>
      <c r="J2061" s="105"/>
      <c r="K2061" s="105"/>
      <c r="L2061" s="105"/>
      <c r="M2061" s="106" t="s">
        <v>8751</v>
      </c>
      <c r="N2061" s="106" t="s">
        <v>223</v>
      </c>
      <c r="O2061" s="107"/>
      <c r="P2061" s="106" t="s">
        <v>8752</v>
      </c>
    </row>
    <row r="2062" spans="1:16" outlineLevel="2" x14ac:dyDescent="0.3">
      <c r="A2062" s="105" t="s">
        <v>8753</v>
      </c>
      <c r="B2062" s="106"/>
      <c r="C2062" s="106"/>
      <c r="D2062" s="106"/>
      <c r="E2062" s="106" t="s">
        <v>8754</v>
      </c>
      <c r="F2062" s="106" t="s">
        <v>8755</v>
      </c>
      <c r="G2062" s="105">
        <v>4</v>
      </c>
      <c r="H2062" s="106" t="s">
        <v>7</v>
      </c>
      <c r="I2062" s="105" t="s">
        <v>39</v>
      </c>
      <c r="J2062" s="105"/>
      <c r="K2062" s="105"/>
      <c r="L2062" s="105"/>
      <c r="M2062" s="106"/>
      <c r="N2062" s="106" t="s">
        <v>287</v>
      </c>
      <c r="O2062" s="107"/>
      <c r="P2062" s="106"/>
    </row>
    <row r="2063" spans="1:16" outlineLevel="2" x14ac:dyDescent="0.3">
      <c r="A2063" s="105" t="s">
        <v>8756</v>
      </c>
      <c r="B2063" s="106"/>
      <c r="C2063" s="106"/>
      <c r="D2063" s="106"/>
      <c r="E2063" s="106" t="s">
        <v>8757</v>
      </c>
      <c r="F2063" s="106" t="s">
        <v>8758</v>
      </c>
      <c r="G2063" s="105">
        <v>4</v>
      </c>
      <c r="H2063" s="106" t="s">
        <v>7</v>
      </c>
      <c r="I2063" s="105" t="s">
        <v>39</v>
      </c>
      <c r="J2063" s="105"/>
      <c r="K2063" s="105"/>
      <c r="L2063" s="105"/>
      <c r="M2063" s="106"/>
      <c r="N2063" s="106" t="s">
        <v>287</v>
      </c>
      <c r="O2063" s="107"/>
      <c r="P2063" s="106"/>
    </row>
    <row r="2064" spans="1:16" outlineLevel="2" x14ac:dyDescent="0.3">
      <c r="A2064" s="105" t="s">
        <v>8759</v>
      </c>
      <c r="B2064" s="106"/>
      <c r="C2064" s="106"/>
      <c r="D2064" s="106"/>
      <c r="E2064" s="106" t="s">
        <v>8760</v>
      </c>
      <c r="F2064" s="106" t="s">
        <v>8761</v>
      </c>
      <c r="G2064" s="105">
        <v>4</v>
      </c>
      <c r="H2064" s="106" t="s">
        <v>7</v>
      </c>
      <c r="I2064" s="105" t="s">
        <v>39</v>
      </c>
      <c r="J2064" s="105"/>
      <c r="K2064" s="105"/>
      <c r="L2064" s="105"/>
      <c r="M2064" s="106" t="s">
        <v>8762</v>
      </c>
      <c r="N2064" s="106" t="s">
        <v>223</v>
      </c>
      <c r="O2064" s="107"/>
      <c r="P2064" s="106" t="s">
        <v>8763</v>
      </c>
    </row>
    <row r="2065" spans="1:16" outlineLevel="2" x14ac:dyDescent="0.3">
      <c r="A2065" s="105" t="s">
        <v>8764</v>
      </c>
      <c r="B2065" s="106"/>
      <c r="C2065" s="106"/>
      <c r="D2065" s="106"/>
      <c r="E2065" s="106" t="s">
        <v>8765</v>
      </c>
      <c r="F2065" s="106" t="s">
        <v>8766</v>
      </c>
      <c r="G2065" s="105">
        <v>4</v>
      </c>
      <c r="H2065" s="106" t="s">
        <v>7</v>
      </c>
      <c r="I2065" s="105" t="s">
        <v>39</v>
      </c>
      <c r="J2065" s="105"/>
      <c r="K2065" s="105"/>
      <c r="L2065" s="105"/>
      <c r="M2065" s="106" t="s">
        <v>8767</v>
      </c>
      <c r="N2065" s="106" t="s">
        <v>223</v>
      </c>
      <c r="O2065" s="107"/>
      <c r="P2065" s="106" t="s">
        <v>8768</v>
      </c>
    </row>
    <row r="2066" spans="1:16" outlineLevel="2" x14ac:dyDescent="0.3">
      <c r="A2066" s="105" t="s">
        <v>8769</v>
      </c>
      <c r="B2066" s="106"/>
      <c r="C2066" s="106"/>
      <c r="D2066" s="106"/>
      <c r="E2066" s="106" t="s">
        <v>8770</v>
      </c>
      <c r="F2066" s="106" t="s">
        <v>8771</v>
      </c>
      <c r="G2066" s="105">
        <v>4</v>
      </c>
      <c r="H2066" s="106" t="s">
        <v>7</v>
      </c>
      <c r="I2066" s="105" t="s">
        <v>39</v>
      </c>
      <c r="J2066" s="105"/>
      <c r="K2066" s="105"/>
      <c r="L2066" s="105"/>
      <c r="M2066" s="106" t="s">
        <v>8772</v>
      </c>
      <c r="N2066" s="106" t="s">
        <v>40</v>
      </c>
      <c r="O2066" s="107"/>
      <c r="P2066" s="106" t="s">
        <v>8773</v>
      </c>
    </row>
    <row r="2067" spans="1:16" outlineLevel="2" x14ac:dyDescent="0.3">
      <c r="A2067" s="105" t="s">
        <v>8774</v>
      </c>
      <c r="B2067" s="106"/>
      <c r="C2067" s="106"/>
      <c r="D2067" s="106"/>
      <c r="E2067" s="106" t="s">
        <v>8775</v>
      </c>
      <c r="F2067" s="106" t="s">
        <v>13</v>
      </c>
      <c r="G2067" s="105">
        <v>4</v>
      </c>
      <c r="H2067" s="106" t="s">
        <v>7</v>
      </c>
      <c r="I2067" s="105"/>
      <c r="J2067" s="105"/>
      <c r="K2067" s="105"/>
      <c r="L2067" s="105"/>
      <c r="M2067" s="106"/>
      <c r="N2067" s="106" t="s">
        <v>40</v>
      </c>
      <c r="O2067" s="107" t="s">
        <v>447</v>
      </c>
      <c r="P2067" s="106" t="s">
        <v>8776</v>
      </c>
    </row>
    <row r="2068" spans="1:16" outlineLevel="2" x14ac:dyDescent="0.3">
      <c r="A2068" s="105" t="s">
        <v>8777</v>
      </c>
      <c r="B2068" s="106"/>
      <c r="C2068" s="106"/>
      <c r="D2068" s="106"/>
      <c r="E2068" s="106" t="s">
        <v>8778</v>
      </c>
      <c r="F2068" s="106" t="s">
        <v>13</v>
      </c>
      <c r="G2068" s="105">
        <v>4</v>
      </c>
      <c r="H2068" s="106" t="s">
        <v>7</v>
      </c>
      <c r="I2068" s="105"/>
      <c r="J2068" s="105"/>
      <c r="K2068" s="105"/>
      <c r="L2068" s="105"/>
      <c r="M2068" s="106"/>
      <c r="N2068" s="106" t="s">
        <v>40</v>
      </c>
      <c r="O2068" s="107" t="s">
        <v>447</v>
      </c>
      <c r="P2068" s="106" t="s">
        <v>8779</v>
      </c>
    </row>
    <row r="2069" spans="1:16" ht="27.6" outlineLevel="1" x14ac:dyDescent="0.3">
      <c r="A2069" s="321" t="s">
        <v>8780</v>
      </c>
      <c r="B2069" s="322"/>
      <c r="C2069" s="323" t="s">
        <v>8781</v>
      </c>
      <c r="D2069" s="322"/>
      <c r="E2069" s="322"/>
      <c r="F2069" s="322"/>
      <c r="G2069" s="321">
        <v>2</v>
      </c>
      <c r="H2069" s="322" t="s">
        <v>25</v>
      </c>
      <c r="I2069" s="321" t="s">
        <v>39</v>
      </c>
      <c r="J2069" s="321">
        <v>4</v>
      </c>
      <c r="K2069" s="321">
        <v>1</v>
      </c>
      <c r="L2069" s="321">
        <v>5</v>
      </c>
      <c r="M2069" s="324" t="s">
        <v>8782</v>
      </c>
      <c r="N2069" s="324" t="s">
        <v>40</v>
      </c>
      <c r="O2069" s="325"/>
      <c r="P2069" s="324" t="s">
        <v>8783</v>
      </c>
    </row>
    <row r="2070" spans="1:16" outlineLevel="2" x14ac:dyDescent="0.3">
      <c r="A2070" s="105" t="s">
        <v>8784</v>
      </c>
      <c r="B2070" s="106"/>
      <c r="C2070" s="106"/>
      <c r="D2070" s="106"/>
      <c r="E2070" s="106" t="s">
        <v>8785</v>
      </c>
      <c r="F2070" s="106" t="s">
        <v>8786</v>
      </c>
      <c r="G2070" s="105">
        <v>4</v>
      </c>
      <c r="H2070" s="106" t="s">
        <v>7</v>
      </c>
      <c r="I2070" s="105" t="s">
        <v>39</v>
      </c>
      <c r="J2070" s="105"/>
      <c r="K2070" s="105"/>
      <c r="L2070" s="105"/>
      <c r="M2070" s="106" t="s">
        <v>8787</v>
      </c>
      <c r="N2070" s="106" t="s">
        <v>40</v>
      </c>
      <c r="O2070" s="107"/>
      <c r="P2070" s="106" t="s">
        <v>8788</v>
      </c>
    </row>
    <row r="2071" spans="1:16" outlineLevel="2" x14ac:dyDescent="0.3">
      <c r="A2071" s="105" t="s">
        <v>8789</v>
      </c>
      <c r="B2071" s="106"/>
      <c r="C2071" s="106"/>
      <c r="D2071" s="106"/>
      <c r="E2071" s="106" t="s">
        <v>8790</v>
      </c>
      <c r="F2071" s="106" t="s">
        <v>8791</v>
      </c>
      <c r="G2071" s="105">
        <v>4</v>
      </c>
      <c r="H2071" s="106" t="s">
        <v>7</v>
      </c>
      <c r="I2071" s="105" t="s">
        <v>39</v>
      </c>
      <c r="J2071" s="105"/>
      <c r="K2071" s="105"/>
      <c r="L2071" s="105"/>
      <c r="M2071" s="106" t="s">
        <v>8792</v>
      </c>
      <c r="N2071" s="106" t="s">
        <v>40</v>
      </c>
      <c r="O2071" s="107"/>
      <c r="P2071" s="106" t="s">
        <v>8793</v>
      </c>
    </row>
    <row r="2072" spans="1:16" outlineLevel="2" x14ac:dyDescent="0.3">
      <c r="A2072" s="105" t="s">
        <v>8794</v>
      </c>
      <c r="B2072" s="106"/>
      <c r="C2072" s="106"/>
      <c r="D2072" s="106"/>
      <c r="E2072" s="106" t="s">
        <v>8795</v>
      </c>
      <c r="F2072" s="106" t="s">
        <v>8796</v>
      </c>
      <c r="G2072" s="105">
        <v>4</v>
      </c>
      <c r="H2072" s="106" t="s">
        <v>7</v>
      </c>
      <c r="I2072" s="105" t="s">
        <v>39</v>
      </c>
      <c r="J2072" s="105"/>
      <c r="K2072" s="105"/>
      <c r="L2072" s="105"/>
      <c r="M2072" s="106" t="s">
        <v>8797</v>
      </c>
      <c r="N2072" s="106" t="s">
        <v>40</v>
      </c>
      <c r="O2072" s="107"/>
      <c r="P2072" s="106" t="s">
        <v>8798</v>
      </c>
    </row>
    <row r="2073" spans="1:16" outlineLevel="2" x14ac:dyDescent="0.3">
      <c r="A2073" s="105" t="s">
        <v>8799</v>
      </c>
      <c r="B2073" s="106"/>
      <c r="C2073" s="106"/>
      <c r="D2073" s="106"/>
      <c r="E2073" s="106" t="s">
        <v>8800</v>
      </c>
      <c r="F2073" s="106" t="s">
        <v>8801</v>
      </c>
      <c r="G2073" s="105">
        <v>4</v>
      </c>
      <c r="H2073" s="106" t="s">
        <v>7</v>
      </c>
      <c r="I2073" s="105" t="s">
        <v>39</v>
      </c>
      <c r="J2073" s="105"/>
      <c r="K2073" s="105"/>
      <c r="L2073" s="105"/>
      <c r="M2073" s="106" t="s">
        <v>6244</v>
      </c>
      <c r="N2073" s="106" t="s">
        <v>40</v>
      </c>
      <c r="O2073" s="107"/>
      <c r="P2073" s="106" t="s">
        <v>8802</v>
      </c>
    </row>
    <row r="2074" spans="1:16" outlineLevel="2" x14ac:dyDescent="0.3">
      <c r="A2074" s="105" t="s">
        <v>8803</v>
      </c>
      <c r="B2074" s="106"/>
      <c r="C2074" s="106"/>
      <c r="D2074" s="106"/>
      <c r="E2074" s="106" t="s">
        <v>8804</v>
      </c>
      <c r="F2074" s="106" t="s">
        <v>13</v>
      </c>
      <c r="G2074" s="105">
        <v>4</v>
      </c>
      <c r="H2074" s="106" t="s">
        <v>7</v>
      </c>
      <c r="I2074" s="105"/>
      <c r="J2074" s="105"/>
      <c r="K2074" s="105"/>
      <c r="L2074" s="105"/>
      <c r="M2074" s="106"/>
      <c r="N2074" s="106" t="s">
        <v>40</v>
      </c>
      <c r="O2074" s="107" t="s">
        <v>447</v>
      </c>
      <c r="P2074" s="106" t="s">
        <v>8805</v>
      </c>
    </row>
    <row r="2075" spans="1:16" outlineLevel="1" x14ac:dyDescent="0.3">
      <c r="A2075" s="321" t="s">
        <v>8806</v>
      </c>
      <c r="B2075" s="322"/>
      <c r="C2075" s="326" t="s">
        <v>8807</v>
      </c>
      <c r="D2075" s="327"/>
      <c r="E2075" s="322"/>
      <c r="F2075" s="322"/>
      <c r="G2075" s="321">
        <v>2</v>
      </c>
      <c r="H2075" s="327" t="s">
        <v>396</v>
      </c>
      <c r="I2075" s="321" t="s">
        <v>39</v>
      </c>
      <c r="J2075" s="321">
        <v>49</v>
      </c>
      <c r="K2075" s="321">
        <v>0</v>
      </c>
      <c r="L2075" s="321">
        <v>0</v>
      </c>
      <c r="M2075" s="324" t="s">
        <v>8808</v>
      </c>
      <c r="N2075" s="324" t="s">
        <v>287</v>
      </c>
      <c r="O2075" s="325"/>
      <c r="P2075" s="324"/>
    </row>
    <row r="2076" spans="1:16" outlineLevel="2" x14ac:dyDescent="0.3">
      <c r="A2076" s="105" t="s">
        <v>8809</v>
      </c>
      <c r="B2076" s="106"/>
      <c r="C2076" s="106"/>
      <c r="D2076" s="106"/>
      <c r="E2076" s="106" t="s">
        <v>8810</v>
      </c>
      <c r="F2076" s="106" t="s">
        <v>8811</v>
      </c>
      <c r="G2076" s="105">
        <v>4</v>
      </c>
      <c r="H2076" s="106" t="s">
        <v>7</v>
      </c>
      <c r="I2076" s="105" t="s">
        <v>39</v>
      </c>
      <c r="J2076" s="105"/>
      <c r="K2076" s="105"/>
      <c r="L2076" s="105"/>
      <c r="M2076" s="106"/>
      <c r="N2076" s="106" t="s">
        <v>287</v>
      </c>
      <c r="O2076" s="107"/>
      <c r="P2076" s="106"/>
    </row>
    <row r="2077" spans="1:16" outlineLevel="2" x14ac:dyDescent="0.3">
      <c r="A2077" s="105" t="s">
        <v>8812</v>
      </c>
      <c r="B2077" s="106"/>
      <c r="C2077" s="106"/>
      <c r="D2077" s="106"/>
      <c r="E2077" s="106" t="s">
        <v>8810</v>
      </c>
      <c r="F2077" s="106" t="s">
        <v>8813</v>
      </c>
      <c r="G2077" s="105">
        <v>4</v>
      </c>
      <c r="H2077" s="106" t="s">
        <v>7</v>
      </c>
      <c r="I2077" s="105" t="s">
        <v>39</v>
      </c>
      <c r="J2077" s="105"/>
      <c r="K2077" s="105"/>
      <c r="L2077" s="105"/>
      <c r="M2077" s="106"/>
      <c r="N2077" s="106" t="s">
        <v>287</v>
      </c>
      <c r="O2077" s="107"/>
      <c r="P2077" s="106"/>
    </row>
    <row r="2078" spans="1:16" outlineLevel="2" x14ac:dyDescent="0.3">
      <c r="A2078" s="105" t="s">
        <v>8814</v>
      </c>
      <c r="B2078" s="106"/>
      <c r="C2078" s="106"/>
      <c r="D2078" s="106"/>
      <c r="E2078" s="106" t="s">
        <v>8815</v>
      </c>
      <c r="F2078" s="106" t="s">
        <v>8816</v>
      </c>
      <c r="G2078" s="105">
        <v>4</v>
      </c>
      <c r="H2078" s="106" t="s">
        <v>7</v>
      </c>
      <c r="I2078" s="105" t="s">
        <v>39</v>
      </c>
      <c r="J2078" s="105"/>
      <c r="K2078" s="105"/>
      <c r="L2078" s="105"/>
      <c r="M2078" s="106" t="s">
        <v>8817</v>
      </c>
      <c r="N2078" s="106" t="s">
        <v>287</v>
      </c>
      <c r="O2078" s="107"/>
      <c r="P2078" s="106"/>
    </row>
    <row r="2079" spans="1:16" outlineLevel="2" x14ac:dyDescent="0.3">
      <c r="A2079" s="105" t="s">
        <v>8818</v>
      </c>
      <c r="B2079" s="106"/>
      <c r="C2079" s="106"/>
      <c r="D2079" s="106"/>
      <c r="E2079" s="106" t="s">
        <v>8819</v>
      </c>
      <c r="F2079" s="106" t="s">
        <v>8820</v>
      </c>
      <c r="G2079" s="105">
        <v>4</v>
      </c>
      <c r="H2079" s="106" t="s">
        <v>7</v>
      </c>
      <c r="I2079" s="105" t="s">
        <v>39</v>
      </c>
      <c r="J2079" s="105"/>
      <c r="K2079" s="105"/>
      <c r="L2079" s="105"/>
      <c r="M2079" s="106" t="s">
        <v>8821</v>
      </c>
      <c r="N2079" s="106" t="s">
        <v>287</v>
      </c>
      <c r="O2079" s="107"/>
      <c r="P2079" s="106"/>
    </row>
    <row r="2080" spans="1:16" outlineLevel="2" x14ac:dyDescent="0.3">
      <c r="A2080" s="105" t="s">
        <v>8822</v>
      </c>
      <c r="B2080" s="106"/>
      <c r="C2080" s="106"/>
      <c r="D2080" s="106"/>
      <c r="E2080" s="106" t="s">
        <v>8823</v>
      </c>
      <c r="F2080" s="106" t="s">
        <v>8824</v>
      </c>
      <c r="G2080" s="105">
        <v>4</v>
      </c>
      <c r="H2080" s="106" t="s">
        <v>7</v>
      </c>
      <c r="I2080" s="105" t="s">
        <v>39</v>
      </c>
      <c r="J2080" s="105"/>
      <c r="K2080" s="105"/>
      <c r="L2080" s="105"/>
      <c r="M2080" s="106" t="s">
        <v>8825</v>
      </c>
      <c r="N2080" s="106" t="s">
        <v>287</v>
      </c>
      <c r="O2080" s="107"/>
      <c r="P2080" s="106"/>
    </row>
    <row r="2081" spans="1:16" outlineLevel="2" x14ac:dyDescent="0.3">
      <c r="A2081" s="105" t="s">
        <v>8826</v>
      </c>
      <c r="B2081" s="106"/>
      <c r="C2081" s="106"/>
      <c r="D2081" s="106"/>
      <c r="E2081" s="106" t="s">
        <v>8827</v>
      </c>
      <c r="F2081" s="106" t="s">
        <v>8828</v>
      </c>
      <c r="G2081" s="105">
        <v>4</v>
      </c>
      <c r="H2081" s="106" t="s">
        <v>7</v>
      </c>
      <c r="I2081" s="105" t="s">
        <v>39</v>
      </c>
      <c r="J2081" s="105"/>
      <c r="K2081" s="105"/>
      <c r="L2081" s="105"/>
      <c r="M2081" s="106" t="s">
        <v>8829</v>
      </c>
      <c r="N2081" s="106" t="s">
        <v>287</v>
      </c>
      <c r="O2081" s="107"/>
      <c r="P2081" s="106"/>
    </row>
    <row r="2082" spans="1:16" outlineLevel="2" x14ac:dyDescent="0.3">
      <c r="A2082" s="105" t="s">
        <v>8830</v>
      </c>
      <c r="B2082" s="106"/>
      <c r="C2082" s="106"/>
      <c r="D2082" s="106"/>
      <c r="E2082" s="106" t="s">
        <v>8831</v>
      </c>
      <c r="F2082" s="106" t="s">
        <v>8832</v>
      </c>
      <c r="G2082" s="105">
        <v>4</v>
      </c>
      <c r="H2082" s="106" t="s">
        <v>7</v>
      </c>
      <c r="I2082" s="105" t="s">
        <v>39</v>
      </c>
      <c r="J2082" s="105"/>
      <c r="K2082" s="105"/>
      <c r="L2082" s="105"/>
      <c r="M2082" s="106" t="s">
        <v>8833</v>
      </c>
      <c r="N2082" s="106" t="s">
        <v>287</v>
      </c>
      <c r="O2082" s="107"/>
      <c r="P2082" s="106"/>
    </row>
    <row r="2083" spans="1:16" outlineLevel="2" x14ac:dyDescent="0.3">
      <c r="A2083" s="105" t="s">
        <v>8834</v>
      </c>
      <c r="B2083" s="106"/>
      <c r="C2083" s="106"/>
      <c r="D2083" s="106"/>
      <c r="E2083" s="106" t="s">
        <v>8835</v>
      </c>
      <c r="F2083" s="106" t="s">
        <v>8836</v>
      </c>
      <c r="G2083" s="105">
        <v>4</v>
      </c>
      <c r="H2083" s="106" t="s">
        <v>7</v>
      </c>
      <c r="I2083" s="105" t="s">
        <v>39</v>
      </c>
      <c r="J2083" s="105"/>
      <c r="K2083" s="105"/>
      <c r="L2083" s="105"/>
      <c r="M2083" s="106" t="s">
        <v>8837</v>
      </c>
      <c r="N2083" s="106" t="s">
        <v>287</v>
      </c>
      <c r="O2083" s="107"/>
      <c r="P2083" s="106"/>
    </row>
    <row r="2084" spans="1:16" outlineLevel="2" x14ac:dyDescent="0.3">
      <c r="A2084" s="105" t="s">
        <v>8838</v>
      </c>
      <c r="B2084" s="106"/>
      <c r="C2084" s="106"/>
      <c r="D2084" s="106"/>
      <c r="E2084" s="106" t="s">
        <v>8839</v>
      </c>
      <c r="F2084" s="106" t="s">
        <v>8840</v>
      </c>
      <c r="G2084" s="105">
        <v>4</v>
      </c>
      <c r="H2084" s="106" t="s">
        <v>7</v>
      </c>
      <c r="I2084" s="105" t="s">
        <v>39</v>
      </c>
      <c r="J2084" s="105"/>
      <c r="K2084" s="105"/>
      <c r="L2084" s="105"/>
      <c r="M2084" s="106" t="s">
        <v>8841</v>
      </c>
      <c r="N2084" s="106" t="s">
        <v>287</v>
      </c>
      <c r="O2084" s="107"/>
      <c r="P2084" s="106"/>
    </row>
    <row r="2085" spans="1:16" outlineLevel="2" x14ac:dyDescent="0.3">
      <c r="A2085" s="105" t="s">
        <v>8842</v>
      </c>
      <c r="B2085" s="106"/>
      <c r="C2085" s="106"/>
      <c r="D2085" s="106"/>
      <c r="E2085" s="106" t="s">
        <v>8843</v>
      </c>
      <c r="F2085" s="106" t="s">
        <v>8844</v>
      </c>
      <c r="G2085" s="105">
        <v>4</v>
      </c>
      <c r="H2085" s="106" t="s">
        <v>7</v>
      </c>
      <c r="I2085" s="105" t="s">
        <v>39</v>
      </c>
      <c r="J2085" s="105"/>
      <c r="K2085" s="105"/>
      <c r="L2085" s="105"/>
      <c r="M2085" s="106" t="s">
        <v>8845</v>
      </c>
      <c r="N2085" s="106" t="s">
        <v>287</v>
      </c>
      <c r="O2085" s="107"/>
      <c r="P2085" s="106"/>
    </row>
    <row r="2086" spans="1:16" outlineLevel="2" x14ac:dyDescent="0.3">
      <c r="A2086" s="105" t="s">
        <v>8846</v>
      </c>
      <c r="B2086" s="106"/>
      <c r="C2086" s="106"/>
      <c r="D2086" s="106"/>
      <c r="E2086" s="106" t="s">
        <v>8847</v>
      </c>
      <c r="F2086" s="106" t="s">
        <v>8848</v>
      </c>
      <c r="G2086" s="105">
        <v>4</v>
      </c>
      <c r="H2086" s="106" t="s">
        <v>7</v>
      </c>
      <c r="I2086" s="105" t="s">
        <v>39</v>
      </c>
      <c r="J2086" s="105"/>
      <c r="K2086" s="105"/>
      <c r="L2086" s="105"/>
      <c r="M2086" s="106" t="s">
        <v>8849</v>
      </c>
      <c r="N2086" s="106" t="s">
        <v>287</v>
      </c>
      <c r="O2086" s="107"/>
      <c r="P2086" s="106"/>
    </row>
    <row r="2087" spans="1:16" outlineLevel="2" x14ac:dyDescent="0.3">
      <c r="A2087" s="105" t="s">
        <v>8850</v>
      </c>
      <c r="B2087" s="106"/>
      <c r="C2087" s="106"/>
      <c r="D2087" s="106"/>
      <c r="E2087" s="106" t="s">
        <v>8851</v>
      </c>
      <c r="F2087" s="106" t="s">
        <v>8852</v>
      </c>
      <c r="G2087" s="105">
        <v>4</v>
      </c>
      <c r="H2087" s="106" t="s">
        <v>7</v>
      </c>
      <c r="I2087" s="105" t="s">
        <v>39</v>
      </c>
      <c r="J2087" s="105"/>
      <c r="K2087" s="105"/>
      <c r="L2087" s="105"/>
      <c r="M2087" s="106" t="s">
        <v>8853</v>
      </c>
      <c r="N2087" s="106" t="s">
        <v>287</v>
      </c>
      <c r="O2087" s="107"/>
      <c r="P2087" s="106"/>
    </row>
    <row r="2088" spans="1:16" outlineLevel="2" x14ac:dyDescent="0.3">
      <c r="A2088" s="105" t="s">
        <v>8854</v>
      </c>
      <c r="B2088" s="106"/>
      <c r="C2088" s="106"/>
      <c r="D2088" s="106"/>
      <c r="E2088" s="106" t="s">
        <v>8855</v>
      </c>
      <c r="F2088" s="106" t="s">
        <v>8856</v>
      </c>
      <c r="G2088" s="105">
        <v>4</v>
      </c>
      <c r="H2088" s="106" t="s">
        <v>7</v>
      </c>
      <c r="I2088" s="105" t="s">
        <v>39</v>
      </c>
      <c r="J2088" s="105"/>
      <c r="K2088" s="105"/>
      <c r="L2088" s="105"/>
      <c r="M2088" s="106" t="s">
        <v>8857</v>
      </c>
      <c r="N2088" s="106" t="s">
        <v>287</v>
      </c>
      <c r="O2088" s="107"/>
      <c r="P2088" s="106"/>
    </row>
    <row r="2089" spans="1:16" outlineLevel="2" x14ac:dyDescent="0.3">
      <c r="A2089" s="105" t="s">
        <v>8858</v>
      </c>
      <c r="B2089" s="106"/>
      <c r="C2089" s="106"/>
      <c r="D2089" s="106"/>
      <c r="E2089" s="106" t="s">
        <v>8859</v>
      </c>
      <c r="F2089" s="106" t="s">
        <v>8860</v>
      </c>
      <c r="G2089" s="105">
        <v>4</v>
      </c>
      <c r="H2089" s="106" t="s">
        <v>7</v>
      </c>
      <c r="I2089" s="105" t="s">
        <v>39</v>
      </c>
      <c r="J2089" s="105"/>
      <c r="K2089" s="105"/>
      <c r="L2089" s="105"/>
      <c r="M2089" s="106" t="s">
        <v>8861</v>
      </c>
      <c r="N2089" s="106" t="s">
        <v>287</v>
      </c>
      <c r="O2089" s="107"/>
      <c r="P2089" s="106"/>
    </row>
    <row r="2090" spans="1:16" outlineLevel="2" x14ac:dyDescent="0.3">
      <c r="A2090" s="105" t="s">
        <v>8862</v>
      </c>
      <c r="B2090" s="106"/>
      <c r="C2090" s="106"/>
      <c r="D2090" s="106"/>
      <c r="E2090" s="106" t="s">
        <v>8863</v>
      </c>
      <c r="F2090" s="106" t="s">
        <v>8864</v>
      </c>
      <c r="G2090" s="105">
        <v>4</v>
      </c>
      <c r="H2090" s="106" t="s">
        <v>7</v>
      </c>
      <c r="I2090" s="105" t="s">
        <v>39</v>
      </c>
      <c r="J2090" s="105"/>
      <c r="K2090" s="105"/>
      <c r="L2090" s="105"/>
      <c r="M2090" s="106" t="s">
        <v>8865</v>
      </c>
      <c r="N2090" s="106" t="s">
        <v>287</v>
      </c>
      <c r="O2090" s="107"/>
      <c r="P2090" s="106"/>
    </row>
    <row r="2091" spans="1:16" outlineLevel="2" x14ac:dyDescent="0.3">
      <c r="A2091" s="105" t="s">
        <v>8866</v>
      </c>
      <c r="B2091" s="106"/>
      <c r="C2091" s="106"/>
      <c r="D2091" s="106"/>
      <c r="E2091" s="106" t="s">
        <v>8867</v>
      </c>
      <c r="F2091" s="106" t="s">
        <v>8868</v>
      </c>
      <c r="G2091" s="105">
        <v>4</v>
      </c>
      <c r="H2091" s="106" t="s">
        <v>7</v>
      </c>
      <c r="I2091" s="105" t="s">
        <v>39</v>
      </c>
      <c r="J2091" s="105"/>
      <c r="K2091" s="105"/>
      <c r="L2091" s="105"/>
      <c r="M2091" s="106"/>
      <c r="N2091" s="106" t="s">
        <v>287</v>
      </c>
      <c r="O2091" s="107"/>
      <c r="P2091" s="106"/>
    </row>
    <row r="2092" spans="1:16" outlineLevel="2" x14ac:dyDescent="0.3">
      <c r="A2092" s="105" t="s">
        <v>8869</v>
      </c>
      <c r="B2092" s="106"/>
      <c r="C2092" s="106"/>
      <c r="D2092" s="106"/>
      <c r="E2092" s="106" t="s">
        <v>8867</v>
      </c>
      <c r="F2092" s="106" t="s">
        <v>8870</v>
      </c>
      <c r="G2092" s="105">
        <v>4</v>
      </c>
      <c r="H2092" s="106" t="s">
        <v>7</v>
      </c>
      <c r="I2092" s="105" t="s">
        <v>39</v>
      </c>
      <c r="J2092" s="105"/>
      <c r="K2092" s="105"/>
      <c r="L2092" s="105"/>
      <c r="M2092" s="106"/>
      <c r="N2092" s="106" t="s">
        <v>287</v>
      </c>
      <c r="O2092" s="107"/>
      <c r="P2092" s="106"/>
    </row>
    <row r="2093" spans="1:16" outlineLevel="2" x14ac:dyDescent="0.3">
      <c r="A2093" s="105" t="s">
        <v>8871</v>
      </c>
      <c r="B2093" s="106"/>
      <c r="C2093" s="106"/>
      <c r="D2093" s="106"/>
      <c r="E2093" s="106" t="s">
        <v>8872</v>
      </c>
      <c r="F2093" s="106" t="s">
        <v>8873</v>
      </c>
      <c r="G2093" s="105">
        <v>4</v>
      </c>
      <c r="H2093" s="106" t="s">
        <v>7</v>
      </c>
      <c r="I2093" s="105" t="s">
        <v>39</v>
      </c>
      <c r="J2093" s="105"/>
      <c r="K2093" s="105"/>
      <c r="L2093" s="105"/>
      <c r="M2093" s="106" t="s">
        <v>8874</v>
      </c>
      <c r="N2093" s="106" t="s">
        <v>287</v>
      </c>
      <c r="O2093" s="107"/>
      <c r="P2093" s="106"/>
    </row>
    <row r="2094" spans="1:16" outlineLevel="2" x14ac:dyDescent="0.3">
      <c r="A2094" s="105" t="s">
        <v>8875</v>
      </c>
      <c r="B2094" s="106"/>
      <c r="C2094" s="106"/>
      <c r="D2094" s="106"/>
      <c r="E2094" s="106" t="s">
        <v>8876</v>
      </c>
      <c r="F2094" s="106" t="s">
        <v>8877</v>
      </c>
      <c r="G2094" s="105">
        <v>4</v>
      </c>
      <c r="H2094" s="106" t="s">
        <v>7</v>
      </c>
      <c r="I2094" s="105" t="s">
        <v>39</v>
      </c>
      <c r="J2094" s="105"/>
      <c r="K2094" s="105"/>
      <c r="L2094" s="105"/>
      <c r="M2094" s="106" t="s">
        <v>8878</v>
      </c>
      <c r="N2094" s="106" t="s">
        <v>287</v>
      </c>
      <c r="O2094" s="107"/>
      <c r="P2094" s="106"/>
    </row>
    <row r="2095" spans="1:16" outlineLevel="2" x14ac:dyDescent="0.3">
      <c r="A2095" s="105" t="s">
        <v>8879</v>
      </c>
      <c r="B2095" s="106"/>
      <c r="C2095" s="106"/>
      <c r="D2095" s="106"/>
      <c r="E2095" s="106" t="s">
        <v>8880</v>
      </c>
      <c r="F2095" s="106" t="s">
        <v>8881</v>
      </c>
      <c r="G2095" s="105">
        <v>4</v>
      </c>
      <c r="H2095" s="106" t="s">
        <v>7</v>
      </c>
      <c r="I2095" s="105" t="s">
        <v>39</v>
      </c>
      <c r="J2095" s="105"/>
      <c r="K2095" s="105"/>
      <c r="L2095" s="105"/>
      <c r="M2095" s="106" t="s">
        <v>8882</v>
      </c>
      <c r="N2095" s="106" t="s">
        <v>287</v>
      </c>
      <c r="O2095" s="107"/>
      <c r="P2095" s="106"/>
    </row>
    <row r="2096" spans="1:16" outlineLevel="2" x14ac:dyDescent="0.3">
      <c r="A2096" s="105" t="s">
        <v>8883</v>
      </c>
      <c r="B2096" s="106"/>
      <c r="C2096" s="106"/>
      <c r="D2096" s="106"/>
      <c r="E2096" s="106" t="s">
        <v>8884</v>
      </c>
      <c r="F2096" s="106" t="s">
        <v>8885</v>
      </c>
      <c r="G2096" s="105">
        <v>4</v>
      </c>
      <c r="H2096" s="106" t="s">
        <v>7</v>
      </c>
      <c r="I2096" s="105" t="s">
        <v>39</v>
      </c>
      <c r="J2096" s="105"/>
      <c r="K2096" s="105"/>
      <c r="L2096" s="105"/>
      <c r="M2096" s="106" t="s">
        <v>8886</v>
      </c>
      <c r="N2096" s="106" t="s">
        <v>287</v>
      </c>
      <c r="O2096" s="107"/>
      <c r="P2096" s="106"/>
    </row>
    <row r="2097" spans="1:16" outlineLevel="2" x14ac:dyDescent="0.3">
      <c r="A2097" s="105" t="s">
        <v>8887</v>
      </c>
      <c r="B2097" s="106"/>
      <c r="C2097" s="106"/>
      <c r="D2097" s="106"/>
      <c r="E2097" s="106" t="s">
        <v>8888</v>
      </c>
      <c r="F2097" s="106" t="s">
        <v>8889</v>
      </c>
      <c r="G2097" s="105">
        <v>4</v>
      </c>
      <c r="H2097" s="106" t="s">
        <v>7</v>
      </c>
      <c r="I2097" s="105" t="s">
        <v>39</v>
      </c>
      <c r="J2097" s="105"/>
      <c r="K2097" s="105"/>
      <c r="L2097" s="105"/>
      <c r="M2097" s="106" t="s">
        <v>8890</v>
      </c>
      <c r="N2097" s="106" t="s">
        <v>287</v>
      </c>
      <c r="O2097" s="107"/>
      <c r="P2097" s="106" t="s">
        <v>8891</v>
      </c>
    </row>
    <row r="2098" spans="1:16" outlineLevel="2" x14ac:dyDescent="0.3">
      <c r="A2098" s="105" t="s">
        <v>8892</v>
      </c>
      <c r="B2098" s="106"/>
      <c r="C2098" s="106"/>
      <c r="D2098" s="106"/>
      <c r="E2098" s="106" t="s">
        <v>8893</v>
      </c>
      <c r="F2098" s="106" t="s">
        <v>8894</v>
      </c>
      <c r="G2098" s="105">
        <v>4</v>
      </c>
      <c r="H2098" s="106" t="s">
        <v>7</v>
      </c>
      <c r="I2098" s="105" t="s">
        <v>39</v>
      </c>
      <c r="J2098" s="105"/>
      <c r="K2098" s="105"/>
      <c r="L2098" s="105"/>
      <c r="M2098" s="106" t="s">
        <v>8895</v>
      </c>
      <c r="N2098" s="106" t="s">
        <v>287</v>
      </c>
      <c r="O2098" s="107"/>
      <c r="P2098" s="106"/>
    </row>
    <row r="2099" spans="1:16" outlineLevel="2" x14ac:dyDescent="0.3">
      <c r="A2099" s="105" t="s">
        <v>8896</v>
      </c>
      <c r="B2099" s="106"/>
      <c r="C2099" s="106"/>
      <c r="D2099" s="106"/>
      <c r="E2099" s="106" t="s">
        <v>8897</v>
      </c>
      <c r="F2099" s="106" t="s">
        <v>8898</v>
      </c>
      <c r="G2099" s="105">
        <v>4</v>
      </c>
      <c r="H2099" s="106" t="s">
        <v>7</v>
      </c>
      <c r="I2099" s="105" t="s">
        <v>39</v>
      </c>
      <c r="J2099" s="105"/>
      <c r="K2099" s="105"/>
      <c r="L2099" s="105"/>
      <c r="M2099" s="106"/>
      <c r="N2099" s="106" t="s">
        <v>287</v>
      </c>
      <c r="O2099" s="107"/>
      <c r="P2099" s="106" t="s">
        <v>8899</v>
      </c>
    </row>
    <row r="2100" spans="1:16" outlineLevel="2" x14ac:dyDescent="0.3">
      <c r="A2100" s="105" t="s">
        <v>8900</v>
      </c>
      <c r="B2100" s="106"/>
      <c r="C2100" s="106"/>
      <c r="D2100" s="106"/>
      <c r="E2100" s="106" t="s">
        <v>8901</v>
      </c>
      <c r="F2100" s="106" t="s">
        <v>8902</v>
      </c>
      <c r="G2100" s="105">
        <v>4</v>
      </c>
      <c r="H2100" s="106" t="s">
        <v>7</v>
      </c>
      <c r="I2100" s="105" t="s">
        <v>39</v>
      </c>
      <c r="J2100" s="105"/>
      <c r="K2100" s="105"/>
      <c r="L2100" s="105"/>
      <c r="M2100" s="106"/>
      <c r="N2100" s="106" t="s">
        <v>287</v>
      </c>
      <c r="O2100" s="107"/>
      <c r="P2100" s="106"/>
    </row>
    <row r="2101" spans="1:16" outlineLevel="2" x14ac:dyDescent="0.3">
      <c r="A2101" s="105" t="s">
        <v>8903</v>
      </c>
      <c r="B2101" s="106"/>
      <c r="C2101" s="106"/>
      <c r="D2101" s="106"/>
      <c r="E2101" s="106" t="s">
        <v>8904</v>
      </c>
      <c r="F2101" s="106" t="s">
        <v>8905</v>
      </c>
      <c r="G2101" s="105">
        <v>4</v>
      </c>
      <c r="H2101" s="106" t="s">
        <v>7</v>
      </c>
      <c r="I2101" s="105" t="s">
        <v>39</v>
      </c>
      <c r="J2101" s="105"/>
      <c r="K2101" s="105"/>
      <c r="L2101" s="105"/>
      <c r="M2101" s="106" t="s">
        <v>8906</v>
      </c>
      <c r="N2101" s="106" t="s">
        <v>287</v>
      </c>
      <c r="O2101" s="107"/>
      <c r="P2101" s="106"/>
    </row>
    <row r="2102" spans="1:16" outlineLevel="2" x14ac:dyDescent="0.3">
      <c r="A2102" s="105" t="s">
        <v>8907</v>
      </c>
      <c r="B2102" s="106"/>
      <c r="C2102" s="106"/>
      <c r="D2102" s="106"/>
      <c r="E2102" s="106" t="s">
        <v>8908</v>
      </c>
      <c r="F2102" s="106" t="s">
        <v>8909</v>
      </c>
      <c r="G2102" s="105">
        <v>4</v>
      </c>
      <c r="H2102" s="106" t="s">
        <v>7</v>
      </c>
      <c r="I2102" s="105" t="s">
        <v>39</v>
      </c>
      <c r="J2102" s="105"/>
      <c r="K2102" s="105"/>
      <c r="L2102" s="105"/>
      <c r="M2102" s="106" t="s">
        <v>8910</v>
      </c>
      <c r="N2102" s="106" t="s">
        <v>287</v>
      </c>
      <c r="O2102" s="107"/>
      <c r="P2102" s="106"/>
    </row>
    <row r="2103" spans="1:16" outlineLevel="2" x14ac:dyDescent="0.3">
      <c r="A2103" s="105" t="s">
        <v>8911</v>
      </c>
      <c r="B2103" s="106"/>
      <c r="C2103" s="106"/>
      <c r="D2103" s="106"/>
      <c r="E2103" s="106" t="s">
        <v>8912</v>
      </c>
      <c r="F2103" s="106" t="s">
        <v>8913</v>
      </c>
      <c r="G2103" s="105">
        <v>4</v>
      </c>
      <c r="H2103" s="106" t="s">
        <v>7</v>
      </c>
      <c r="I2103" s="105" t="s">
        <v>39</v>
      </c>
      <c r="J2103" s="105"/>
      <c r="K2103" s="105"/>
      <c r="L2103" s="105"/>
      <c r="M2103" s="106" t="s">
        <v>8914</v>
      </c>
      <c r="N2103" s="106" t="s">
        <v>287</v>
      </c>
      <c r="O2103" s="107"/>
      <c r="P2103" s="106"/>
    </row>
    <row r="2104" spans="1:16" outlineLevel="2" x14ac:dyDescent="0.3">
      <c r="A2104" s="105" t="s">
        <v>8915</v>
      </c>
      <c r="B2104" s="106"/>
      <c r="C2104" s="106"/>
      <c r="D2104" s="106"/>
      <c r="E2104" s="106" t="s">
        <v>8916</v>
      </c>
      <c r="F2104" s="106" t="s">
        <v>8917</v>
      </c>
      <c r="G2104" s="105">
        <v>4</v>
      </c>
      <c r="H2104" s="106" t="s">
        <v>7</v>
      </c>
      <c r="I2104" s="105" t="s">
        <v>39</v>
      </c>
      <c r="J2104" s="105"/>
      <c r="K2104" s="105"/>
      <c r="L2104" s="105"/>
      <c r="M2104" s="106" t="s">
        <v>8918</v>
      </c>
      <c r="N2104" s="106" t="s">
        <v>287</v>
      </c>
      <c r="O2104" s="107"/>
      <c r="P2104" s="106"/>
    </row>
    <row r="2105" spans="1:16" outlineLevel="2" x14ac:dyDescent="0.3">
      <c r="A2105" s="105" t="s">
        <v>8919</v>
      </c>
      <c r="B2105" s="106"/>
      <c r="C2105" s="106"/>
      <c r="D2105" s="106"/>
      <c r="E2105" s="106" t="s">
        <v>8920</v>
      </c>
      <c r="F2105" s="106" t="s">
        <v>8921</v>
      </c>
      <c r="G2105" s="105">
        <v>4</v>
      </c>
      <c r="H2105" s="106" t="s">
        <v>7</v>
      </c>
      <c r="I2105" s="105" t="s">
        <v>39</v>
      </c>
      <c r="J2105" s="105"/>
      <c r="K2105" s="105"/>
      <c r="L2105" s="105"/>
      <c r="M2105" s="106" t="s">
        <v>8922</v>
      </c>
      <c r="N2105" s="106" t="s">
        <v>287</v>
      </c>
      <c r="O2105" s="107"/>
      <c r="P2105" s="106"/>
    </row>
    <row r="2106" spans="1:16" outlineLevel="2" x14ac:dyDescent="0.3">
      <c r="A2106" s="105" t="s">
        <v>8923</v>
      </c>
      <c r="B2106" s="106"/>
      <c r="C2106" s="106"/>
      <c r="D2106" s="106"/>
      <c r="E2106" s="106" t="s">
        <v>8924</v>
      </c>
      <c r="F2106" s="106" t="s">
        <v>8925</v>
      </c>
      <c r="G2106" s="105">
        <v>4</v>
      </c>
      <c r="H2106" s="106" t="s">
        <v>7</v>
      </c>
      <c r="I2106" s="105" t="s">
        <v>39</v>
      </c>
      <c r="J2106" s="105"/>
      <c r="K2106" s="105"/>
      <c r="L2106" s="105"/>
      <c r="M2106" s="106" t="s">
        <v>1014</v>
      </c>
      <c r="N2106" s="106" t="s">
        <v>287</v>
      </c>
      <c r="O2106" s="107"/>
      <c r="P2106" s="106"/>
    </row>
    <row r="2107" spans="1:16" outlineLevel="2" x14ac:dyDescent="0.3">
      <c r="A2107" s="105" t="s">
        <v>8926</v>
      </c>
      <c r="B2107" s="106"/>
      <c r="C2107" s="106"/>
      <c r="D2107" s="106"/>
      <c r="E2107" s="106" t="s">
        <v>8927</v>
      </c>
      <c r="F2107" s="106" t="s">
        <v>8928</v>
      </c>
      <c r="G2107" s="105">
        <v>4</v>
      </c>
      <c r="H2107" s="106" t="s">
        <v>7</v>
      </c>
      <c r="I2107" s="105" t="s">
        <v>39</v>
      </c>
      <c r="J2107" s="105"/>
      <c r="K2107" s="105"/>
      <c r="L2107" s="105"/>
      <c r="M2107" s="106" t="s">
        <v>8929</v>
      </c>
      <c r="N2107" s="106" t="s">
        <v>287</v>
      </c>
      <c r="O2107" s="107"/>
      <c r="P2107" s="106"/>
    </row>
    <row r="2108" spans="1:16" outlineLevel="2" x14ac:dyDescent="0.3">
      <c r="A2108" s="105" t="s">
        <v>8930</v>
      </c>
      <c r="B2108" s="106"/>
      <c r="C2108" s="106"/>
      <c r="D2108" s="106"/>
      <c r="E2108" s="106" t="s">
        <v>8931</v>
      </c>
      <c r="F2108" s="106" t="s">
        <v>8932</v>
      </c>
      <c r="G2108" s="105">
        <v>4</v>
      </c>
      <c r="H2108" s="106" t="s">
        <v>7</v>
      </c>
      <c r="I2108" s="105" t="s">
        <v>39</v>
      </c>
      <c r="J2108" s="105"/>
      <c r="K2108" s="105"/>
      <c r="L2108" s="105"/>
      <c r="M2108" s="106" t="s">
        <v>8933</v>
      </c>
      <c r="N2108" s="106" t="s">
        <v>287</v>
      </c>
      <c r="O2108" s="107"/>
      <c r="P2108" s="106"/>
    </row>
    <row r="2109" spans="1:16" outlineLevel="2" x14ac:dyDescent="0.3">
      <c r="A2109" s="105" t="s">
        <v>8934</v>
      </c>
      <c r="B2109" s="106"/>
      <c r="C2109" s="106"/>
      <c r="D2109" s="106"/>
      <c r="E2109" s="106" t="s">
        <v>8935</v>
      </c>
      <c r="F2109" s="106" t="s">
        <v>8936</v>
      </c>
      <c r="G2109" s="105">
        <v>4</v>
      </c>
      <c r="H2109" s="106" t="s">
        <v>7</v>
      </c>
      <c r="I2109" s="105" t="s">
        <v>39</v>
      </c>
      <c r="J2109" s="105"/>
      <c r="K2109" s="105"/>
      <c r="L2109" s="105"/>
      <c r="M2109" s="106" t="s">
        <v>8937</v>
      </c>
      <c r="N2109" s="106" t="s">
        <v>287</v>
      </c>
      <c r="O2109" s="107"/>
      <c r="P2109" s="106"/>
    </row>
    <row r="2110" spans="1:16" outlineLevel="2" x14ac:dyDescent="0.3">
      <c r="A2110" s="105" t="s">
        <v>8938</v>
      </c>
      <c r="B2110" s="106"/>
      <c r="C2110" s="106"/>
      <c r="D2110" s="106"/>
      <c r="E2110" s="106" t="s">
        <v>8939</v>
      </c>
      <c r="F2110" s="106" t="s">
        <v>8940</v>
      </c>
      <c r="G2110" s="105">
        <v>4</v>
      </c>
      <c r="H2110" s="106" t="s">
        <v>7</v>
      </c>
      <c r="I2110" s="105" t="s">
        <v>39</v>
      </c>
      <c r="J2110" s="105"/>
      <c r="K2110" s="105"/>
      <c r="L2110" s="105"/>
      <c r="M2110" s="106" t="s">
        <v>8941</v>
      </c>
      <c r="N2110" s="106" t="s">
        <v>287</v>
      </c>
      <c r="O2110" s="107"/>
      <c r="P2110" s="106"/>
    </row>
    <row r="2111" spans="1:16" outlineLevel="2" x14ac:dyDescent="0.3">
      <c r="A2111" s="105" t="s">
        <v>8942</v>
      </c>
      <c r="B2111" s="106"/>
      <c r="C2111" s="106"/>
      <c r="D2111" s="106"/>
      <c r="E2111" s="106" t="s">
        <v>8943</v>
      </c>
      <c r="F2111" s="106" t="s">
        <v>8944</v>
      </c>
      <c r="G2111" s="105">
        <v>4</v>
      </c>
      <c r="H2111" s="106" t="s">
        <v>7</v>
      </c>
      <c r="I2111" s="105" t="s">
        <v>39</v>
      </c>
      <c r="J2111" s="105"/>
      <c r="K2111" s="105"/>
      <c r="L2111" s="105"/>
      <c r="M2111" s="106" t="s">
        <v>8945</v>
      </c>
      <c r="N2111" s="106" t="s">
        <v>287</v>
      </c>
      <c r="O2111" s="107"/>
      <c r="P2111" s="106"/>
    </row>
    <row r="2112" spans="1:16" outlineLevel="2" x14ac:dyDescent="0.3">
      <c r="A2112" s="105" t="s">
        <v>8946</v>
      </c>
      <c r="B2112" s="106"/>
      <c r="C2112" s="106"/>
      <c r="D2112" s="106"/>
      <c r="E2112" s="106" t="s">
        <v>8947</v>
      </c>
      <c r="F2112" s="106" t="s">
        <v>8948</v>
      </c>
      <c r="G2112" s="105">
        <v>4</v>
      </c>
      <c r="H2112" s="106" t="s">
        <v>7</v>
      </c>
      <c r="I2112" s="105" t="s">
        <v>39</v>
      </c>
      <c r="J2112" s="105"/>
      <c r="K2112" s="105"/>
      <c r="L2112" s="105"/>
      <c r="M2112" s="106" t="s">
        <v>8949</v>
      </c>
      <c r="N2112" s="106" t="s">
        <v>287</v>
      </c>
      <c r="O2112" s="107"/>
      <c r="P2112" s="106"/>
    </row>
    <row r="2113" spans="1:16" outlineLevel="2" x14ac:dyDescent="0.3">
      <c r="A2113" s="105" t="s">
        <v>8950</v>
      </c>
      <c r="B2113" s="106"/>
      <c r="C2113" s="106"/>
      <c r="D2113" s="106"/>
      <c r="E2113" s="106" t="s">
        <v>8951</v>
      </c>
      <c r="F2113" s="106" t="s">
        <v>8952</v>
      </c>
      <c r="G2113" s="105">
        <v>4</v>
      </c>
      <c r="H2113" s="106" t="s">
        <v>7</v>
      </c>
      <c r="I2113" s="105" t="s">
        <v>39</v>
      </c>
      <c r="J2113" s="105"/>
      <c r="K2113" s="105"/>
      <c r="L2113" s="105"/>
      <c r="M2113" s="106" t="s">
        <v>8953</v>
      </c>
      <c r="N2113" s="106" t="s">
        <v>287</v>
      </c>
      <c r="O2113" s="107"/>
      <c r="P2113" s="106"/>
    </row>
    <row r="2114" spans="1:16" outlineLevel="2" x14ac:dyDescent="0.3">
      <c r="A2114" s="105" t="s">
        <v>8954</v>
      </c>
      <c r="B2114" s="106"/>
      <c r="C2114" s="106"/>
      <c r="D2114" s="106"/>
      <c r="E2114" s="106" t="s">
        <v>8955</v>
      </c>
      <c r="F2114" s="106" t="s">
        <v>8956</v>
      </c>
      <c r="G2114" s="105">
        <v>4</v>
      </c>
      <c r="H2114" s="106" t="s">
        <v>7</v>
      </c>
      <c r="I2114" s="105" t="s">
        <v>39</v>
      </c>
      <c r="J2114" s="105"/>
      <c r="K2114" s="105"/>
      <c r="L2114" s="105"/>
      <c r="M2114" s="106" t="s">
        <v>8957</v>
      </c>
      <c r="N2114" s="106" t="s">
        <v>287</v>
      </c>
      <c r="O2114" s="107"/>
      <c r="P2114" s="106"/>
    </row>
    <row r="2115" spans="1:16" outlineLevel="2" x14ac:dyDescent="0.3">
      <c r="A2115" s="105" t="s">
        <v>8958</v>
      </c>
      <c r="B2115" s="106"/>
      <c r="C2115" s="106"/>
      <c r="D2115" s="106"/>
      <c r="E2115" s="106" t="s">
        <v>8955</v>
      </c>
      <c r="F2115" s="106" t="s">
        <v>8959</v>
      </c>
      <c r="G2115" s="105">
        <v>4</v>
      </c>
      <c r="H2115" s="106" t="s">
        <v>7</v>
      </c>
      <c r="I2115" s="105" t="s">
        <v>39</v>
      </c>
      <c r="J2115" s="105"/>
      <c r="K2115" s="105"/>
      <c r="L2115" s="105"/>
      <c r="M2115" s="106" t="s">
        <v>8957</v>
      </c>
      <c r="N2115" s="106" t="s">
        <v>287</v>
      </c>
      <c r="O2115" s="107"/>
      <c r="P2115" s="106"/>
    </row>
    <row r="2116" spans="1:16" outlineLevel="2" x14ac:dyDescent="0.3">
      <c r="A2116" s="105" t="s">
        <v>8960</v>
      </c>
      <c r="B2116" s="106"/>
      <c r="C2116" s="106"/>
      <c r="D2116" s="106"/>
      <c r="E2116" s="106" t="s">
        <v>8961</v>
      </c>
      <c r="F2116" s="106" t="s">
        <v>8962</v>
      </c>
      <c r="G2116" s="105">
        <v>4</v>
      </c>
      <c r="H2116" s="106" t="s">
        <v>7</v>
      </c>
      <c r="I2116" s="105" t="s">
        <v>39</v>
      </c>
      <c r="J2116" s="105"/>
      <c r="K2116" s="105"/>
      <c r="L2116" s="105"/>
      <c r="M2116" s="106" t="s">
        <v>2307</v>
      </c>
      <c r="N2116" s="106" t="s">
        <v>287</v>
      </c>
      <c r="O2116" s="107"/>
      <c r="P2116" s="106"/>
    </row>
    <row r="2117" spans="1:16" outlineLevel="2" x14ac:dyDescent="0.3">
      <c r="A2117" s="105" t="s">
        <v>8963</v>
      </c>
      <c r="B2117" s="106"/>
      <c r="C2117" s="106"/>
      <c r="D2117" s="106"/>
      <c r="E2117" s="106" t="s">
        <v>8964</v>
      </c>
      <c r="F2117" s="106" t="s">
        <v>8965</v>
      </c>
      <c r="G2117" s="105">
        <v>4</v>
      </c>
      <c r="H2117" s="106" t="s">
        <v>7</v>
      </c>
      <c r="I2117" s="105" t="s">
        <v>39</v>
      </c>
      <c r="J2117" s="105"/>
      <c r="K2117" s="105"/>
      <c r="L2117" s="105"/>
      <c r="M2117" s="106" t="s">
        <v>8966</v>
      </c>
      <c r="N2117" s="106" t="s">
        <v>287</v>
      </c>
      <c r="O2117" s="107"/>
      <c r="P2117" s="106"/>
    </row>
    <row r="2118" spans="1:16" outlineLevel="2" x14ac:dyDescent="0.3">
      <c r="A2118" s="105" t="s">
        <v>8967</v>
      </c>
      <c r="B2118" s="106"/>
      <c r="C2118" s="106"/>
      <c r="D2118" s="106"/>
      <c r="E2118" s="106" t="s">
        <v>8968</v>
      </c>
      <c r="F2118" s="106" t="s">
        <v>8969</v>
      </c>
      <c r="G2118" s="105">
        <v>4</v>
      </c>
      <c r="H2118" s="106" t="s">
        <v>7</v>
      </c>
      <c r="I2118" s="105" t="s">
        <v>39</v>
      </c>
      <c r="J2118" s="105"/>
      <c r="K2118" s="105"/>
      <c r="L2118" s="105"/>
      <c r="M2118" s="106" t="s">
        <v>8970</v>
      </c>
      <c r="N2118" s="106" t="s">
        <v>287</v>
      </c>
      <c r="O2118" s="107"/>
      <c r="P2118" s="106"/>
    </row>
    <row r="2119" spans="1:16" outlineLevel="2" x14ac:dyDescent="0.3">
      <c r="A2119" s="105" t="s">
        <v>8971</v>
      </c>
      <c r="B2119" s="106"/>
      <c r="C2119" s="106"/>
      <c r="D2119" s="106"/>
      <c r="E2119" s="106" t="s">
        <v>8972</v>
      </c>
      <c r="F2119" s="106" t="s">
        <v>8973</v>
      </c>
      <c r="G2119" s="105">
        <v>4</v>
      </c>
      <c r="H2119" s="106" t="s">
        <v>7</v>
      </c>
      <c r="I2119" s="105" t="s">
        <v>39</v>
      </c>
      <c r="J2119" s="105"/>
      <c r="K2119" s="105"/>
      <c r="L2119" s="105"/>
      <c r="M2119" s="106" t="s">
        <v>8974</v>
      </c>
      <c r="N2119" s="106" t="s">
        <v>287</v>
      </c>
      <c r="O2119" s="107"/>
      <c r="P2119" s="106"/>
    </row>
    <row r="2120" spans="1:16" outlineLevel="2" x14ac:dyDescent="0.3">
      <c r="A2120" s="105" t="s">
        <v>8975</v>
      </c>
      <c r="B2120" s="106"/>
      <c r="C2120" s="106"/>
      <c r="D2120" s="106"/>
      <c r="E2120" s="106" t="s">
        <v>8976</v>
      </c>
      <c r="F2120" s="106" t="s">
        <v>8977</v>
      </c>
      <c r="G2120" s="105">
        <v>4</v>
      </c>
      <c r="H2120" s="106" t="s">
        <v>7</v>
      </c>
      <c r="I2120" s="105" t="s">
        <v>39</v>
      </c>
      <c r="J2120" s="105"/>
      <c r="K2120" s="105"/>
      <c r="L2120" s="105"/>
      <c r="M2120" s="106" t="s">
        <v>8978</v>
      </c>
      <c r="N2120" s="106" t="s">
        <v>287</v>
      </c>
      <c r="O2120" s="107"/>
      <c r="P2120" s="106"/>
    </row>
    <row r="2121" spans="1:16" outlineLevel="2" x14ac:dyDescent="0.3">
      <c r="A2121" s="105" t="s">
        <v>8979</v>
      </c>
      <c r="B2121" s="106"/>
      <c r="C2121" s="106"/>
      <c r="D2121" s="106"/>
      <c r="E2121" s="106" t="s">
        <v>8980</v>
      </c>
      <c r="F2121" s="106" t="s">
        <v>8981</v>
      </c>
      <c r="G2121" s="105">
        <v>4</v>
      </c>
      <c r="H2121" s="106" t="s">
        <v>7</v>
      </c>
      <c r="I2121" s="105" t="s">
        <v>39</v>
      </c>
      <c r="J2121" s="105"/>
      <c r="K2121" s="105"/>
      <c r="L2121" s="105"/>
      <c r="M2121" s="106" t="s">
        <v>8982</v>
      </c>
      <c r="N2121" s="106" t="s">
        <v>287</v>
      </c>
      <c r="O2121" s="107"/>
      <c r="P2121" s="106"/>
    </row>
    <row r="2122" spans="1:16" outlineLevel="2" x14ac:dyDescent="0.3">
      <c r="A2122" s="105" t="s">
        <v>8983</v>
      </c>
      <c r="B2122" s="106"/>
      <c r="C2122" s="106"/>
      <c r="D2122" s="106"/>
      <c r="E2122" s="106" t="s">
        <v>8984</v>
      </c>
      <c r="F2122" s="106" t="s">
        <v>8985</v>
      </c>
      <c r="G2122" s="105">
        <v>4</v>
      </c>
      <c r="H2122" s="106" t="s">
        <v>7</v>
      </c>
      <c r="I2122" s="105" t="s">
        <v>39</v>
      </c>
      <c r="J2122" s="105"/>
      <c r="K2122" s="105"/>
      <c r="L2122" s="105"/>
      <c r="M2122" s="106"/>
      <c r="N2122" s="106" t="s">
        <v>287</v>
      </c>
      <c r="O2122" s="107"/>
      <c r="P2122" s="106"/>
    </row>
    <row r="2123" spans="1:16" outlineLevel="2" x14ac:dyDescent="0.3">
      <c r="A2123" s="105" t="s">
        <v>8986</v>
      </c>
      <c r="B2123" s="106"/>
      <c r="C2123" s="106"/>
      <c r="D2123" s="106"/>
      <c r="E2123" s="106" t="s">
        <v>8987</v>
      </c>
      <c r="F2123" s="106" t="s">
        <v>8988</v>
      </c>
      <c r="G2123" s="105">
        <v>4</v>
      </c>
      <c r="H2123" s="106" t="s">
        <v>7</v>
      </c>
      <c r="I2123" s="105" t="s">
        <v>39</v>
      </c>
      <c r="J2123" s="105"/>
      <c r="K2123" s="105"/>
      <c r="L2123" s="105"/>
      <c r="M2123" s="106" t="s">
        <v>8989</v>
      </c>
      <c r="N2123" s="106" t="s">
        <v>287</v>
      </c>
      <c r="O2123" s="107"/>
      <c r="P2123" s="106"/>
    </row>
    <row r="2124" spans="1:16" outlineLevel="2" x14ac:dyDescent="0.3">
      <c r="A2124" s="105" t="s">
        <v>8990</v>
      </c>
      <c r="B2124" s="106"/>
      <c r="C2124" s="106"/>
      <c r="D2124" s="106"/>
      <c r="E2124" s="106" t="s">
        <v>8991</v>
      </c>
      <c r="F2124" s="106" t="s">
        <v>8992</v>
      </c>
      <c r="G2124" s="105">
        <v>4</v>
      </c>
      <c r="H2124" s="106" t="s">
        <v>7</v>
      </c>
      <c r="I2124" s="105" t="s">
        <v>39</v>
      </c>
      <c r="J2124" s="105"/>
      <c r="K2124" s="105"/>
      <c r="L2124" s="105"/>
      <c r="M2124" s="106"/>
      <c r="N2124" s="106" t="s">
        <v>287</v>
      </c>
      <c r="O2124" s="107"/>
      <c r="P2124" s="106" t="s">
        <v>8993</v>
      </c>
    </row>
    <row r="2125" spans="1:16" ht="27.6" outlineLevel="1" x14ac:dyDescent="0.3">
      <c r="A2125" s="321" t="s">
        <v>8994</v>
      </c>
      <c r="B2125" s="322"/>
      <c r="C2125" s="326" t="s">
        <v>8995</v>
      </c>
      <c r="D2125" s="327"/>
      <c r="E2125" s="322"/>
      <c r="F2125" s="322"/>
      <c r="G2125" s="321">
        <v>2</v>
      </c>
      <c r="H2125" s="327" t="s">
        <v>396</v>
      </c>
      <c r="I2125" s="321" t="s">
        <v>39</v>
      </c>
      <c r="J2125" s="321">
        <v>48</v>
      </c>
      <c r="K2125" s="321">
        <v>0</v>
      </c>
      <c r="L2125" s="321">
        <v>0</v>
      </c>
      <c r="M2125" s="324" t="s">
        <v>8996</v>
      </c>
      <c r="N2125" s="324" t="s">
        <v>287</v>
      </c>
      <c r="O2125" s="325"/>
      <c r="P2125" s="324"/>
    </row>
    <row r="2126" spans="1:16" outlineLevel="2" x14ac:dyDescent="0.3">
      <c r="A2126" s="105" t="s">
        <v>8997</v>
      </c>
      <c r="B2126" s="106"/>
      <c r="C2126" s="106"/>
      <c r="D2126" s="106"/>
      <c r="E2126" s="106" t="s">
        <v>8998</v>
      </c>
      <c r="F2126" s="106" t="s">
        <v>8999</v>
      </c>
      <c r="G2126" s="105">
        <v>4</v>
      </c>
      <c r="H2126" s="106" t="s">
        <v>7</v>
      </c>
      <c r="I2126" s="105" t="s">
        <v>39</v>
      </c>
      <c r="J2126" s="105"/>
      <c r="K2126" s="105"/>
      <c r="L2126" s="105"/>
      <c r="M2126" s="106"/>
      <c r="N2126" s="106" t="s">
        <v>287</v>
      </c>
      <c r="O2126" s="107"/>
      <c r="P2126" s="106"/>
    </row>
    <row r="2127" spans="1:16" outlineLevel="2" x14ac:dyDescent="0.3">
      <c r="A2127" s="105" t="s">
        <v>9000</v>
      </c>
      <c r="B2127" s="106"/>
      <c r="C2127" s="106"/>
      <c r="D2127" s="106"/>
      <c r="E2127" s="106" t="s">
        <v>8998</v>
      </c>
      <c r="F2127" s="106" t="s">
        <v>9001</v>
      </c>
      <c r="G2127" s="105">
        <v>4</v>
      </c>
      <c r="H2127" s="106" t="s">
        <v>7</v>
      </c>
      <c r="I2127" s="105" t="s">
        <v>39</v>
      </c>
      <c r="J2127" s="105"/>
      <c r="K2127" s="105"/>
      <c r="L2127" s="105"/>
      <c r="M2127" s="106"/>
      <c r="N2127" s="106" t="s">
        <v>287</v>
      </c>
      <c r="O2127" s="107"/>
      <c r="P2127" s="106"/>
    </row>
    <row r="2128" spans="1:16" outlineLevel="2" x14ac:dyDescent="0.3">
      <c r="A2128" s="105" t="s">
        <v>9002</v>
      </c>
      <c r="B2128" s="106"/>
      <c r="C2128" s="106"/>
      <c r="D2128" s="106"/>
      <c r="E2128" s="106" t="s">
        <v>8998</v>
      </c>
      <c r="F2128" s="106" t="s">
        <v>9003</v>
      </c>
      <c r="G2128" s="105">
        <v>4</v>
      </c>
      <c r="H2128" s="106" t="s">
        <v>7</v>
      </c>
      <c r="I2128" s="105" t="s">
        <v>39</v>
      </c>
      <c r="J2128" s="105"/>
      <c r="K2128" s="105"/>
      <c r="L2128" s="105"/>
      <c r="M2128" s="106"/>
      <c r="N2128" s="106" t="s">
        <v>287</v>
      </c>
      <c r="O2128" s="107"/>
      <c r="P2128" s="106"/>
    </row>
    <row r="2129" spans="1:16" outlineLevel="2" x14ac:dyDescent="0.3">
      <c r="A2129" s="105" t="s">
        <v>9004</v>
      </c>
      <c r="B2129" s="106"/>
      <c r="C2129" s="106"/>
      <c r="D2129" s="106"/>
      <c r="E2129" s="106" t="s">
        <v>8998</v>
      </c>
      <c r="F2129" s="106" t="s">
        <v>9005</v>
      </c>
      <c r="G2129" s="105">
        <v>4</v>
      </c>
      <c r="H2129" s="106" t="s">
        <v>7</v>
      </c>
      <c r="I2129" s="105" t="s">
        <v>39</v>
      </c>
      <c r="J2129" s="105"/>
      <c r="K2129" s="105"/>
      <c r="L2129" s="105"/>
      <c r="M2129" s="106"/>
      <c r="N2129" s="106" t="s">
        <v>287</v>
      </c>
      <c r="O2129" s="107"/>
      <c r="P2129" s="106"/>
    </row>
    <row r="2130" spans="1:16" outlineLevel="2" x14ac:dyDescent="0.3">
      <c r="A2130" s="105" t="s">
        <v>9006</v>
      </c>
      <c r="B2130" s="106"/>
      <c r="C2130" s="106"/>
      <c r="D2130" s="106"/>
      <c r="E2130" s="106" t="s">
        <v>8998</v>
      </c>
      <c r="F2130" s="106" t="s">
        <v>9007</v>
      </c>
      <c r="G2130" s="105">
        <v>4</v>
      </c>
      <c r="H2130" s="106" t="s">
        <v>7</v>
      </c>
      <c r="I2130" s="105" t="s">
        <v>39</v>
      </c>
      <c r="J2130" s="105"/>
      <c r="K2130" s="105"/>
      <c r="L2130" s="105"/>
      <c r="M2130" s="106"/>
      <c r="N2130" s="106" t="s">
        <v>287</v>
      </c>
      <c r="O2130" s="107"/>
      <c r="P2130" s="106"/>
    </row>
    <row r="2131" spans="1:16" outlineLevel="2" x14ac:dyDescent="0.3">
      <c r="A2131" s="105" t="s">
        <v>9008</v>
      </c>
      <c r="B2131" s="106"/>
      <c r="C2131" s="106"/>
      <c r="D2131" s="106"/>
      <c r="E2131" s="106" t="s">
        <v>8998</v>
      </c>
      <c r="F2131" s="106" t="s">
        <v>9009</v>
      </c>
      <c r="G2131" s="105">
        <v>4</v>
      </c>
      <c r="H2131" s="106" t="s">
        <v>7</v>
      </c>
      <c r="I2131" s="105" t="s">
        <v>39</v>
      </c>
      <c r="J2131" s="105"/>
      <c r="K2131" s="105"/>
      <c r="L2131" s="105"/>
      <c r="M2131" s="106"/>
      <c r="N2131" s="106" t="s">
        <v>287</v>
      </c>
      <c r="O2131" s="107"/>
      <c r="P2131" s="106"/>
    </row>
    <row r="2132" spans="1:16" outlineLevel="2" x14ac:dyDescent="0.3">
      <c r="A2132" s="105" t="s">
        <v>9010</v>
      </c>
      <c r="B2132" s="106"/>
      <c r="C2132" s="106"/>
      <c r="D2132" s="106"/>
      <c r="E2132" s="106" t="s">
        <v>8998</v>
      </c>
      <c r="F2132" s="106" t="s">
        <v>9011</v>
      </c>
      <c r="G2132" s="105">
        <v>4</v>
      </c>
      <c r="H2132" s="106" t="s">
        <v>7</v>
      </c>
      <c r="I2132" s="105" t="s">
        <v>39</v>
      </c>
      <c r="J2132" s="105"/>
      <c r="K2132" s="105"/>
      <c r="L2132" s="105"/>
      <c r="M2132" s="106"/>
      <c r="N2132" s="106" t="s">
        <v>287</v>
      </c>
      <c r="O2132" s="107"/>
      <c r="P2132" s="106"/>
    </row>
    <row r="2133" spans="1:16" outlineLevel="2" x14ac:dyDescent="0.3">
      <c r="A2133" s="105" t="s">
        <v>9012</v>
      </c>
      <c r="B2133" s="106"/>
      <c r="C2133" s="106"/>
      <c r="D2133" s="106"/>
      <c r="E2133" s="106" t="s">
        <v>8998</v>
      </c>
      <c r="F2133" s="106" t="s">
        <v>9013</v>
      </c>
      <c r="G2133" s="105">
        <v>4</v>
      </c>
      <c r="H2133" s="106" t="s">
        <v>7</v>
      </c>
      <c r="I2133" s="105" t="s">
        <v>39</v>
      </c>
      <c r="J2133" s="105"/>
      <c r="K2133" s="105"/>
      <c r="L2133" s="105"/>
      <c r="M2133" s="106"/>
      <c r="N2133" s="106" t="s">
        <v>287</v>
      </c>
      <c r="O2133" s="107"/>
      <c r="P2133" s="106"/>
    </row>
    <row r="2134" spans="1:16" outlineLevel="2" x14ac:dyDescent="0.3">
      <c r="A2134" s="105" t="s">
        <v>9014</v>
      </c>
      <c r="B2134" s="106"/>
      <c r="C2134" s="106"/>
      <c r="D2134" s="106"/>
      <c r="E2134" s="106" t="s">
        <v>8998</v>
      </c>
      <c r="F2134" s="106" t="s">
        <v>9015</v>
      </c>
      <c r="G2134" s="105">
        <v>4</v>
      </c>
      <c r="H2134" s="106" t="s">
        <v>7</v>
      </c>
      <c r="I2134" s="105" t="s">
        <v>39</v>
      </c>
      <c r="J2134" s="105"/>
      <c r="K2134" s="105"/>
      <c r="L2134" s="105"/>
      <c r="M2134" s="106"/>
      <c r="N2134" s="106" t="s">
        <v>287</v>
      </c>
      <c r="O2134" s="107"/>
      <c r="P2134" s="106"/>
    </row>
    <row r="2135" spans="1:16" outlineLevel="2" x14ac:dyDescent="0.3">
      <c r="A2135" s="105" t="s">
        <v>9016</v>
      </c>
      <c r="B2135" s="106"/>
      <c r="C2135" s="106"/>
      <c r="D2135" s="106"/>
      <c r="E2135" s="106" t="s">
        <v>8998</v>
      </c>
      <c r="F2135" s="106" t="s">
        <v>9017</v>
      </c>
      <c r="G2135" s="105">
        <v>4</v>
      </c>
      <c r="H2135" s="106" t="s">
        <v>7</v>
      </c>
      <c r="I2135" s="105" t="s">
        <v>39</v>
      </c>
      <c r="J2135" s="105"/>
      <c r="K2135" s="105"/>
      <c r="L2135" s="105"/>
      <c r="M2135" s="106"/>
      <c r="N2135" s="106" t="s">
        <v>287</v>
      </c>
      <c r="O2135" s="107"/>
      <c r="P2135" s="106"/>
    </row>
    <row r="2136" spans="1:16" outlineLevel="2" x14ac:dyDescent="0.3">
      <c r="A2136" s="105" t="s">
        <v>9018</v>
      </c>
      <c r="B2136" s="106"/>
      <c r="C2136" s="106"/>
      <c r="D2136" s="106"/>
      <c r="E2136" s="106" t="s">
        <v>8998</v>
      </c>
      <c r="F2136" s="106" t="s">
        <v>9019</v>
      </c>
      <c r="G2136" s="105">
        <v>4</v>
      </c>
      <c r="H2136" s="106" t="s">
        <v>7</v>
      </c>
      <c r="I2136" s="105" t="s">
        <v>39</v>
      </c>
      <c r="J2136" s="105"/>
      <c r="K2136" s="105"/>
      <c r="L2136" s="105"/>
      <c r="M2136" s="106"/>
      <c r="N2136" s="106" t="s">
        <v>287</v>
      </c>
      <c r="O2136" s="107"/>
      <c r="P2136" s="106"/>
    </row>
    <row r="2137" spans="1:16" outlineLevel="2" x14ac:dyDescent="0.3">
      <c r="A2137" s="105" t="s">
        <v>9020</v>
      </c>
      <c r="B2137" s="106"/>
      <c r="C2137" s="106"/>
      <c r="D2137" s="106"/>
      <c r="E2137" s="106" t="s">
        <v>8998</v>
      </c>
      <c r="F2137" s="106" t="s">
        <v>9021</v>
      </c>
      <c r="G2137" s="105">
        <v>4</v>
      </c>
      <c r="H2137" s="106" t="s">
        <v>7</v>
      </c>
      <c r="I2137" s="105" t="s">
        <v>39</v>
      </c>
      <c r="J2137" s="105"/>
      <c r="K2137" s="105"/>
      <c r="L2137" s="105"/>
      <c r="M2137" s="106"/>
      <c r="N2137" s="106" t="s">
        <v>287</v>
      </c>
      <c r="O2137" s="107"/>
      <c r="P2137" s="106"/>
    </row>
    <row r="2138" spans="1:16" outlineLevel="2" x14ac:dyDescent="0.3">
      <c r="A2138" s="105" t="s">
        <v>9022</v>
      </c>
      <c r="B2138" s="106"/>
      <c r="C2138" s="106"/>
      <c r="D2138" s="106"/>
      <c r="E2138" s="106" t="s">
        <v>8998</v>
      </c>
      <c r="F2138" s="106" t="s">
        <v>9023</v>
      </c>
      <c r="G2138" s="105">
        <v>4</v>
      </c>
      <c r="H2138" s="106" t="s">
        <v>7</v>
      </c>
      <c r="I2138" s="105" t="s">
        <v>39</v>
      </c>
      <c r="J2138" s="105"/>
      <c r="K2138" s="105"/>
      <c r="L2138" s="105"/>
      <c r="M2138" s="106"/>
      <c r="N2138" s="106" t="s">
        <v>287</v>
      </c>
      <c r="O2138" s="107"/>
      <c r="P2138" s="106"/>
    </row>
    <row r="2139" spans="1:16" outlineLevel="2" x14ac:dyDescent="0.3">
      <c r="A2139" s="105" t="s">
        <v>9024</v>
      </c>
      <c r="B2139" s="106"/>
      <c r="C2139" s="106"/>
      <c r="D2139" s="106"/>
      <c r="E2139" s="106" t="s">
        <v>8998</v>
      </c>
      <c r="F2139" s="106" t="s">
        <v>9025</v>
      </c>
      <c r="G2139" s="105">
        <v>4</v>
      </c>
      <c r="H2139" s="106" t="s">
        <v>7</v>
      </c>
      <c r="I2139" s="105" t="s">
        <v>39</v>
      </c>
      <c r="J2139" s="105"/>
      <c r="K2139" s="105"/>
      <c r="L2139" s="105"/>
      <c r="M2139" s="106"/>
      <c r="N2139" s="106" t="s">
        <v>287</v>
      </c>
      <c r="O2139" s="107"/>
      <c r="P2139" s="106"/>
    </row>
    <row r="2140" spans="1:16" outlineLevel="2" x14ac:dyDescent="0.3">
      <c r="A2140" s="105" t="s">
        <v>9026</v>
      </c>
      <c r="B2140" s="106"/>
      <c r="C2140" s="106"/>
      <c r="D2140" s="106"/>
      <c r="E2140" s="106" t="s">
        <v>8998</v>
      </c>
      <c r="F2140" s="106" t="s">
        <v>9027</v>
      </c>
      <c r="G2140" s="105">
        <v>4</v>
      </c>
      <c r="H2140" s="106" t="s">
        <v>7</v>
      </c>
      <c r="I2140" s="105" t="s">
        <v>39</v>
      </c>
      <c r="J2140" s="105"/>
      <c r="K2140" s="105"/>
      <c r="L2140" s="105"/>
      <c r="M2140" s="106"/>
      <c r="N2140" s="106" t="s">
        <v>287</v>
      </c>
      <c r="O2140" s="107"/>
      <c r="P2140" s="106"/>
    </row>
    <row r="2141" spans="1:16" outlineLevel="2" x14ac:dyDescent="0.3">
      <c r="A2141" s="105" t="s">
        <v>9028</v>
      </c>
      <c r="B2141" s="106"/>
      <c r="C2141" s="106"/>
      <c r="D2141" s="106"/>
      <c r="E2141" s="106" t="s">
        <v>8998</v>
      </c>
      <c r="F2141" s="106" t="s">
        <v>9029</v>
      </c>
      <c r="G2141" s="105">
        <v>4</v>
      </c>
      <c r="H2141" s="106" t="s">
        <v>7</v>
      </c>
      <c r="I2141" s="105" t="s">
        <v>39</v>
      </c>
      <c r="J2141" s="105"/>
      <c r="K2141" s="105"/>
      <c r="L2141" s="105"/>
      <c r="M2141" s="106"/>
      <c r="N2141" s="106" t="s">
        <v>287</v>
      </c>
      <c r="O2141" s="107"/>
      <c r="P2141" s="106"/>
    </row>
    <row r="2142" spans="1:16" outlineLevel="2" x14ac:dyDescent="0.3">
      <c r="A2142" s="105" t="s">
        <v>9030</v>
      </c>
      <c r="B2142" s="106"/>
      <c r="C2142" s="106"/>
      <c r="D2142" s="106"/>
      <c r="E2142" s="106" t="s">
        <v>8998</v>
      </c>
      <c r="F2142" s="106" t="s">
        <v>9031</v>
      </c>
      <c r="G2142" s="105">
        <v>4</v>
      </c>
      <c r="H2142" s="106" t="s">
        <v>7</v>
      </c>
      <c r="I2142" s="105" t="s">
        <v>39</v>
      </c>
      <c r="J2142" s="105"/>
      <c r="K2142" s="105"/>
      <c r="L2142" s="105"/>
      <c r="M2142" s="106"/>
      <c r="N2142" s="106" t="s">
        <v>287</v>
      </c>
      <c r="O2142" s="107"/>
      <c r="P2142" s="106"/>
    </row>
    <row r="2143" spans="1:16" outlineLevel="2" x14ac:dyDescent="0.3">
      <c r="A2143" s="105" t="s">
        <v>9032</v>
      </c>
      <c r="B2143" s="106"/>
      <c r="C2143" s="106"/>
      <c r="D2143" s="106"/>
      <c r="E2143" s="106" t="s">
        <v>8998</v>
      </c>
      <c r="F2143" s="106" t="s">
        <v>9033</v>
      </c>
      <c r="G2143" s="105">
        <v>4</v>
      </c>
      <c r="H2143" s="106" t="s">
        <v>7</v>
      </c>
      <c r="I2143" s="105" t="s">
        <v>39</v>
      </c>
      <c r="J2143" s="105"/>
      <c r="K2143" s="105"/>
      <c r="L2143" s="105"/>
      <c r="M2143" s="106"/>
      <c r="N2143" s="106" t="s">
        <v>287</v>
      </c>
      <c r="O2143" s="107"/>
      <c r="P2143" s="106"/>
    </row>
    <row r="2144" spans="1:16" outlineLevel="2" x14ac:dyDescent="0.3">
      <c r="A2144" s="105" t="s">
        <v>9034</v>
      </c>
      <c r="B2144" s="106"/>
      <c r="C2144" s="106"/>
      <c r="D2144" s="106"/>
      <c r="E2144" s="106" t="s">
        <v>8998</v>
      </c>
      <c r="F2144" s="106" t="s">
        <v>9035</v>
      </c>
      <c r="G2144" s="105">
        <v>4</v>
      </c>
      <c r="H2144" s="106" t="s">
        <v>7</v>
      </c>
      <c r="I2144" s="105" t="s">
        <v>39</v>
      </c>
      <c r="J2144" s="105"/>
      <c r="K2144" s="105"/>
      <c r="L2144" s="105"/>
      <c r="M2144" s="106"/>
      <c r="N2144" s="106" t="s">
        <v>287</v>
      </c>
      <c r="O2144" s="107"/>
      <c r="P2144" s="106"/>
    </row>
    <row r="2145" spans="1:16" outlineLevel="2" x14ac:dyDescent="0.3">
      <c r="A2145" s="105" t="s">
        <v>9036</v>
      </c>
      <c r="B2145" s="106"/>
      <c r="C2145" s="106"/>
      <c r="D2145" s="106"/>
      <c r="E2145" s="106" t="s">
        <v>8998</v>
      </c>
      <c r="F2145" s="106" t="s">
        <v>9037</v>
      </c>
      <c r="G2145" s="105">
        <v>4</v>
      </c>
      <c r="H2145" s="106" t="s">
        <v>7</v>
      </c>
      <c r="I2145" s="105" t="s">
        <v>39</v>
      </c>
      <c r="J2145" s="105"/>
      <c r="K2145" s="105"/>
      <c r="L2145" s="105"/>
      <c r="M2145" s="106"/>
      <c r="N2145" s="106" t="s">
        <v>287</v>
      </c>
      <c r="O2145" s="107"/>
      <c r="P2145" s="106"/>
    </row>
    <row r="2146" spans="1:16" outlineLevel="2" x14ac:dyDescent="0.3">
      <c r="A2146" s="105" t="s">
        <v>9038</v>
      </c>
      <c r="B2146" s="106"/>
      <c r="C2146" s="106"/>
      <c r="D2146" s="106"/>
      <c r="E2146" s="106" t="s">
        <v>8998</v>
      </c>
      <c r="F2146" s="106" t="s">
        <v>9039</v>
      </c>
      <c r="G2146" s="105">
        <v>4</v>
      </c>
      <c r="H2146" s="106" t="s">
        <v>7</v>
      </c>
      <c r="I2146" s="105" t="s">
        <v>39</v>
      </c>
      <c r="J2146" s="105"/>
      <c r="K2146" s="105"/>
      <c r="L2146" s="105"/>
      <c r="M2146" s="106"/>
      <c r="N2146" s="106" t="s">
        <v>287</v>
      </c>
      <c r="O2146" s="107"/>
      <c r="P2146" s="106"/>
    </row>
    <row r="2147" spans="1:16" outlineLevel="2" x14ac:dyDescent="0.3">
      <c r="A2147" s="105" t="s">
        <v>9040</v>
      </c>
      <c r="B2147" s="106"/>
      <c r="C2147" s="106"/>
      <c r="D2147" s="106"/>
      <c r="E2147" s="106" t="s">
        <v>8998</v>
      </c>
      <c r="F2147" s="106" t="s">
        <v>9041</v>
      </c>
      <c r="G2147" s="105">
        <v>4</v>
      </c>
      <c r="H2147" s="106" t="s">
        <v>7</v>
      </c>
      <c r="I2147" s="105" t="s">
        <v>39</v>
      </c>
      <c r="J2147" s="105"/>
      <c r="K2147" s="105"/>
      <c r="L2147" s="105"/>
      <c r="M2147" s="106"/>
      <c r="N2147" s="106" t="s">
        <v>287</v>
      </c>
      <c r="O2147" s="107"/>
      <c r="P2147" s="106"/>
    </row>
    <row r="2148" spans="1:16" outlineLevel="2" x14ac:dyDescent="0.3">
      <c r="A2148" s="105" t="s">
        <v>9042</v>
      </c>
      <c r="B2148" s="106"/>
      <c r="C2148" s="106"/>
      <c r="D2148" s="106"/>
      <c r="E2148" s="106" t="s">
        <v>8998</v>
      </c>
      <c r="F2148" s="106" t="s">
        <v>9043</v>
      </c>
      <c r="G2148" s="105">
        <v>4</v>
      </c>
      <c r="H2148" s="106" t="s">
        <v>7</v>
      </c>
      <c r="I2148" s="105" t="s">
        <v>39</v>
      </c>
      <c r="J2148" s="105"/>
      <c r="K2148" s="105"/>
      <c r="L2148" s="105"/>
      <c r="M2148" s="106"/>
      <c r="N2148" s="106" t="s">
        <v>287</v>
      </c>
      <c r="O2148" s="107"/>
      <c r="P2148" s="106"/>
    </row>
    <row r="2149" spans="1:16" outlineLevel="2" x14ac:dyDescent="0.3">
      <c r="A2149" s="105" t="s">
        <v>9044</v>
      </c>
      <c r="B2149" s="106"/>
      <c r="C2149" s="106"/>
      <c r="D2149" s="106"/>
      <c r="E2149" s="106" t="s">
        <v>8998</v>
      </c>
      <c r="F2149" s="106" t="s">
        <v>9045</v>
      </c>
      <c r="G2149" s="105">
        <v>4</v>
      </c>
      <c r="H2149" s="106" t="s">
        <v>7</v>
      </c>
      <c r="I2149" s="105" t="s">
        <v>39</v>
      </c>
      <c r="J2149" s="105"/>
      <c r="K2149" s="105"/>
      <c r="L2149" s="105"/>
      <c r="M2149" s="106"/>
      <c r="N2149" s="106" t="s">
        <v>287</v>
      </c>
      <c r="O2149" s="107"/>
      <c r="P2149" s="106"/>
    </row>
    <row r="2150" spans="1:16" outlineLevel="2" x14ac:dyDescent="0.3">
      <c r="A2150" s="105" t="s">
        <v>9046</v>
      </c>
      <c r="B2150" s="106"/>
      <c r="C2150" s="106"/>
      <c r="D2150" s="106"/>
      <c r="E2150" s="106" t="s">
        <v>8998</v>
      </c>
      <c r="F2150" s="106" t="s">
        <v>9047</v>
      </c>
      <c r="G2150" s="105">
        <v>4</v>
      </c>
      <c r="H2150" s="106" t="s">
        <v>7</v>
      </c>
      <c r="I2150" s="105" t="s">
        <v>39</v>
      </c>
      <c r="J2150" s="105"/>
      <c r="K2150" s="105"/>
      <c r="L2150" s="105"/>
      <c r="M2150" s="106"/>
      <c r="N2150" s="106" t="s">
        <v>287</v>
      </c>
      <c r="O2150" s="107"/>
      <c r="P2150" s="106"/>
    </row>
    <row r="2151" spans="1:16" outlineLevel="2" x14ac:dyDescent="0.3">
      <c r="A2151" s="105" t="s">
        <v>9048</v>
      </c>
      <c r="B2151" s="106"/>
      <c r="C2151" s="106"/>
      <c r="D2151" s="106"/>
      <c r="E2151" s="106" t="s">
        <v>8998</v>
      </c>
      <c r="F2151" s="106" t="s">
        <v>9049</v>
      </c>
      <c r="G2151" s="105">
        <v>4</v>
      </c>
      <c r="H2151" s="106" t="s">
        <v>7</v>
      </c>
      <c r="I2151" s="105" t="s">
        <v>39</v>
      </c>
      <c r="J2151" s="105"/>
      <c r="K2151" s="105"/>
      <c r="L2151" s="105"/>
      <c r="M2151" s="106"/>
      <c r="N2151" s="106" t="s">
        <v>287</v>
      </c>
      <c r="O2151" s="107"/>
      <c r="P2151" s="106"/>
    </row>
    <row r="2152" spans="1:16" outlineLevel="2" x14ac:dyDescent="0.3">
      <c r="A2152" s="105" t="s">
        <v>9050</v>
      </c>
      <c r="B2152" s="106"/>
      <c r="C2152" s="106"/>
      <c r="D2152" s="106"/>
      <c r="E2152" s="106" t="s">
        <v>8998</v>
      </c>
      <c r="F2152" s="106" t="s">
        <v>9051</v>
      </c>
      <c r="G2152" s="105">
        <v>4</v>
      </c>
      <c r="H2152" s="106" t="s">
        <v>7</v>
      </c>
      <c r="I2152" s="105" t="s">
        <v>39</v>
      </c>
      <c r="J2152" s="105"/>
      <c r="K2152" s="105"/>
      <c r="L2152" s="105"/>
      <c r="M2152" s="106"/>
      <c r="N2152" s="106" t="s">
        <v>287</v>
      </c>
      <c r="O2152" s="107"/>
      <c r="P2152" s="106"/>
    </row>
    <row r="2153" spans="1:16" outlineLevel="2" x14ac:dyDescent="0.3">
      <c r="A2153" s="105" t="s">
        <v>9052</v>
      </c>
      <c r="B2153" s="106"/>
      <c r="C2153" s="106"/>
      <c r="D2153" s="106"/>
      <c r="E2153" s="106" t="s">
        <v>8998</v>
      </c>
      <c r="F2153" s="106" t="s">
        <v>9053</v>
      </c>
      <c r="G2153" s="105">
        <v>4</v>
      </c>
      <c r="H2153" s="106" t="s">
        <v>7</v>
      </c>
      <c r="I2153" s="105" t="s">
        <v>39</v>
      </c>
      <c r="J2153" s="105"/>
      <c r="K2153" s="105"/>
      <c r="L2153" s="105"/>
      <c r="M2153" s="106"/>
      <c r="N2153" s="106" t="s">
        <v>287</v>
      </c>
      <c r="O2153" s="107"/>
      <c r="P2153" s="106"/>
    </row>
    <row r="2154" spans="1:16" outlineLevel="2" x14ac:dyDescent="0.3">
      <c r="A2154" s="105" t="s">
        <v>9054</v>
      </c>
      <c r="B2154" s="106"/>
      <c r="C2154" s="106"/>
      <c r="D2154" s="106"/>
      <c r="E2154" s="106" t="s">
        <v>8998</v>
      </c>
      <c r="F2154" s="106" t="s">
        <v>9055</v>
      </c>
      <c r="G2154" s="105">
        <v>4</v>
      </c>
      <c r="H2154" s="106" t="s">
        <v>7</v>
      </c>
      <c r="I2154" s="105" t="s">
        <v>39</v>
      </c>
      <c r="J2154" s="105"/>
      <c r="K2154" s="105"/>
      <c r="L2154" s="105"/>
      <c r="M2154" s="106"/>
      <c r="N2154" s="106" t="s">
        <v>287</v>
      </c>
      <c r="O2154" s="107"/>
      <c r="P2154" s="106"/>
    </row>
    <row r="2155" spans="1:16" outlineLevel="2" x14ac:dyDescent="0.3">
      <c r="A2155" s="105" t="s">
        <v>9056</v>
      </c>
      <c r="B2155" s="106"/>
      <c r="C2155" s="106"/>
      <c r="D2155" s="106"/>
      <c r="E2155" s="106" t="s">
        <v>8998</v>
      </c>
      <c r="F2155" s="106" t="s">
        <v>9057</v>
      </c>
      <c r="G2155" s="105">
        <v>4</v>
      </c>
      <c r="H2155" s="106" t="s">
        <v>7</v>
      </c>
      <c r="I2155" s="105" t="s">
        <v>39</v>
      </c>
      <c r="J2155" s="105"/>
      <c r="K2155" s="105"/>
      <c r="L2155" s="105"/>
      <c r="M2155" s="106"/>
      <c r="N2155" s="106" t="s">
        <v>287</v>
      </c>
      <c r="O2155" s="107"/>
      <c r="P2155" s="106"/>
    </row>
    <row r="2156" spans="1:16" outlineLevel="2" x14ac:dyDescent="0.3">
      <c r="A2156" s="105" t="s">
        <v>9058</v>
      </c>
      <c r="B2156" s="106"/>
      <c r="C2156" s="106"/>
      <c r="D2156" s="106"/>
      <c r="E2156" s="106" t="s">
        <v>8998</v>
      </c>
      <c r="F2156" s="106" t="s">
        <v>9059</v>
      </c>
      <c r="G2156" s="105">
        <v>4</v>
      </c>
      <c r="H2156" s="106" t="s">
        <v>7</v>
      </c>
      <c r="I2156" s="105" t="s">
        <v>39</v>
      </c>
      <c r="J2156" s="105"/>
      <c r="K2156" s="105"/>
      <c r="L2156" s="105"/>
      <c r="M2156" s="106"/>
      <c r="N2156" s="106" t="s">
        <v>287</v>
      </c>
      <c r="O2156" s="107"/>
      <c r="P2156" s="106"/>
    </row>
    <row r="2157" spans="1:16" outlineLevel="2" x14ac:dyDescent="0.3">
      <c r="A2157" s="105" t="s">
        <v>9060</v>
      </c>
      <c r="B2157" s="106"/>
      <c r="C2157" s="106"/>
      <c r="D2157" s="106"/>
      <c r="E2157" s="106" t="s">
        <v>8998</v>
      </c>
      <c r="F2157" s="106" t="s">
        <v>9061</v>
      </c>
      <c r="G2157" s="105">
        <v>4</v>
      </c>
      <c r="H2157" s="106" t="s">
        <v>7</v>
      </c>
      <c r="I2157" s="105" t="s">
        <v>39</v>
      </c>
      <c r="J2157" s="105"/>
      <c r="K2157" s="105"/>
      <c r="L2157" s="105"/>
      <c r="M2157" s="106"/>
      <c r="N2157" s="106" t="s">
        <v>287</v>
      </c>
      <c r="O2157" s="107"/>
      <c r="P2157" s="106"/>
    </row>
    <row r="2158" spans="1:16" outlineLevel="2" x14ac:dyDescent="0.3">
      <c r="A2158" s="105" t="s">
        <v>9062</v>
      </c>
      <c r="B2158" s="106"/>
      <c r="C2158" s="106"/>
      <c r="D2158" s="106"/>
      <c r="E2158" s="106" t="s">
        <v>8998</v>
      </c>
      <c r="F2158" s="106" t="s">
        <v>9063</v>
      </c>
      <c r="G2158" s="105">
        <v>4</v>
      </c>
      <c r="H2158" s="106" t="s">
        <v>7</v>
      </c>
      <c r="I2158" s="105" t="s">
        <v>39</v>
      </c>
      <c r="J2158" s="105"/>
      <c r="K2158" s="105"/>
      <c r="L2158" s="105"/>
      <c r="M2158" s="106"/>
      <c r="N2158" s="106" t="s">
        <v>287</v>
      </c>
      <c r="O2158" s="107"/>
      <c r="P2158" s="106"/>
    </row>
    <row r="2159" spans="1:16" outlineLevel="2" x14ac:dyDescent="0.3">
      <c r="A2159" s="105" t="s">
        <v>9064</v>
      </c>
      <c r="B2159" s="106"/>
      <c r="C2159" s="106"/>
      <c r="D2159" s="106"/>
      <c r="E2159" s="106" t="s">
        <v>8998</v>
      </c>
      <c r="F2159" s="106" t="s">
        <v>9065</v>
      </c>
      <c r="G2159" s="105">
        <v>4</v>
      </c>
      <c r="H2159" s="106" t="s">
        <v>7</v>
      </c>
      <c r="I2159" s="105" t="s">
        <v>39</v>
      </c>
      <c r="J2159" s="105"/>
      <c r="K2159" s="105"/>
      <c r="L2159" s="105"/>
      <c r="M2159" s="106"/>
      <c r="N2159" s="106" t="s">
        <v>287</v>
      </c>
      <c r="O2159" s="107"/>
      <c r="P2159" s="106"/>
    </row>
    <row r="2160" spans="1:16" outlineLevel="2" x14ac:dyDescent="0.3">
      <c r="A2160" s="105" t="s">
        <v>9066</v>
      </c>
      <c r="B2160" s="106"/>
      <c r="C2160" s="106"/>
      <c r="D2160" s="106"/>
      <c r="E2160" s="106" t="s">
        <v>8998</v>
      </c>
      <c r="F2160" s="106" t="s">
        <v>9067</v>
      </c>
      <c r="G2160" s="105">
        <v>4</v>
      </c>
      <c r="H2160" s="106" t="s">
        <v>7</v>
      </c>
      <c r="I2160" s="105" t="s">
        <v>39</v>
      </c>
      <c r="J2160" s="105"/>
      <c r="K2160" s="105"/>
      <c r="L2160" s="105"/>
      <c r="M2160" s="106"/>
      <c r="N2160" s="106" t="s">
        <v>287</v>
      </c>
      <c r="O2160" s="107"/>
      <c r="P2160" s="106"/>
    </row>
    <row r="2161" spans="1:16" outlineLevel="2" x14ac:dyDescent="0.3">
      <c r="A2161" s="105" t="s">
        <v>9068</v>
      </c>
      <c r="B2161" s="106"/>
      <c r="C2161" s="106"/>
      <c r="D2161" s="106"/>
      <c r="E2161" s="106" t="s">
        <v>8998</v>
      </c>
      <c r="F2161" s="106" t="s">
        <v>9069</v>
      </c>
      <c r="G2161" s="105">
        <v>4</v>
      </c>
      <c r="H2161" s="106" t="s">
        <v>7</v>
      </c>
      <c r="I2161" s="105" t="s">
        <v>39</v>
      </c>
      <c r="J2161" s="105"/>
      <c r="K2161" s="105"/>
      <c r="L2161" s="105"/>
      <c r="M2161" s="106"/>
      <c r="N2161" s="106" t="s">
        <v>287</v>
      </c>
      <c r="O2161" s="107"/>
      <c r="P2161" s="106"/>
    </row>
    <row r="2162" spans="1:16" outlineLevel="2" x14ac:dyDescent="0.3">
      <c r="A2162" s="105" t="s">
        <v>9070</v>
      </c>
      <c r="B2162" s="106"/>
      <c r="C2162" s="106"/>
      <c r="D2162" s="106"/>
      <c r="E2162" s="106" t="s">
        <v>8998</v>
      </c>
      <c r="F2162" s="106" t="s">
        <v>9071</v>
      </c>
      <c r="G2162" s="105">
        <v>4</v>
      </c>
      <c r="H2162" s="106" t="s">
        <v>7</v>
      </c>
      <c r="I2162" s="105" t="s">
        <v>39</v>
      </c>
      <c r="J2162" s="105"/>
      <c r="K2162" s="105"/>
      <c r="L2162" s="105"/>
      <c r="M2162" s="106"/>
      <c r="N2162" s="106" t="s">
        <v>287</v>
      </c>
      <c r="O2162" s="107"/>
      <c r="P2162" s="106"/>
    </row>
    <row r="2163" spans="1:16" outlineLevel="2" x14ac:dyDescent="0.3">
      <c r="A2163" s="105" t="s">
        <v>9072</v>
      </c>
      <c r="B2163" s="106"/>
      <c r="C2163" s="106"/>
      <c r="D2163" s="106"/>
      <c r="E2163" s="106" t="s">
        <v>8998</v>
      </c>
      <c r="F2163" s="106" t="s">
        <v>9073</v>
      </c>
      <c r="G2163" s="105">
        <v>4</v>
      </c>
      <c r="H2163" s="106" t="s">
        <v>7</v>
      </c>
      <c r="I2163" s="105" t="s">
        <v>39</v>
      </c>
      <c r="J2163" s="105"/>
      <c r="K2163" s="105"/>
      <c r="L2163" s="105"/>
      <c r="M2163" s="106"/>
      <c r="N2163" s="106" t="s">
        <v>287</v>
      </c>
      <c r="O2163" s="107"/>
      <c r="P2163" s="106"/>
    </row>
    <row r="2164" spans="1:16" outlineLevel="2" x14ac:dyDescent="0.3">
      <c r="A2164" s="105" t="s">
        <v>9074</v>
      </c>
      <c r="B2164" s="106"/>
      <c r="C2164" s="106"/>
      <c r="D2164" s="106"/>
      <c r="E2164" s="106" t="s">
        <v>8998</v>
      </c>
      <c r="F2164" s="106" t="s">
        <v>9075</v>
      </c>
      <c r="G2164" s="105">
        <v>4</v>
      </c>
      <c r="H2164" s="106" t="s">
        <v>7</v>
      </c>
      <c r="I2164" s="105" t="s">
        <v>39</v>
      </c>
      <c r="J2164" s="105"/>
      <c r="K2164" s="105"/>
      <c r="L2164" s="105"/>
      <c r="M2164" s="106"/>
      <c r="N2164" s="106" t="s">
        <v>287</v>
      </c>
      <c r="O2164" s="107"/>
      <c r="P2164" s="106"/>
    </row>
    <row r="2165" spans="1:16" outlineLevel="2" x14ac:dyDescent="0.3">
      <c r="A2165" s="105" t="s">
        <v>9076</v>
      </c>
      <c r="B2165" s="106"/>
      <c r="C2165" s="106"/>
      <c r="D2165" s="106"/>
      <c r="E2165" s="106" t="s">
        <v>8998</v>
      </c>
      <c r="F2165" s="106" t="s">
        <v>9077</v>
      </c>
      <c r="G2165" s="105">
        <v>4</v>
      </c>
      <c r="H2165" s="106" t="s">
        <v>7</v>
      </c>
      <c r="I2165" s="105" t="s">
        <v>39</v>
      </c>
      <c r="J2165" s="105"/>
      <c r="K2165" s="105"/>
      <c r="L2165" s="105"/>
      <c r="M2165" s="106"/>
      <c r="N2165" s="106" t="s">
        <v>287</v>
      </c>
      <c r="O2165" s="107"/>
      <c r="P2165" s="106"/>
    </row>
    <row r="2166" spans="1:16" outlineLevel="2" x14ac:dyDescent="0.3">
      <c r="A2166" s="105" t="s">
        <v>9078</v>
      </c>
      <c r="B2166" s="106"/>
      <c r="C2166" s="106"/>
      <c r="D2166" s="106"/>
      <c r="E2166" s="106" t="s">
        <v>8998</v>
      </c>
      <c r="F2166" s="106" t="s">
        <v>9079</v>
      </c>
      <c r="G2166" s="105">
        <v>4</v>
      </c>
      <c r="H2166" s="106" t="s">
        <v>7</v>
      </c>
      <c r="I2166" s="105" t="s">
        <v>39</v>
      </c>
      <c r="J2166" s="105"/>
      <c r="K2166" s="105"/>
      <c r="L2166" s="105"/>
      <c r="M2166" s="106"/>
      <c r="N2166" s="106" t="s">
        <v>287</v>
      </c>
      <c r="O2166" s="107"/>
      <c r="P2166" s="106"/>
    </row>
    <row r="2167" spans="1:16" outlineLevel="2" x14ac:dyDescent="0.3">
      <c r="A2167" s="105" t="s">
        <v>9080</v>
      </c>
      <c r="B2167" s="106"/>
      <c r="C2167" s="106"/>
      <c r="D2167" s="106"/>
      <c r="E2167" s="106" t="s">
        <v>8998</v>
      </c>
      <c r="F2167" s="106" t="s">
        <v>9081</v>
      </c>
      <c r="G2167" s="105">
        <v>4</v>
      </c>
      <c r="H2167" s="106" t="s">
        <v>7</v>
      </c>
      <c r="I2167" s="105" t="s">
        <v>39</v>
      </c>
      <c r="J2167" s="105"/>
      <c r="K2167" s="105"/>
      <c r="L2167" s="105"/>
      <c r="M2167" s="106"/>
      <c r="N2167" s="106" t="s">
        <v>287</v>
      </c>
      <c r="O2167" s="107"/>
      <c r="P2167" s="106"/>
    </row>
    <row r="2168" spans="1:16" outlineLevel="2" x14ac:dyDescent="0.3">
      <c r="A2168" s="105" t="s">
        <v>9082</v>
      </c>
      <c r="B2168" s="106"/>
      <c r="C2168" s="106"/>
      <c r="D2168" s="106"/>
      <c r="E2168" s="106" t="s">
        <v>8998</v>
      </c>
      <c r="F2168" s="106" t="s">
        <v>9083</v>
      </c>
      <c r="G2168" s="105">
        <v>4</v>
      </c>
      <c r="H2168" s="106" t="s">
        <v>7</v>
      </c>
      <c r="I2168" s="105" t="s">
        <v>39</v>
      </c>
      <c r="J2168" s="105"/>
      <c r="K2168" s="105"/>
      <c r="L2168" s="105"/>
      <c r="M2168" s="106"/>
      <c r="N2168" s="106" t="s">
        <v>287</v>
      </c>
      <c r="O2168" s="107"/>
      <c r="P2168" s="106"/>
    </row>
    <row r="2169" spans="1:16" outlineLevel="2" x14ac:dyDescent="0.3">
      <c r="A2169" s="105" t="s">
        <v>9084</v>
      </c>
      <c r="B2169" s="106"/>
      <c r="C2169" s="106"/>
      <c r="D2169" s="106"/>
      <c r="E2169" s="106" t="s">
        <v>8998</v>
      </c>
      <c r="F2169" s="106" t="s">
        <v>9085</v>
      </c>
      <c r="G2169" s="105">
        <v>4</v>
      </c>
      <c r="H2169" s="106" t="s">
        <v>7</v>
      </c>
      <c r="I2169" s="105" t="s">
        <v>39</v>
      </c>
      <c r="J2169" s="105"/>
      <c r="K2169" s="105"/>
      <c r="L2169" s="105"/>
      <c r="M2169" s="106"/>
      <c r="N2169" s="106" t="s">
        <v>287</v>
      </c>
      <c r="O2169" s="107"/>
      <c r="P2169" s="106"/>
    </row>
    <row r="2170" spans="1:16" outlineLevel="2" x14ac:dyDescent="0.3">
      <c r="A2170" s="105" t="s">
        <v>9086</v>
      </c>
      <c r="B2170" s="106"/>
      <c r="C2170" s="106"/>
      <c r="D2170" s="106"/>
      <c r="E2170" s="106" t="s">
        <v>8998</v>
      </c>
      <c r="F2170" s="106" t="s">
        <v>9087</v>
      </c>
      <c r="G2170" s="105">
        <v>4</v>
      </c>
      <c r="H2170" s="106" t="s">
        <v>7</v>
      </c>
      <c r="I2170" s="105" t="s">
        <v>39</v>
      </c>
      <c r="J2170" s="105"/>
      <c r="K2170" s="105"/>
      <c r="L2170" s="105"/>
      <c r="M2170" s="106"/>
      <c r="N2170" s="106" t="s">
        <v>287</v>
      </c>
      <c r="O2170" s="107"/>
      <c r="P2170" s="106"/>
    </row>
    <row r="2171" spans="1:16" outlineLevel="2" x14ac:dyDescent="0.3">
      <c r="A2171" s="105" t="s">
        <v>9088</v>
      </c>
      <c r="B2171" s="106"/>
      <c r="C2171" s="106"/>
      <c r="D2171" s="106"/>
      <c r="E2171" s="106" t="s">
        <v>8998</v>
      </c>
      <c r="F2171" s="106" t="s">
        <v>9089</v>
      </c>
      <c r="G2171" s="105">
        <v>4</v>
      </c>
      <c r="H2171" s="106" t="s">
        <v>7</v>
      </c>
      <c r="I2171" s="105" t="s">
        <v>39</v>
      </c>
      <c r="J2171" s="105"/>
      <c r="K2171" s="105"/>
      <c r="L2171" s="105"/>
      <c r="M2171" s="106"/>
      <c r="N2171" s="106" t="s">
        <v>287</v>
      </c>
      <c r="O2171" s="107"/>
      <c r="P2171" s="106"/>
    </row>
    <row r="2172" spans="1:16" outlineLevel="2" x14ac:dyDescent="0.3">
      <c r="A2172" s="105" t="s">
        <v>9090</v>
      </c>
      <c r="B2172" s="106"/>
      <c r="C2172" s="106"/>
      <c r="D2172" s="106"/>
      <c r="E2172" s="106" t="s">
        <v>8998</v>
      </c>
      <c r="F2172" s="106" t="s">
        <v>9091</v>
      </c>
      <c r="G2172" s="105">
        <v>4</v>
      </c>
      <c r="H2172" s="106" t="s">
        <v>7</v>
      </c>
      <c r="I2172" s="105" t="s">
        <v>39</v>
      </c>
      <c r="J2172" s="105"/>
      <c r="K2172" s="105"/>
      <c r="L2172" s="105"/>
      <c r="M2172" s="106"/>
      <c r="N2172" s="106" t="s">
        <v>287</v>
      </c>
      <c r="O2172" s="107"/>
      <c r="P2172" s="106"/>
    </row>
    <row r="2173" spans="1:16" outlineLevel="2" x14ac:dyDescent="0.3">
      <c r="A2173" s="105" t="s">
        <v>9092</v>
      </c>
      <c r="B2173" s="106"/>
      <c r="C2173" s="106"/>
      <c r="D2173" s="106"/>
      <c r="E2173" s="106" t="s">
        <v>9093</v>
      </c>
      <c r="F2173" s="106" t="s">
        <v>9094</v>
      </c>
      <c r="G2173" s="105">
        <v>4</v>
      </c>
      <c r="H2173" s="106" t="s">
        <v>7</v>
      </c>
      <c r="I2173" s="105" t="s">
        <v>39</v>
      </c>
      <c r="J2173" s="105"/>
      <c r="K2173" s="105"/>
      <c r="L2173" s="105"/>
      <c r="M2173" s="106"/>
      <c r="N2173" s="106" t="s">
        <v>287</v>
      </c>
      <c r="O2173" s="107"/>
      <c r="P2173" s="106"/>
    </row>
    <row r="2174" spans="1:16" ht="27.6" outlineLevel="1" x14ac:dyDescent="0.3">
      <c r="A2174" s="321" t="s">
        <v>9095</v>
      </c>
      <c r="B2174" s="322"/>
      <c r="C2174" s="326" t="s">
        <v>9096</v>
      </c>
      <c r="D2174" s="327"/>
      <c r="E2174" s="322"/>
      <c r="F2174" s="322"/>
      <c r="G2174" s="321">
        <v>2</v>
      </c>
      <c r="H2174" s="327" t="s">
        <v>396</v>
      </c>
      <c r="I2174" s="321" t="s">
        <v>39</v>
      </c>
      <c r="J2174" s="321">
        <v>6</v>
      </c>
      <c r="K2174" s="321">
        <v>0</v>
      </c>
      <c r="L2174" s="321">
        <v>0</v>
      </c>
      <c r="M2174" s="324" t="s">
        <v>9097</v>
      </c>
      <c r="N2174" s="324" t="s">
        <v>287</v>
      </c>
      <c r="O2174" s="325"/>
      <c r="P2174" s="324"/>
    </row>
    <row r="2175" spans="1:16" outlineLevel="2" x14ac:dyDescent="0.3">
      <c r="A2175" s="105" t="s">
        <v>9098</v>
      </c>
      <c r="B2175" s="106"/>
      <c r="C2175" s="106"/>
      <c r="D2175" s="106"/>
      <c r="E2175" s="106" t="s">
        <v>9099</v>
      </c>
      <c r="F2175" s="106" t="s">
        <v>9100</v>
      </c>
      <c r="G2175" s="105">
        <v>4</v>
      </c>
      <c r="H2175" s="106" t="s">
        <v>7</v>
      </c>
      <c r="I2175" s="105" t="s">
        <v>39</v>
      </c>
      <c r="J2175" s="105"/>
      <c r="K2175" s="105"/>
      <c r="L2175" s="105"/>
      <c r="M2175" s="106"/>
      <c r="N2175" s="106" t="s">
        <v>287</v>
      </c>
      <c r="O2175" s="107"/>
      <c r="P2175" s="106"/>
    </row>
    <row r="2176" spans="1:16" outlineLevel="2" x14ac:dyDescent="0.3">
      <c r="A2176" s="105" t="s">
        <v>9101</v>
      </c>
      <c r="B2176" s="106"/>
      <c r="C2176" s="106"/>
      <c r="D2176" s="106"/>
      <c r="E2176" s="106" t="s">
        <v>9099</v>
      </c>
      <c r="F2176" s="106" t="s">
        <v>9102</v>
      </c>
      <c r="G2176" s="105">
        <v>4</v>
      </c>
      <c r="H2176" s="106" t="s">
        <v>7</v>
      </c>
      <c r="I2176" s="105" t="s">
        <v>39</v>
      </c>
      <c r="J2176" s="105"/>
      <c r="K2176" s="105"/>
      <c r="L2176" s="105"/>
      <c r="M2176" s="106"/>
      <c r="N2176" s="106" t="s">
        <v>287</v>
      </c>
      <c r="O2176" s="107"/>
      <c r="P2176" s="106"/>
    </row>
    <row r="2177" spans="1:16" outlineLevel="2" x14ac:dyDescent="0.3">
      <c r="A2177" s="105" t="s">
        <v>9103</v>
      </c>
      <c r="B2177" s="106"/>
      <c r="C2177" s="106"/>
      <c r="D2177" s="106"/>
      <c r="E2177" s="106" t="s">
        <v>9104</v>
      </c>
      <c r="F2177" s="106" t="s">
        <v>9105</v>
      </c>
      <c r="G2177" s="105">
        <v>4</v>
      </c>
      <c r="H2177" s="106" t="s">
        <v>7</v>
      </c>
      <c r="I2177" s="105" t="s">
        <v>39</v>
      </c>
      <c r="J2177" s="105"/>
      <c r="K2177" s="105"/>
      <c r="L2177" s="105"/>
      <c r="M2177" s="106"/>
      <c r="N2177" s="106" t="s">
        <v>287</v>
      </c>
      <c r="O2177" s="107"/>
      <c r="P2177" s="106"/>
    </row>
    <row r="2178" spans="1:16" outlineLevel="2" x14ac:dyDescent="0.3">
      <c r="A2178" s="105" t="s">
        <v>9106</v>
      </c>
      <c r="B2178" s="106"/>
      <c r="C2178" s="106"/>
      <c r="D2178" s="106"/>
      <c r="E2178" s="106" t="s">
        <v>9104</v>
      </c>
      <c r="F2178" s="106" t="s">
        <v>9107</v>
      </c>
      <c r="G2178" s="105">
        <v>4</v>
      </c>
      <c r="H2178" s="106" t="s">
        <v>7</v>
      </c>
      <c r="I2178" s="105" t="s">
        <v>39</v>
      </c>
      <c r="J2178" s="105"/>
      <c r="K2178" s="105"/>
      <c r="L2178" s="105"/>
      <c r="M2178" s="106"/>
      <c r="N2178" s="106" t="s">
        <v>287</v>
      </c>
      <c r="O2178" s="107"/>
      <c r="P2178" s="106"/>
    </row>
    <row r="2179" spans="1:16" outlineLevel="2" x14ac:dyDescent="0.3">
      <c r="A2179" s="105" t="s">
        <v>9108</v>
      </c>
      <c r="B2179" s="106"/>
      <c r="C2179" s="106"/>
      <c r="D2179" s="106"/>
      <c r="E2179" s="106" t="s">
        <v>9104</v>
      </c>
      <c r="F2179" s="106" t="s">
        <v>9109</v>
      </c>
      <c r="G2179" s="105">
        <v>4</v>
      </c>
      <c r="H2179" s="106" t="s">
        <v>7</v>
      </c>
      <c r="I2179" s="105" t="s">
        <v>39</v>
      </c>
      <c r="J2179" s="105"/>
      <c r="K2179" s="105"/>
      <c r="L2179" s="105"/>
      <c r="M2179" s="106"/>
      <c r="N2179" s="106" t="s">
        <v>287</v>
      </c>
      <c r="O2179" s="107"/>
      <c r="P2179" s="106"/>
    </row>
    <row r="2180" spans="1:16" outlineLevel="2" x14ac:dyDescent="0.3">
      <c r="A2180" s="105" t="s">
        <v>9110</v>
      </c>
      <c r="B2180" s="106"/>
      <c r="C2180" s="106"/>
      <c r="D2180" s="106"/>
      <c r="E2180" s="106" t="s">
        <v>9111</v>
      </c>
      <c r="F2180" s="106" t="s">
        <v>9112</v>
      </c>
      <c r="G2180" s="105">
        <v>4</v>
      </c>
      <c r="H2180" s="106" t="s">
        <v>7</v>
      </c>
      <c r="I2180" s="105" t="s">
        <v>39</v>
      </c>
      <c r="J2180" s="105"/>
      <c r="K2180" s="105"/>
      <c r="L2180" s="105"/>
      <c r="M2180" s="106"/>
      <c r="N2180" s="106" t="s">
        <v>287</v>
      </c>
      <c r="O2180" s="107"/>
      <c r="P2180" s="106"/>
    </row>
    <row r="2182" spans="1:16" x14ac:dyDescent="0.3">
      <c r="B2182" s="328" t="s">
        <v>9113</v>
      </c>
      <c r="J2182" s="329">
        <f>SUMIFS(J5:J2180,$G5:$G2180,1)</f>
        <v>1890</v>
      </c>
      <c r="K2182" s="329">
        <f>SUMIFS(K5:K2180,$G5:$G2180,1)</f>
        <v>89</v>
      </c>
      <c r="L2182" s="329">
        <f>SUMIFS(L5:L2180,$G5:$G2180,1)</f>
        <v>1550</v>
      </c>
    </row>
    <row r="2184" spans="1:16" x14ac:dyDescent="0.3">
      <c r="A2184" s="330" t="s">
        <v>9114</v>
      </c>
    </row>
    <row r="2185" spans="1:16" x14ac:dyDescent="0.3">
      <c r="A2185" s="331" t="s">
        <v>9115</v>
      </c>
    </row>
    <row r="2186" spans="1:16" x14ac:dyDescent="0.3">
      <c r="A2186" s="331" t="s">
        <v>9116</v>
      </c>
    </row>
    <row r="2187" spans="1:16" x14ac:dyDescent="0.3">
      <c r="A2187" s="331" t="s">
        <v>9117</v>
      </c>
    </row>
    <row r="2188" spans="1:16" x14ac:dyDescent="0.3">
      <c r="A2188" s="331" t="s">
        <v>9118</v>
      </c>
    </row>
  </sheetData>
  <autoFilter ref="A4:P2180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3"/>
  <sheetViews>
    <sheetView workbookViewId="0">
      <pane ySplit="3" topLeftCell="A4" activePane="bottomLeft" state="frozen"/>
      <selection pane="bottomLeft"/>
    </sheetView>
  </sheetViews>
  <sheetFormatPr baseColWidth="10" defaultColWidth="8.88671875" defaultRowHeight="14.4" x14ac:dyDescent="0.3"/>
  <cols>
    <col min="1" max="1" width="9" customWidth="1"/>
    <col min="2" max="2" width="24" customWidth="1"/>
    <col min="3" max="3" width="13" customWidth="1"/>
    <col min="4" max="4" width="11" customWidth="1"/>
    <col min="5" max="5" width="15" customWidth="1"/>
    <col min="6" max="6" width="14" customWidth="1"/>
    <col min="7" max="7" width="13" customWidth="1"/>
    <col min="8" max="8" width="11" customWidth="1"/>
    <col min="9" max="9" width="12" customWidth="1"/>
  </cols>
  <sheetData>
    <row r="1" spans="1:9" ht="21" x14ac:dyDescent="0.4">
      <c r="A1" s="91" t="s">
        <v>9119</v>
      </c>
    </row>
    <row r="3" spans="1:9" ht="31.95" customHeight="1" x14ac:dyDescent="0.3">
      <c r="A3" s="93" t="s">
        <v>1</v>
      </c>
      <c r="B3" s="93" t="s">
        <v>2</v>
      </c>
      <c r="C3" s="93" t="s">
        <v>9120</v>
      </c>
      <c r="D3" s="93" t="s">
        <v>25</v>
      </c>
      <c r="E3" s="93" t="s">
        <v>9121</v>
      </c>
      <c r="F3" s="93" t="s">
        <v>9122</v>
      </c>
      <c r="G3" s="93" t="s">
        <v>12</v>
      </c>
      <c r="H3" s="93" t="s">
        <v>13</v>
      </c>
      <c r="I3" s="93" t="s">
        <v>14</v>
      </c>
    </row>
    <row r="4" spans="1:9" x14ac:dyDescent="0.3">
      <c r="A4" s="332" t="str">
        <f>Elementos!A5</f>
        <v>01</v>
      </c>
      <c r="B4" s="333" t="str">
        <f>Elementos!B5</f>
        <v>Playas y puertos</v>
      </c>
      <c r="C4" s="332">
        <f>COUNTIFS(Elementos!$G6:$G127,2)</f>
        <v>4</v>
      </c>
      <c r="D4" s="332">
        <f>COUNTIFS(Elementos!$G6:$G127,2,Elementos!$H6:$H127,"De la web")</f>
        <v>3</v>
      </c>
      <c r="E4" s="332">
        <f>COUNTIFS(Elementos!$G6:$G127,2,Elementos!$H6:$H127,"Complementaria")</f>
        <v>1</v>
      </c>
      <c r="F4" s="332">
        <f>COUNTIFS(Elementos!$G6:$G127,3)</f>
        <v>3</v>
      </c>
      <c r="G4" s="332">
        <f>Elementos!J5</f>
        <v>67</v>
      </c>
      <c r="H4" s="332">
        <f>Elementos!K5</f>
        <v>0</v>
      </c>
      <c r="I4" s="332">
        <f>Elementos!L5</f>
        <v>52</v>
      </c>
    </row>
    <row r="5" spans="1:9" x14ac:dyDescent="0.3">
      <c r="A5" s="332" t="str">
        <f>Elementos!A128</f>
        <v>02</v>
      </c>
      <c r="B5" s="333" t="str">
        <f>Elementos!B128</f>
        <v>Náutica</v>
      </c>
      <c r="C5" s="332">
        <f>COUNTIFS(Elementos!$G129:$G178,2)</f>
        <v>2</v>
      </c>
      <c r="D5" s="332">
        <f>COUNTIFS(Elementos!$G129:$G178,2,Elementos!$H129:$H178,"De la web")</f>
        <v>2</v>
      </c>
      <c r="E5" s="332">
        <f>COUNTIFS(Elementos!$G129:$G178,2,Elementos!$H129:$H178,"Complementaria")</f>
        <v>0</v>
      </c>
      <c r="F5" s="332">
        <f>COUNTIFS(Elementos!$G129:$G178,3)</f>
        <v>0</v>
      </c>
      <c r="G5" s="332">
        <f>Elementos!J128</f>
        <v>46</v>
      </c>
      <c r="H5" s="332">
        <f>Elementos!K128</f>
        <v>2</v>
      </c>
      <c r="I5" s="332">
        <f>Elementos!L128</f>
        <v>24</v>
      </c>
    </row>
    <row r="6" spans="1:9" x14ac:dyDescent="0.3">
      <c r="A6" s="332" t="str">
        <f>Elementos!A179</f>
        <v>03</v>
      </c>
      <c r="B6" s="333" t="str">
        <f>Elementos!B179</f>
        <v>Golf</v>
      </c>
      <c r="C6" s="332">
        <f>COUNTIFS(Elementos!$G180:$G218,2)</f>
        <v>4</v>
      </c>
      <c r="D6" s="332">
        <f>COUNTIFS(Elementos!$G180:$G218,2,Elementos!$H180:$H218,"De la web")</f>
        <v>4</v>
      </c>
      <c r="E6" s="332">
        <f>COUNTIFS(Elementos!$G180:$G218,2,Elementos!$H180:$H218,"Complementaria")</f>
        <v>0</v>
      </c>
      <c r="F6" s="332">
        <f>COUNTIFS(Elementos!$G180:$G218,3)</f>
        <v>0</v>
      </c>
      <c r="G6" s="332">
        <f>Elementos!J179</f>
        <v>35</v>
      </c>
      <c r="H6" s="332">
        <f>Elementos!K179</f>
        <v>0</v>
      </c>
      <c r="I6" s="332">
        <f>Elementos!L179</f>
        <v>31</v>
      </c>
    </row>
    <row r="7" spans="1:9" x14ac:dyDescent="0.3">
      <c r="A7" s="332" t="str">
        <f>Elementos!A219</f>
        <v>04</v>
      </c>
      <c r="B7" s="333" t="str">
        <f>Elementos!B219</f>
        <v>Gastronomía</v>
      </c>
      <c r="C7" s="332">
        <f>COUNTIFS(Elementos!$G220:$G526,2)</f>
        <v>8</v>
      </c>
      <c r="D7" s="332">
        <f>COUNTIFS(Elementos!$G220:$G526,2,Elementos!$H220:$H526,"De la web")</f>
        <v>8</v>
      </c>
      <c r="E7" s="332">
        <f>COUNTIFS(Elementos!$G220:$G526,2,Elementos!$H220:$H526,"Complementaria")</f>
        <v>0</v>
      </c>
      <c r="F7" s="332">
        <f>COUNTIFS(Elementos!$G220:$G526,3)</f>
        <v>0</v>
      </c>
      <c r="G7" s="332">
        <f>Elementos!J219</f>
        <v>299</v>
      </c>
      <c r="H7" s="332">
        <f>Elementos!K219</f>
        <v>0</v>
      </c>
      <c r="I7" s="332">
        <f>Elementos!L219</f>
        <v>257</v>
      </c>
    </row>
    <row r="8" spans="1:9" x14ac:dyDescent="0.3">
      <c r="A8" s="332" t="str">
        <f>Elementos!A527</f>
        <v>05</v>
      </c>
      <c r="B8" s="333" t="str">
        <f>Elementos!B527</f>
        <v>Alojamientos</v>
      </c>
      <c r="C8" s="332">
        <f>COUNTIFS(Elementos!$G528:$G794,2)</f>
        <v>5</v>
      </c>
      <c r="D8" s="332">
        <f>COUNTIFS(Elementos!$G528:$G794,2,Elementos!$H528:$H794,"De la web")</f>
        <v>4</v>
      </c>
      <c r="E8" s="332">
        <f>COUNTIFS(Elementos!$G528:$G794,2,Elementos!$H528:$H794,"Complementaria")</f>
        <v>1</v>
      </c>
      <c r="F8" s="332">
        <f>COUNTIFS(Elementos!$G528:$G794,3)</f>
        <v>15</v>
      </c>
      <c r="G8" s="332">
        <f>Elementos!J527</f>
        <v>247</v>
      </c>
      <c r="H8" s="332">
        <f>Elementos!K527</f>
        <v>0</v>
      </c>
      <c r="I8" s="332">
        <f>Elementos!L527</f>
        <v>152</v>
      </c>
    </row>
    <row r="9" spans="1:9" x14ac:dyDescent="0.3">
      <c r="A9" s="332" t="str">
        <f>Elementos!A795</f>
        <v>06</v>
      </c>
      <c r="B9" s="333" t="str">
        <f>Elementos!B795</f>
        <v>Naturaleza</v>
      </c>
      <c r="C9" s="332">
        <f>COUNTIFS(Elementos!$G796:$G881,2)</f>
        <v>4</v>
      </c>
      <c r="D9" s="332">
        <f>COUNTIFS(Elementos!$G796:$G881,2,Elementos!$H796:$H881,"De la web")</f>
        <v>3</v>
      </c>
      <c r="E9" s="332">
        <f>COUNTIFS(Elementos!$G796:$G881,2,Elementos!$H796:$H881,"Complementaria")</f>
        <v>1</v>
      </c>
      <c r="F9" s="332">
        <f>COUNTIFS(Elementos!$G796:$G881,3)</f>
        <v>7</v>
      </c>
      <c r="G9" s="332">
        <f>Elementos!J795</f>
        <v>75</v>
      </c>
      <c r="H9" s="332">
        <f>Elementos!K795</f>
        <v>0</v>
      </c>
      <c r="I9" s="332">
        <f>Elementos!L795</f>
        <v>37</v>
      </c>
    </row>
    <row r="10" spans="1:9" x14ac:dyDescent="0.3">
      <c r="A10" s="332" t="str">
        <f>Elementos!A882</f>
        <v>07</v>
      </c>
      <c r="B10" s="333" t="str">
        <f>Elementos!B882</f>
        <v>Turismo activo</v>
      </c>
      <c r="C10" s="332">
        <f>COUNTIFS(Elementos!$G883:$G920,2)</f>
        <v>2</v>
      </c>
      <c r="D10" s="332">
        <f>COUNTIFS(Elementos!$G883:$G920,2,Elementos!$H883:$H920,"De la web")</f>
        <v>2</v>
      </c>
      <c r="E10" s="332">
        <f>COUNTIFS(Elementos!$G883:$G920,2,Elementos!$H883:$H920,"Complementaria")</f>
        <v>0</v>
      </c>
      <c r="F10" s="332">
        <f>COUNTIFS(Elementos!$G883:$G920,3)</f>
        <v>0</v>
      </c>
      <c r="G10" s="332">
        <f>Elementos!J882</f>
        <v>33</v>
      </c>
      <c r="H10" s="332">
        <f>Elementos!K882</f>
        <v>3</v>
      </c>
      <c r="I10" s="332">
        <f>Elementos!L882</f>
        <v>30</v>
      </c>
    </row>
    <row r="11" spans="1:9" x14ac:dyDescent="0.3">
      <c r="A11" s="332" t="str">
        <f>Elementos!A921</f>
        <v>08</v>
      </c>
      <c r="B11" s="333" t="str">
        <f>Elementos!B921</f>
        <v>Compras</v>
      </c>
      <c r="C11" s="332">
        <f>COUNTIFS(Elementos!$G922:$G997,2)</f>
        <v>3</v>
      </c>
      <c r="D11" s="332">
        <f>COUNTIFS(Elementos!$G922:$G997,2,Elementos!$H922:$H997,"De la web")</f>
        <v>3</v>
      </c>
      <c r="E11" s="332">
        <f>COUNTIFS(Elementos!$G922:$G997,2,Elementos!$H922:$H997,"Complementaria")</f>
        <v>0</v>
      </c>
      <c r="F11" s="332">
        <f>COUNTIFS(Elementos!$G922:$G997,3)</f>
        <v>0</v>
      </c>
      <c r="G11" s="332">
        <f>Elementos!J921</f>
        <v>73</v>
      </c>
      <c r="H11" s="332">
        <f>Elementos!K921</f>
        <v>0</v>
      </c>
      <c r="I11" s="332">
        <f>Elementos!L921</f>
        <v>68</v>
      </c>
    </row>
    <row r="12" spans="1:9" x14ac:dyDescent="0.3">
      <c r="A12" s="332" t="str">
        <f>Elementos!A998</f>
        <v>09</v>
      </c>
      <c r="B12" s="333" t="str">
        <f>Elementos!B998</f>
        <v>Cultura</v>
      </c>
      <c r="C12" s="332">
        <f>COUNTIFS(Elementos!$G999:$G1100,2)</f>
        <v>8</v>
      </c>
      <c r="D12" s="332">
        <f>COUNTIFS(Elementos!$G999:$G1100,2,Elementos!$H999:$H1100,"De la web")</f>
        <v>6</v>
      </c>
      <c r="E12" s="332">
        <f>COUNTIFS(Elementos!$G999:$G1100,2,Elementos!$H999:$H1100,"Complementaria")</f>
        <v>2</v>
      </c>
      <c r="F12" s="332">
        <f>COUNTIFS(Elementos!$G999:$G1100,3)</f>
        <v>2</v>
      </c>
      <c r="G12" s="332">
        <f>Elementos!J998</f>
        <v>90</v>
      </c>
      <c r="H12" s="332">
        <f>Elementos!K998</f>
        <v>2</v>
      </c>
      <c r="I12" s="332">
        <f>Elementos!L998</f>
        <v>92</v>
      </c>
    </row>
    <row r="13" spans="1:9" x14ac:dyDescent="0.3">
      <c r="A13" s="332" t="str">
        <f>Elementos!A1101</f>
        <v>10</v>
      </c>
      <c r="B13" s="333" t="str">
        <f>Elementos!B1101</f>
        <v>Centros religiosos</v>
      </c>
      <c r="C13" s="332">
        <f>COUNTIFS(Elementos!$G1102:$G1116,2)</f>
        <v>1</v>
      </c>
      <c r="D13" s="332">
        <f>COUNTIFS(Elementos!$G1102:$G1116,2,Elementos!$H1102:$H1116,"De la web")</f>
        <v>0</v>
      </c>
      <c r="E13" s="332">
        <f>COUNTIFS(Elementos!$G1102:$G1116,2,Elementos!$H1102:$H1116,"Complementaria")</f>
        <v>1</v>
      </c>
      <c r="F13" s="332">
        <f>COUNTIFS(Elementos!$G1102:$G1116,3)</f>
        <v>0</v>
      </c>
      <c r="G13" s="332">
        <f>Elementos!J1101</f>
        <v>14</v>
      </c>
      <c r="H13" s="332">
        <f>Elementos!K1101</f>
        <v>0</v>
      </c>
      <c r="I13" s="332">
        <f>Elementos!L1101</f>
        <v>0</v>
      </c>
    </row>
    <row r="14" spans="1:9" x14ac:dyDescent="0.3">
      <c r="A14" s="332" t="str">
        <f>Elementos!A1117</f>
        <v>11</v>
      </c>
      <c r="B14" s="333" t="str">
        <f>Elementos!B1117</f>
        <v>Deporte</v>
      </c>
      <c r="C14" s="332">
        <f>COUNTIFS(Elementos!$G1118:$G1176,2)</f>
        <v>5</v>
      </c>
      <c r="D14" s="332">
        <f>COUNTIFS(Elementos!$G1118:$G1176,2,Elementos!$H1118:$H1176,"De la web")</f>
        <v>5</v>
      </c>
      <c r="E14" s="332">
        <f>COUNTIFS(Elementos!$G1118:$G1176,2,Elementos!$H1118:$H1176,"Complementaria")</f>
        <v>0</v>
      </c>
      <c r="F14" s="332">
        <f>COUNTIFS(Elementos!$G1118:$G1176,3)</f>
        <v>4</v>
      </c>
      <c r="G14" s="332">
        <f>Elementos!J1117</f>
        <v>49</v>
      </c>
      <c r="H14" s="332">
        <f>Elementos!K1117</f>
        <v>1</v>
      </c>
      <c r="I14" s="332">
        <f>Elementos!L1117</f>
        <v>50</v>
      </c>
    </row>
    <row r="15" spans="1:9" x14ac:dyDescent="0.3">
      <c r="A15" s="332" t="str">
        <f>Elementos!A1177</f>
        <v>12</v>
      </c>
      <c r="B15" s="333" t="str">
        <f>Elementos!B1177</f>
        <v>Salud y bienestar</v>
      </c>
      <c r="C15" s="332">
        <f>COUNTIFS(Elementos!$G1178:$G1263,2)</f>
        <v>6</v>
      </c>
      <c r="D15" s="332">
        <f>COUNTIFS(Elementos!$G1178:$G1263,2,Elementos!$H1178:$H1263,"De la web")</f>
        <v>5</v>
      </c>
      <c r="E15" s="332">
        <f>COUNTIFS(Elementos!$G1178:$G1263,2,Elementos!$H1178:$H1263,"Complementaria")</f>
        <v>1</v>
      </c>
      <c r="F15" s="332">
        <f>COUNTIFS(Elementos!$G1178:$G1263,3)</f>
        <v>4</v>
      </c>
      <c r="G15" s="332">
        <f>Elementos!J1177</f>
        <v>73</v>
      </c>
      <c r="H15" s="332">
        <f>Elementos!K1177</f>
        <v>3</v>
      </c>
      <c r="I15" s="332">
        <f>Elementos!L1177</f>
        <v>70</v>
      </c>
    </row>
    <row r="16" spans="1:9" x14ac:dyDescent="0.3">
      <c r="A16" s="332" t="str">
        <f>Elementos!A1264</f>
        <v>13</v>
      </c>
      <c r="B16" s="333" t="str">
        <f>Elementos!B1264</f>
        <v>Ocio</v>
      </c>
      <c r="C16" s="332">
        <f>COUNTIFS(Elementos!$G1265:$G1371,2)</f>
        <v>5</v>
      </c>
      <c r="D16" s="332">
        <f>COUNTIFS(Elementos!$G1265:$G1371,2,Elementos!$H1265:$H1371,"De la web")</f>
        <v>4</v>
      </c>
      <c r="E16" s="332">
        <f>COUNTIFS(Elementos!$G1265:$G1371,2,Elementos!$H1265:$H1371,"Complementaria")</f>
        <v>1</v>
      </c>
      <c r="F16" s="332">
        <f>COUNTIFS(Elementos!$G1265:$G1371,3)</f>
        <v>0</v>
      </c>
      <c r="G16" s="332">
        <f>Elementos!J1264</f>
        <v>98</v>
      </c>
      <c r="H16" s="332">
        <f>Elementos!K1264</f>
        <v>4</v>
      </c>
      <c r="I16" s="332">
        <f>Elementos!L1264</f>
        <v>85</v>
      </c>
    </row>
    <row r="17" spans="1:9" x14ac:dyDescent="0.3">
      <c r="A17" s="332" t="str">
        <f>Elementos!A1372</f>
        <v>14</v>
      </c>
      <c r="B17" s="333" t="str">
        <f>Elementos!B1372</f>
        <v>Viajar con mascotas</v>
      </c>
      <c r="C17" s="332">
        <f>COUNTIFS(Elementos!$G1373:$G1488,2)</f>
        <v>5</v>
      </c>
      <c r="D17" s="332">
        <f>COUNTIFS(Elementos!$G1373:$G1488,2,Elementos!$H1373:$H1488,"De la web")</f>
        <v>5</v>
      </c>
      <c r="E17" s="332">
        <f>COUNTIFS(Elementos!$G1373:$G1488,2,Elementos!$H1373:$H1488,"Complementaria")</f>
        <v>0</v>
      </c>
      <c r="F17" s="332">
        <f>COUNTIFS(Elementos!$G1373:$G1488,3)</f>
        <v>0</v>
      </c>
      <c r="G17" s="332">
        <f>Elementos!J1372</f>
        <v>111</v>
      </c>
      <c r="H17" s="332">
        <f>Elementos!K1372</f>
        <v>0</v>
      </c>
      <c r="I17" s="332">
        <f>Elementos!L1372</f>
        <v>109</v>
      </c>
    </row>
    <row r="18" spans="1:9" x14ac:dyDescent="0.3">
      <c r="A18" s="332" t="str">
        <f>Elementos!A1489</f>
        <v>15</v>
      </c>
      <c r="B18" s="333" t="str">
        <f>Elementos!B1489</f>
        <v>Servicios turísticos</v>
      </c>
      <c r="C18" s="332">
        <f>COUNTIFS(Elementos!$G1490:$G1695,2)</f>
        <v>12</v>
      </c>
      <c r="D18" s="332">
        <f>COUNTIFS(Elementos!$G1490:$G1695,2,Elementos!$H1490:$H1695,"De la web")</f>
        <v>12</v>
      </c>
      <c r="E18" s="332">
        <f>COUNTIFS(Elementos!$G1490:$G1695,2,Elementos!$H1490:$H1695,"Complementaria")</f>
        <v>0</v>
      </c>
      <c r="F18" s="332">
        <f>COUNTIFS(Elementos!$G1490:$G1695,3)</f>
        <v>0</v>
      </c>
      <c r="G18" s="332">
        <f>Elementos!J1489</f>
        <v>159</v>
      </c>
      <c r="H18" s="332">
        <f>Elementos!K1489</f>
        <v>35</v>
      </c>
      <c r="I18" s="332">
        <f>Elementos!L1489</f>
        <v>194</v>
      </c>
    </row>
    <row r="19" spans="1:9" x14ac:dyDescent="0.3">
      <c r="A19" s="332" t="str">
        <f>Elementos!A1696</f>
        <v>16</v>
      </c>
      <c r="B19" s="333" t="str">
        <f>Elementos!B1696</f>
        <v>Otros puntos singulares de Marbella</v>
      </c>
      <c r="C19" s="332">
        <f>COUNTIFS(Elementos!$G1697:$G1705,2)</f>
        <v>2</v>
      </c>
      <c r="D19" s="332">
        <f>COUNTIFS(Elementos!$G1697:$G1705,2,Elementos!$H1697:$H1705,"De la web")</f>
        <v>2</v>
      </c>
      <c r="E19" s="332">
        <f>COUNTIFS(Elementos!$G1697:$G1705,2,Elementos!$H1697:$H1705,"Complementaria")</f>
        <v>0</v>
      </c>
      <c r="F19" s="332">
        <f>COUNTIFS(Elementos!$G1697:$G1705,3)</f>
        <v>0</v>
      </c>
      <c r="G19" s="332">
        <f>Elementos!J1696</f>
        <v>7</v>
      </c>
      <c r="H19" s="332">
        <f>Elementos!K1696</f>
        <v>0</v>
      </c>
      <c r="I19" s="332">
        <f>Elementos!L1696</f>
        <v>7</v>
      </c>
    </row>
    <row r="20" spans="1:9" x14ac:dyDescent="0.3">
      <c r="A20" s="332" t="str">
        <f>Elementos!A1706</f>
        <v>17</v>
      </c>
      <c r="B20" s="333" t="str">
        <f>Elementos!B1706</f>
        <v>Marbella de boda</v>
      </c>
      <c r="C20" s="332">
        <f>COUNTIFS(Elementos!$G1707:$G1837,2)</f>
        <v>6</v>
      </c>
      <c r="D20" s="332">
        <f>COUNTIFS(Elementos!$G1707:$G1837,2,Elementos!$H1707:$H1837,"De la web")</f>
        <v>6</v>
      </c>
      <c r="E20" s="332">
        <f>COUNTIFS(Elementos!$G1707:$G1837,2,Elementos!$H1707:$H1837,"Complementaria")</f>
        <v>0</v>
      </c>
      <c r="F20" s="332">
        <f>COUNTIFS(Elementos!$G1707:$G1837,3)</f>
        <v>0</v>
      </c>
      <c r="G20" s="332">
        <f>Elementos!J1706</f>
        <v>98</v>
      </c>
      <c r="H20" s="332">
        <f>Elementos!K1706</f>
        <v>27</v>
      </c>
      <c r="I20" s="332">
        <f>Elementos!L1706</f>
        <v>125</v>
      </c>
    </row>
    <row r="21" spans="1:9" x14ac:dyDescent="0.3">
      <c r="A21" s="332" t="str">
        <f>Elementos!A1838</f>
        <v>18</v>
      </c>
      <c r="B21" s="333" t="str">
        <f>Elementos!B1838</f>
        <v>Congresos y empresas</v>
      </c>
      <c r="C21" s="332">
        <f>COUNTIFS(Elementos!$G1839:$G1913,2)</f>
        <v>6</v>
      </c>
      <c r="D21" s="332">
        <f>COUNTIFS(Elementos!$G1839:$G1913,2,Elementos!$H1839:$H1913,"De la web")</f>
        <v>6</v>
      </c>
      <c r="E21" s="332">
        <f>COUNTIFS(Elementos!$G1839:$G1913,2,Elementos!$H1839:$H1913,"Complementaria")</f>
        <v>0</v>
      </c>
      <c r="F21" s="332">
        <f>COUNTIFS(Elementos!$G1839:$G1913,3)</f>
        <v>0</v>
      </c>
      <c r="G21" s="332">
        <f>Elementos!J1838</f>
        <v>61</v>
      </c>
      <c r="H21" s="332">
        <f>Elementos!K1838</f>
        <v>8</v>
      </c>
      <c r="I21" s="332">
        <f>Elementos!L1838</f>
        <v>69</v>
      </c>
    </row>
    <row r="22" spans="1:9" x14ac:dyDescent="0.3">
      <c r="A22" s="332" t="str">
        <f>Elementos!A1914</f>
        <v>19</v>
      </c>
      <c r="B22" s="333" t="str">
        <f>Elementos!B1914</f>
        <v>Información práctica</v>
      </c>
      <c r="C22" s="332">
        <f>COUNTIFS(Elementos!$G1915:$G2180,2)</f>
        <v>7</v>
      </c>
      <c r="D22" s="332">
        <f>COUNTIFS(Elementos!$G1915:$G2180,2,Elementos!$H1915:$H2180,"De la web")</f>
        <v>4</v>
      </c>
      <c r="E22" s="332">
        <f>COUNTIFS(Elementos!$G1915:$G2180,2,Elementos!$H1915:$H2180,"Complementaria")</f>
        <v>3</v>
      </c>
      <c r="F22" s="332">
        <f>COUNTIFS(Elementos!$G1915:$G2180,3)</f>
        <v>0</v>
      </c>
      <c r="G22" s="332">
        <f>Elementos!J1914</f>
        <v>255</v>
      </c>
      <c r="H22" s="332">
        <f>Elementos!K1914</f>
        <v>4</v>
      </c>
      <c r="I22" s="332">
        <f>Elementos!L1914</f>
        <v>98</v>
      </c>
    </row>
    <row r="23" spans="1:9" x14ac:dyDescent="0.3">
      <c r="B23" s="328" t="s">
        <v>9113</v>
      </c>
      <c r="C23" s="329">
        <f t="shared" ref="C23:I23" si="0">SUM(C4:C22)</f>
        <v>95</v>
      </c>
      <c r="D23" s="329">
        <f t="shared" si="0"/>
        <v>84</v>
      </c>
      <c r="E23" s="329">
        <f t="shared" si="0"/>
        <v>11</v>
      </c>
      <c r="F23" s="329">
        <f t="shared" si="0"/>
        <v>35</v>
      </c>
      <c r="G23" s="329">
        <f t="shared" si="0"/>
        <v>1890</v>
      </c>
      <c r="H23" s="329">
        <f t="shared" si="0"/>
        <v>89</v>
      </c>
      <c r="I23" s="329">
        <f t="shared" si="0"/>
        <v>1550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Estructura</vt:lpstr>
      <vt:lpstr>Elementos</vt:lpstr>
      <vt:lpstr>Resumen por capa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Jose maria Hinojosa figueira</cp:lastModifiedBy>
  <dcterms:created xsi:type="dcterms:W3CDTF">2026-10-23T09:05:55Z</dcterms:created>
  <dcterms:modified xsi:type="dcterms:W3CDTF">2026-10-23T09:07:23Z</dcterms:modified>
</cp:coreProperties>
</file>